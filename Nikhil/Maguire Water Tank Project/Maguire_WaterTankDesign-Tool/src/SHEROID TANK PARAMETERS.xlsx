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/>
  <xr:revisionPtr revIDLastSave="0" documentId="13_ncr:1_{4BE3A824-0DBB-44BA-AB91-EC3E500E88D5}" xr6:coauthVersionLast="47" xr6:coauthVersionMax="47" xr10:uidLastSave="{00000000-0000-0000-0000-000000000000}"/>
  <bookViews>
    <workbookView xWindow="-120" yWindow="-120" windowWidth="29040" windowHeight="15840" tabRatio="842" activeTab="1" xr2:uid="{00000000-000D-0000-FFFF-FFFF00000000}"/>
  </bookViews>
  <sheets>
    <sheet name="ORIGINAL NAMES" sheetId="13" r:id="rId1"/>
    <sheet name="SPHEROID PARAMETERS" sheetId="12" r:id="rId2"/>
    <sheet name="BASE PLATE~SECT, HOLES, DOOR" sheetId="26" r:id="rId3"/>
    <sheet name="BASE PLATE" sheetId="25" r:id="rId4"/>
    <sheet name="BASE CONES" sheetId="17" r:id="rId5"/>
    <sheet name="DOOR PARAMETERS" sheetId="15" r:id="rId6"/>
    <sheet name="DOOR TYPE PARAMETERS" sheetId="27" r:id="rId7"/>
    <sheet name="7FT DIA COLUMN" sheetId="21" r:id="rId8"/>
    <sheet name="8 FT DIA COLUMN" sheetId="22" r:id="rId9"/>
    <sheet name="9 FT DIA COLUMN" sheetId="23" r:id="rId10"/>
    <sheet name="10 FT DIA COLUMN" sheetId="24" r:id="rId11"/>
    <sheet name="DRYWELLS" sheetId="14" r:id="rId12"/>
    <sheet name="TRANSITIONS" sheetId="19" r:id="rId13"/>
    <sheet name="TANK GEOMETRY" sheetId="20" r:id="rId14"/>
  </sheets>
  <definedNames>
    <definedName name="_xlnm._FilterDatabase" localSheetId="4" hidden="1">'BASE CONES'!$A$2:$BC$63</definedName>
    <definedName name="_xlnm._FilterDatabase" localSheetId="2" hidden="1">'BASE PLATE~SECT, HOLES, DOOR'!$A$1:$Q$139</definedName>
    <definedName name="_xlnm._FilterDatabase" localSheetId="6" hidden="1">'DOOR TYPE PARAMETERS'!$A$2:$BC$63</definedName>
    <definedName name="_xlnm._FilterDatabase" localSheetId="11" hidden="1">DRYWELLS!$A$1:$G$73</definedName>
    <definedName name="_xlnm._FilterDatabase" localSheetId="1" hidden="1">'SPHEROID PARAMETERS'!$A$2:$GS$76</definedName>
    <definedName name="_xlnm._FilterDatabase" localSheetId="12" hidden="1">TRANSITIONS!$A$2:$GS$64</definedName>
    <definedName name="BinNumber">#REF!</definedName>
    <definedName name="ColumnTitle1">#REF!</definedName>
    <definedName name="ColumnTitle2">#REF!</definedName>
    <definedName name="ColumnTitle3">#REF!</definedName>
    <definedName name="_xlnm.Print_Area" localSheetId="3">'BASE PLATE'!$A$1:$R$76</definedName>
    <definedName name="_xlnm.Print_Area" localSheetId="5">'DOOR PARAMETERS'!$A$1:$L$63</definedName>
    <definedName name="SKU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9" i="26" l="1"/>
  <c r="D179" i="26"/>
  <c r="F179" i="26"/>
  <c r="G179" i="26"/>
  <c r="H179" i="26"/>
  <c r="I179" i="26"/>
  <c r="J179" i="26"/>
  <c r="K179" i="26"/>
  <c r="L179" i="26"/>
  <c r="M179" i="26"/>
  <c r="E179" i="26"/>
  <c r="F186" i="26"/>
  <c r="G186" i="26"/>
  <c r="H186" i="26"/>
  <c r="K186" i="26"/>
  <c r="L185" i="26"/>
  <c r="L186" i="26" s="1"/>
  <c r="K185" i="26"/>
  <c r="J185" i="26"/>
  <c r="J186" i="26" s="1"/>
  <c r="I185" i="26"/>
  <c r="I186" i="26" s="1"/>
  <c r="H185" i="26"/>
  <c r="G185" i="26"/>
  <c r="F185" i="26"/>
  <c r="E185" i="26"/>
  <c r="E186" i="26" s="1"/>
  <c r="D185" i="26"/>
  <c r="D186" i="26" s="1"/>
  <c r="C185" i="26"/>
  <c r="C186" i="26" s="1"/>
  <c r="M185" i="26"/>
  <c r="M186" i="26" s="1"/>
  <c r="D177" i="26"/>
  <c r="E177" i="26"/>
  <c r="F177" i="26"/>
  <c r="G177" i="26"/>
  <c r="H177" i="26"/>
  <c r="I177" i="26"/>
  <c r="J177" i="26"/>
  <c r="K177" i="26"/>
  <c r="L177" i="26"/>
  <c r="M177" i="26"/>
  <c r="C177" i="26"/>
  <c r="C74" i="27"/>
  <c r="D74" i="27"/>
  <c r="E74" i="27"/>
  <c r="F74" i="27"/>
  <c r="G74" i="27"/>
  <c r="H74" i="27"/>
  <c r="I74" i="27"/>
  <c r="J74" i="27"/>
  <c r="K74" i="27"/>
  <c r="L74" i="27"/>
  <c r="B74" i="27"/>
  <c r="V63" i="27"/>
  <c r="T63" i="27"/>
  <c r="S63" i="27"/>
  <c r="R63" i="27"/>
  <c r="L63" i="27"/>
  <c r="W63" i="27" s="1"/>
  <c r="E63" i="27" s="1"/>
  <c r="K63" i="27"/>
  <c r="G63" i="27"/>
  <c r="V62" i="27"/>
  <c r="T62" i="27"/>
  <c r="S62" i="27"/>
  <c r="R62" i="27"/>
  <c r="L62" i="27"/>
  <c r="M62" i="27" s="1"/>
  <c r="K62" i="27"/>
  <c r="G62" i="27"/>
  <c r="V61" i="27"/>
  <c r="T61" i="27"/>
  <c r="S61" i="27"/>
  <c r="R61" i="27"/>
  <c r="L61" i="27"/>
  <c r="M61" i="27" s="1"/>
  <c r="K61" i="27"/>
  <c r="G61" i="27"/>
  <c r="V60" i="27"/>
  <c r="T60" i="27"/>
  <c r="S60" i="27"/>
  <c r="R60" i="27"/>
  <c r="L60" i="27"/>
  <c r="W60" i="27" s="1"/>
  <c r="E60" i="27" s="1"/>
  <c r="K60" i="27"/>
  <c r="G60" i="27"/>
  <c r="V59" i="27"/>
  <c r="T59" i="27"/>
  <c r="S59" i="27"/>
  <c r="R59" i="27"/>
  <c r="L59" i="27"/>
  <c r="W59" i="27" s="1"/>
  <c r="E59" i="27" s="1"/>
  <c r="K59" i="27"/>
  <c r="G59" i="27"/>
  <c r="V58" i="27"/>
  <c r="T58" i="27"/>
  <c r="S58" i="27"/>
  <c r="R58" i="27"/>
  <c r="L58" i="27"/>
  <c r="K58" i="27"/>
  <c r="G58" i="27"/>
  <c r="V57" i="27"/>
  <c r="T57" i="27"/>
  <c r="S57" i="27"/>
  <c r="R57" i="27"/>
  <c r="L57" i="27"/>
  <c r="W57" i="27" s="1"/>
  <c r="E57" i="27" s="1"/>
  <c r="K57" i="27"/>
  <c r="G57" i="27"/>
  <c r="H57" i="27" s="1"/>
  <c r="V56" i="27"/>
  <c r="T56" i="27"/>
  <c r="S56" i="27"/>
  <c r="R56" i="27"/>
  <c r="L56" i="27"/>
  <c r="W56" i="27" s="1"/>
  <c r="E56" i="27" s="1"/>
  <c r="H56" i="27" s="1"/>
  <c r="K56" i="27"/>
  <c r="G56" i="27"/>
  <c r="V55" i="27"/>
  <c r="T55" i="27"/>
  <c r="S55" i="27"/>
  <c r="R55" i="27"/>
  <c r="L55" i="27"/>
  <c r="M55" i="27" s="1"/>
  <c r="K55" i="27"/>
  <c r="G55" i="27"/>
  <c r="V54" i="27"/>
  <c r="T54" i="27"/>
  <c r="S54" i="27"/>
  <c r="R54" i="27"/>
  <c r="L54" i="27"/>
  <c r="M54" i="27" s="1"/>
  <c r="K54" i="27"/>
  <c r="G54" i="27"/>
  <c r="V53" i="27"/>
  <c r="T53" i="27"/>
  <c r="S53" i="27"/>
  <c r="R53" i="27"/>
  <c r="L53" i="27"/>
  <c r="W53" i="27" s="1"/>
  <c r="E53" i="27" s="1"/>
  <c r="K53" i="27"/>
  <c r="G53" i="27"/>
  <c r="V52" i="27"/>
  <c r="T52" i="27"/>
  <c r="S52" i="27"/>
  <c r="R52" i="27"/>
  <c r="L52" i="27"/>
  <c r="W52" i="27" s="1"/>
  <c r="E52" i="27" s="1"/>
  <c r="K52" i="27"/>
  <c r="G52" i="27"/>
  <c r="V51" i="27"/>
  <c r="T51" i="27"/>
  <c r="S51" i="27"/>
  <c r="R51" i="27"/>
  <c r="L51" i="27"/>
  <c r="K51" i="27"/>
  <c r="G51" i="27"/>
  <c r="V50" i="27"/>
  <c r="T50" i="27"/>
  <c r="S50" i="27"/>
  <c r="R50" i="27"/>
  <c r="L50" i="27"/>
  <c r="W50" i="27" s="1"/>
  <c r="E50" i="27" s="1"/>
  <c r="K50" i="27"/>
  <c r="G50" i="27"/>
  <c r="V49" i="27"/>
  <c r="T49" i="27"/>
  <c r="S49" i="27"/>
  <c r="R49" i="27"/>
  <c r="L49" i="27"/>
  <c r="W49" i="27" s="1"/>
  <c r="E49" i="27" s="1"/>
  <c r="K49" i="27"/>
  <c r="G49" i="27"/>
  <c r="V48" i="27"/>
  <c r="T48" i="27"/>
  <c r="S48" i="27"/>
  <c r="R48" i="27"/>
  <c r="L48" i="27"/>
  <c r="M48" i="27" s="1"/>
  <c r="K48" i="27"/>
  <c r="G48" i="27"/>
  <c r="V47" i="27"/>
  <c r="T47" i="27"/>
  <c r="S47" i="27"/>
  <c r="R47" i="27"/>
  <c r="L47" i="27"/>
  <c r="M47" i="27" s="1"/>
  <c r="K47" i="27"/>
  <c r="G47" i="27"/>
  <c r="V46" i="27"/>
  <c r="T46" i="27"/>
  <c r="S46" i="27"/>
  <c r="R46" i="27"/>
  <c r="L46" i="27"/>
  <c r="W46" i="27" s="1"/>
  <c r="E46" i="27" s="1"/>
  <c r="K46" i="27"/>
  <c r="G46" i="27"/>
  <c r="V45" i="27"/>
  <c r="T45" i="27"/>
  <c r="S45" i="27"/>
  <c r="R45" i="27"/>
  <c r="L45" i="27"/>
  <c r="W45" i="27" s="1"/>
  <c r="E45" i="27" s="1"/>
  <c r="K45" i="27"/>
  <c r="G45" i="27"/>
  <c r="H45" i="27" s="1"/>
  <c r="V44" i="27"/>
  <c r="T44" i="27"/>
  <c r="S44" i="27"/>
  <c r="R44" i="27"/>
  <c r="L44" i="27"/>
  <c r="K44" i="27"/>
  <c r="G44" i="27"/>
  <c r="V43" i="27"/>
  <c r="T43" i="27"/>
  <c r="S43" i="27"/>
  <c r="R43" i="27"/>
  <c r="L43" i="27"/>
  <c r="W43" i="27" s="1"/>
  <c r="K43" i="27"/>
  <c r="G43" i="27"/>
  <c r="E43" i="27"/>
  <c r="H43" i="27" s="1"/>
  <c r="V42" i="27"/>
  <c r="T42" i="27"/>
  <c r="S42" i="27"/>
  <c r="R42" i="27"/>
  <c r="L42" i="27"/>
  <c r="W42" i="27" s="1"/>
  <c r="E42" i="27" s="1"/>
  <c r="K42" i="27"/>
  <c r="G42" i="27"/>
  <c r="V41" i="27"/>
  <c r="T41" i="27"/>
  <c r="S41" i="27"/>
  <c r="R41" i="27"/>
  <c r="L41" i="27"/>
  <c r="M41" i="27" s="1"/>
  <c r="K41" i="27"/>
  <c r="G41" i="27"/>
  <c r="V40" i="27"/>
  <c r="T40" i="27"/>
  <c r="S40" i="27"/>
  <c r="R40" i="27"/>
  <c r="L40" i="27"/>
  <c r="M40" i="27" s="1"/>
  <c r="K40" i="27"/>
  <c r="G40" i="27"/>
  <c r="V39" i="27"/>
  <c r="T39" i="27"/>
  <c r="S39" i="27"/>
  <c r="R39" i="27"/>
  <c r="L39" i="27"/>
  <c r="W39" i="27" s="1"/>
  <c r="E39" i="27" s="1"/>
  <c r="K39" i="27"/>
  <c r="G39" i="27"/>
  <c r="V38" i="27"/>
  <c r="T38" i="27"/>
  <c r="S38" i="27"/>
  <c r="R38" i="27"/>
  <c r="L38" i="27"/>
  <c r="W38" i="27" s="1"/>
  <c r="E38" i="27" s="1"/>
  <c r="K38" i="27"/>
  <c r="G38" i="27"/>
  <c r="V37" i="27"/>
  <c r="T37" i="27"/>
  <c r="S37" i="27"/>
  <c r="R37" i="27"/>
  <c r="L37" i="27"/>
  <c r="K37" i="27"/>
  <c r="G37" i="27"/>
  <c r="V36" i="27"/>
  <c r="T36" i="27"/>
  <c r="S36" i="27"/>
  <c r="R36" i="27"/>
  <c r="L36" i="27"/>
  <c r="W36" i="27" s="1"/>
  <c r="E36" i="27" s="1"/>
  <c r="K36" i="27"/>
  <c r="G36" i="27"/>
  <c r="V35" i="27"/>
  <c r="T35" i="27"/>
  <c r="S35" i="27"/>
  <c r="R35" i="27"/>
  <c r="L35" i="27"/>
  <c r="W35" i="27" s="1"/>
  <c r="E35" i="27" s="1"/>
  <c r="K35" i="27"/>
  <c r="G35" i="27"/>
  <c r="V34" i="27"/>
  <c r="T34" i="27"/>
  <c r="S34" i="27"/>
  <c r="R34" i="27"/>
  <c r="L34" i="27"/>
  <c r="M34" i="27" s="1"/>
  <c r="K34" i="27"/>
  <c r="G34" i="27"/>
  <c r="V33" i="27"/>
  <c r="T33" i="27"/>
  <c r="S33" i="27"/>
  <c r="R33" i="27"/>
  <c r="L33" i="27"/>
  <c r="M33" i="27" s="1"/>
  <c r="K33" i="27"/>
  <c r="G33" i="27"/>
  <c r="V32" i="27"/>
  <c r="T32" i="27"/>
  <c r="S32" i="27"/>
  <c r="R32" i="27"/>
  <c r="L32" i="27"/>
  <c r="W32" i="27" s="1"/>
  <c r="E32" i="27" s="1"/>
  <c r="K32" i="27"/>
  <c r="G32" i="27"/>
  <c r="V31" i="27"/>
  <c r="T31" i="27"/>
  <c r="S31" i="27"/>
  <c r="R31" i="27"/>
  <c r="L31" i="27"/>
  <c r="W31" i="27" s="1"/>
  <c r="E31" i="27" s="1"/>
  <c r="K31" i="27"/>
  <c r="G31" i="27"/>
  <c r="V30" i="27"/>
  <c r="T30" i="27"/>
  <c r="S30" i="27"/>
  <c r="R30" i="27"/>
  <c r="L30" i="27"/>
  <c r="K30" i="27"/>
  <c r="G30" i="27"/>
  <c r="V29" i="27"/>
  <c r="T29" i="27"/>
  <c r="S29" i="27"/>
  <c r="R29" i="27"/>
  <c r="L29" i="27"/>
  <c r="W29" i="27" s="1"/>
  <c r="K29" i="27"/>
  <c r="G29" i="27"/>
  <c r="E29" i="27"/>
  <c r="H29" i="27" s="1"/>
  <c r="V28" i="27"/>
  <c r="T28" i="27"/>
  <c r="S28" i="27"/>
  <c r="R28" i="27"/>
  <c r="L28" i="27"/>
  <c r="W28" i="27" s="1"/>
  <c r="K28" i="27"/>
  <c r="G28" i="27"/>
  <c r="E28" i="27"/>
  <c r="H28" i="27" s="1"/>
  <c r="V27" i="27"/>
  <c r="T27" i="27"/>
  <c r="S27" i="27"/>
  <c r="R27" i="27"/>
  <c r="L27" i="27"/>
  <c r="M27" i="27" s="1"/>
  <c r="K27" i="27"/>
  <c r="G27" i="27"/>
  <c r="V26" i="27"/>
  <c r="T26" i="27"/>
  <c r="S26" i="27"/>
  <c r="R26" i="27"/>
  <c r="L26" i="27"/>
  <c r="M26" i="27" s="1"/>
  <c r="K26" i="27"/>
  <c r="G26" i="27"/>
  <c r="V25" i="27"/>
  <c r="T25" i="27"/>
  <c r="S25" i="27"/>
  <c r="R25" i="27"/>
  <c r="L25" i="27"/>
  <c r="M25" i="27" s="1"/>
  <c r="K25" i="27"/>
  <c r="G25" i="27"/>
  <c r="E25" i="27"/>
  <c r="V24" i="27"/>
  <c r="T24" i="27"/>
  <c r="S24" i="27"/>
  <c r="R24" i="27"/>
  <c r="L24" i="27"/>
  <c r="W24" i="27" s="1"/>
  <c r="E24" i="27" s="1"/>
  <c r="F24" i="27" s="1"/>
  <c r="K24" i="27"/>
  <c r="G24" i="27"/>
  <c r="V23" i="27"/>
  <c r="T23" i="27"/>
  <c r="S23" i="27"/>
  <c r="R23" i="27"/>
  <c r="L23" i="27"/>
  <c r="M23" i="27" s="1"/>
  <c r="K23" i="27"/>
  <c r="G23" i="27"/>
  <c r="V22" i="27"/>
  <c r="T22" i="27"/>
  <c r="S22" i="27"/>
  <c r="R22" i="27"/>
  <c r="L22" i="27"/>
  <c r="W22" i="27" s="1"/>
  <c r="E22" i="27" s="1"/>
  <c r="K22" i="27"/>
  <c r="G22" i="27"/>
  <c r="V21" i="27"/>
  <c r="T21" i="27"/>
  <c r="S21" i="27"/>
  <c r="R21" i="27"/>
  <c r="L21" i="27"/>
  <c r="M21" i="27" s="1"/>
  <c r="K21" i="27"/>
  <c r="G21" i="27"/>
  <c r="V20" i="27"/>
  <c r="T20" i="27"/>
  <c r="S20" i="27"/>
  <c r="R20" i="27"/>
  <c r="L20" i="27"/>
  <c r="M20" i="27" s="1"/>
  <c r="K20" i="27"/>
  <c r="G20" i="27"/>
  <c r="V19" i="27"/>
  <c r="T19" i="27"/>
  <c r="S19" i="27"/>
  <c r="R19" i="27"/>
  <c r="L19" i="27"/>
  <c r="M19" i="27" s="1"/>
  <c r="K19" i="27"/>
  <c r="G19" i="27"/>
  <c r="V18" i="27"/>
  <c r="T18" i="27"/>
  <c r="S18" i="27"/>
  <c r="R18" i="27"/>
  <c r="L18" i="27"/>
  <c r="W18" i="27" s="1"/>
  <c r="E18" i="27" s="1"/>
  <c r="K18" i="27"/>
  <c r="G18" i="27"/>
  <c r="V17" i="27"/>
  <c r="T17" i="27"/>
  <c r="S17" i="27"/>
  <c r="R17" i="27"/>
  <c r="L17" i="27"/>
  <c r="W17" i="27" s="1"/>
  <c r="E17" i="27" s="1"/>
  <c r="F17" i="27" s="1"/>
  <c r="K17" i="27"/>
  <c r="G17" i="27"/>
  <c r="V16" i="27"/>
  <c r="T16" i="27"/>
  <c r="S16" i="27"/>
  <c r="R16" i="27"/>
  <c r="L16" i="27"/>
  <c r="M16" i="27" s="1"/>
  <c r="K16" i="27"/>
  <c r="G16" i="27"/>
  <c r="V15" i="27"/>
  <c r="T15" i="27"/>
  <c r="S15" i="27"/>
  <c r="R15" i="27"/>
  <c r="L15" i="27"/>
  <c r="W15" i="27" s="1"/>
  <c r="E15" i="27" s="1"/>
  <c r="K15" i="27"/>
  <c r="G15" i="27"/>
  <c r="V14" i="27"/>
  <c r="T14" i="27"/>
  <c r="S14" i="27"/>
  <c r="R14" i="27"/>
  <c r="L14" i="27"/>
  <c r="M14" i="27" s="1"/>
  <c r="K14" i="27"/>
  <c r="G14" i="27"/>
  <c r="V13" i="27"/>
  <c r="T13" i="27"/>
  <c r="S13" i="27"/>
  <c r="R13" i="27"/>
  <c r="L13" i="27"/>
  <c r="M13" i="27" s="1"/>
  <c r="K13" i="27"/>
  <c r="G13" i="27"/>
  <c r="V12" i="27"/>
  <c r="T12" i="27"/>
  <c r="S12" i="27"/>
  <c r="R12" i="27"/>
  <c r="L12" i="27"/>
  <c r="M12" i="27" s="1"/>
  <c r="K12" i="27"/>
  <c r="G12" i="27"/>
  <c r="V11" i="27"/>
  <c r="T11" i="27"/>
  <c r="S11" i="27"/>
  <c r="R11" i="27"/>
  <c r="L11" i="27"/>
  <c r="W11" i="27" s="1"/>
  <c r="E11" i="27" s="1"/>
  <c r="K11" i="27"/>
  <c r="G11" i="27"/>
  <c r="V10" i="27"/>
  <c r="T10" i="27"/>
  <c r="S10" i="27"/>
  <c r="R10" i="27"/>
  <c r="L10" i="27"/>
  <c r="W10" i="27" s="1"/>
  <c r="E10" i="27" s="1"/>
  <c r="F10" i="27" s="1"/>
  <c r="K10" i="27"/>
  <c r="G10" i="27"/>
  <c r="V9" i="27"/>
  <c r="T9" i="27"/>
  <c r="S9" i="27"/>
  <c r="R9" i="27"/>
  <c r="L9" i="27"/>
  <c r="M9" i="27" s="1"/>
  <c r="K9" i="27"/>
  <c r="G9" i="27"/>
  <c r="V8" i="27"/>
  <c r="T8" i="27"/>
  <c r="S8" i="27"/>
  <c r="R8" i="27"/>
  <c r="L8" i="27"/>
  <c r="W8" i="27" s="1"/>
  <c r="E8" i="27" s="1"/>
  <c r="K8" i="27"/>
  <c r="G8" i="27"/>
  <c r="V7" i="27"/>
  <c r="T7" i="27"/>
  <c r="S7" i="27"/>
  <c r="R7" i="27"/>
  <c r="L7" i="27"/>
  <c r="M7" i="27" s="1"/>
  <c r="K7" i="27"/>
  <c r="G7" i="27"/>
  <c r="V6" i="27"/>
  <c r="T6" i="27"/>
  <c r="S6" i="27"/>
  <c r="R6" i="27"/>
  <c r="L6" i="27"/>
  <c r="M6" i="27" s="1"/>
  <c r="K6" i="27"/>
  <c r="G6" i="27"/>
  <c r="AJ4" i="27"/>
  <c r="AC4" i="27"/>
  <c r="V4" i="27"/>
  <c r="T4" i="27"/>
  <c r="S4" i="27"/>
  <c r="R4" i="27"/>
  <c r="L4" i="27"/>
  <c r="M4" i="27" s="1"/>
  <c r="K4" i="27"/>
  <c r="G4" i="27"/>
  <c r="V5" i="27"/>
  <c r="T5" i="27"/>
  <c r="S5" i="27"/>
  <c r="R5" i="27"/>
  <c r="L5" i="27"/>
  <c r="M5" i="27" s="1"/>
  <c r="K5" i="27"/>
  <c r="G5" i="27"/>
  <c r="AJ3" i="27"/>
  <c r="AC3" i="27"/>
  <c r="V3" i="27"/>
  <c r="T3" i="27"/>
  <c r="S3" i="27"/>
  <c r="R3" i="27"/>
  <c r="L3" i="27"/>
  <c r="M3" i="27" s="1"/>
  <c r="K3" i="27"/>
  <c r="G3" i="27"/>
  <c r="K73" i="26"/>
  <c r="L149" i="26"/>
  <c r="H12" i="25"/>
  <c r="I12" i="25"/>
  <c r="H11" i="25"/>
  <c r="I11" i="25" s="1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2" i="14"/>
  <c r="N4" i="25"/>
  <c r="N5" i="25"/>
  <c r="N7" i="25"/>
  <c r="N9" i="25"/>
  <c r="N10" i="25"/>
  <c r="N16" i="25"/>
  <c r="N19" i="25"/>
  <c r="N26" i="25"/>
  <c r="N27" i="25"/>
  <c r="N43" i="25"/>
  <c r="N6" i="25"/>
  <c r="N11" i="25"/>
  <c r="N12" i="25"/>
  <c r="N13" i="25"/>
  <c r="N17" i="25"/>
  <c r="N20" i="25"/>
  <c r="N21" i="25"/>
  <c r="N22" i="25"/>
  <c r="N28" i="25"/>
  <c r="N29" i="25"/>
  <c r="N34" i="25"/>
  <c r="N44" i="25"/>
  <c r="N14" i="25"/>
  <c r="N23" i="25"/>
  <c r="N24" i="25"/>
  <c r="N30" i="25"/>
  <c r="N35" i="25"/>
  <c r="N36" i="25"/>
  <c r="N45" i="25"/>
  <c r="N53" i="25"/>
  <c r="N54" i="25"/>
  <c r="N61" i="25"/>
  <c r="N62" i="25"/>
  <c r="N8" i="25"/>
  <c r="N15" i="25"/>
  <c r="N18" i="25"/>
  <c r="N25" i="25"/>
  <c r="N31" i="25"/>
  <c r="N37" i="25"/>
  <c r="N46" i="25"/>
  <c r="N47" i="25"/>
  <c r="N55" i="25"/>
  <c r="N63" i="25"/>
  <c r="N71" i="25"/>
  <c r="N32" i="25"/>
  <c r="N38" i="25"/>
  <c r="N39" i="25"/>
  <c r="N48" i="25"/>
  <c r="N56" i="25"/>
  <c r="N57" i="25"/>
  <c r="N64" i="25"/>
  <c r="N75" i="25"/>
  <c r="N33" i="25"/>
  <c r="N40" i="25"/>
  <c r="N49" i="25"/>
  <c r="N50" i="25"/>
  <c r="N58" i="25"/>
  <c r="N59" i="25"/>
  <c r="N65" i="25"/>
  <c r="N66" i="25"/>
  <c r="N67" i="25"/>
  <c r="N72" i="25"/>
  <c r="N41" i="25"/>
  <c r="N51" i="25"/>
  <c r="N68" i="25"/>
  <c r="N76" i="25"/>
  <c r="N52" i="25"/>
  <c r="N69" i="25"/>
  <c r="N73" i="25"/>
  <c r="N42" i="25"/>
  <c r="N60" i="25"/>
  <c r="N70" i="25"/>
  <c r="N74" i="25"/>
  <c r="N3" i="25"/>
  <c r="O4" i="25"/>
  <c r="P4" i="25" s="1"/>
  <c r="Q4" i="25" s="1"/>
  <c r="R4" i="25"/>
  <c r="O5" i="25"/>
  <c r="P5" i="25" s="1"/>
  <c r="Q5" i="25" s="1"/>
  <c r="R5" i="25"/>
  <c r="O7" i="25"/>
  <c r="P7" i="25" s="1"/>
  <c r="Q7" i="25" s="1"/>
  <c r="O9" i="25"/>
  <c r="P9" i="25"/>
  <c r="Q9" i="25"/>
  <c r="O10" i="25"/>
  <c r="R10" i="25" s="1"/>
  <c r="P10" i="25"/>
  <c r="Q10" i="25"/>
  <c r="O16" i="25"/>
  <c r="P16" i="25" s="1"/>
  <c r="Q16" i="25" s="1"/>
  <c r="O19" i="25"/>
  <c r="R19" i="25" s="1"/>
  <c r="O26" i="25"/>
  <c r="R26" i="25" s="1"/>
  <c r="P26" i="25"/>
  <c r="Q26" i="25"/>
  <c r="O27" i="25"/>
  <c r="R27" i="25" s="1"/>
  <c r="O43" i="25"/>
  <c r="R43" i="25"/>
  <c r="O6" i="25"/>
  <c r="R6" i="25"/>
  <c r="O11" i="25"/>
  <c r="P11" i="25"/>
  <c r="Q11" i="25" s="1"/>
  <c r="O12" i="25"/>
  <c r="P12" i="25"/>
  <c r="Q12" i="25"/>
  <c r="O13" i="25"/>
  <c r="P13" i="25" s="1"/>
  <c r="Q13" i="25" s="1"/>
  <c r="O17" i="25"/>
  <c r="P17" i="25" s="1"/>
  <c r="Q17" i="25" s="1"/>
  <c r="R17" i="25"/>
  <c r="O20" i="25"/>
  <c r="R20" i="25" s="1"/>
  <c r="P20" i="25"/>
  <c r="Q20" i="25"/>
  <c r="O21" i="25"/>
  <c r="R21" i="25" s="1"/>
  <c r="O22" i="25"/>
  <c r="R22" i="25"/>
  <c r="O28" i="25"/>
  <c r="R28" i="25"/>
  <c r="O29" i="25"/>
  <c r="P29" i="25"/>
  <c r="Q29" i="25"/>
  <c r="O34" i="25"/>
  <c r="P34" i="25"/>
  <c r="Q34" i="25"/>
  <c r="O44" i="25"/>
  <c r="R44" i="25" s="1"/>
  <c r="P44" i="25"/>
  <c r="Q44" i="25"/>
  <c r="O14" i="25"/>
  <c r="P14" i="25" s="1"/>
  <c r="Q14" i="25" s="1"/>
  <c r="O23" i="25"/>
  <c r="R23" i="25" s="1"/>
  <c r="P23" i="25"/>
  <c r="Q23" i="25"/>
  <c r="O24" i="25"/>
  <c r="P24" i="25" s="1"/>
  <c r="Q24" i="25" s="1"/>
  <c r="O30" i="25"/>
  <c r="P30" i="25" s="1"/>
  <c r="Q30" i="25" s="1"/>
  <c r="R30" i="25"/>
  <c r="O35" i="25"/>
  <c r="R35" i="25" s="1"/>
  <c r="O36" i="25"/>
  <c r="R36" i="25" s="1"/>
  <c r="P36" i="25"/>
  <c r="Q36" i="25" s="1"/>
  <c r="O45" i="25"/>
  <c r="R45" i="25" s="1"/>
  <c r="P45" i="25"/>
  <c r="Q45" i="25"/>
  <c r="O53" i="25"/>
  <c r="P53" i="25"/>
  <c r="Q53" i="25"/>
  <c r="O54" i="25"/>
  <c r="P54" i="25" s="1"/>
  <c r="Q54" i="25" s="1"/>
  <c r="R54" i="25"/>
  <c r="O61" i="25"/>
  <c r="P61" i="25"/>
  <c r="Q61" i="25"/>
  <c r="O62" i="25"/>
  <c r="R62" i="25"/>
  <c r="O8" i="25"/>
  <c r="R8" i="25"/>
  <c r="O15" i="25"/>
  <c r="P15" i="25" s="1"/>
  <c r="Q15" i="25" s="1"/>
  <c r="R15" i="25"/>
  <c r="O18" i="25"/>
  <c r="R18" i="25" s="1"/>
  <c r="P18" i="25"/>
  <c r="Q18" i="25"/>
  <c r="O25" i="25"/>
  <c r="R25" i="25" s="1"/>
  <c r="P25" i="25"/>
  <c r="Q25" i="25"/>
  <c r="O31" i="25"/>
  <c r="P31" i="25" s="1"/>
  <c r="Q31" i="25" s="1"/>
  <c r="O37" i="25"/>
  <c r="P37" i="25" s="1"/>
  <c r="Q37" i="25" s="1"/>
  <c r="O46" i="25"/>
  <c r="R46" i="25" s="1"/>
  <c r="P46" i="25"/>
  <c r="Q46" i="25"/>
  <c r="O47" i="25"/>
  <c r="R47" i="25"/>
  <c r="O55" i="25"/>
  <c r="R55" i="25"/>
  <c r="O63" i="25"/>
  <c r="R63" i="25" s="1"/>
  <c r="O71" i="25"/>
  <c r="P71" i="25"/>
  <c r="Q71" i="25"/>
  <c r="O32" i="25"/>
  <c r="P32" i="25"/>
  <c r="Q32" i="25"/>
  <c r="O38" i="25"/>
  <c r="P38" i="25"/>
  <c r="Q38" i="25"/>
  <c r="O39" i="25"/>
  <c r="P39" i="25" s="1"/>
  <c r="Q39" i="25" s="1"/>
  <c r="R39" i="25"/>
  <c r="O48" i="25"/>
  <c r="P48" i="25"/>
  <c r="Q48" i="25"/>
  <c r="O56" i="25"/>
  <c r="P56" i="25" s="1"/>
  <c r="Q56" i="25" s="1"/>
  <c r="O57" i="25"/>
  <c r="P57" i="25" s="1"/>
  <c r="Q57" i="25" s="1"/>
  <c r="R57" i="25"/>
  <c r="O64" i="25"/>
  <c r="P64" i="25" s="1"/>
  <c r="Q64" i="25" s="1"/>
  <c r="O75" i="25"/>
  <c r="P75" i="25"/>
  <c r="Q75" i="25" s="1"/>
  <c r="O33" i="25"/>
  <c r="P33" i="25"/>
  <c r="Q33" i="25"/>
  <c r="O40" i="25"/>
  <c r="P40" i="25" s="1"/>
  <c r="Q40" i="25" s="1"/>
  <c r="O49" i="25"/>
  <c r="R49" i="25"/>
  <c r="O50" i="25"/>
  <c r="P50" i="25"/>
  <c r="Q50" i="25"/>
  <c r="O58" i="25"/>
  <c r="P58" i="25" s="1"/>
  <c r="Q58" i="25" s="1"/>
  <c r="R58" i="25"/>
  <c r="O59" i="25"/>
  <c r="P59" i="25" s="1"/>
  <c r="Q59" i="25" s="1"/>
  <c r="R59" i="25"/>
  <c r="O65" i="25"/>
  <c r="R65" i="25" s="1"/>
  <c r="O66" i="25"/>
  <c r="R66" i="25" s="1"/>
  <c r="P66" i="25"/>
  <c r="Q66" i="25"/>
  <c r="O67" i="25"/>
  <c r="R67" i="25" s="1"/>
  <c r="P67" i="25"/>
  <c r="Q67" i="25"/>
  <c r="O72" i="25"/>
  <c r="P72" i="25" s="1"/>
  <c r="Q72" i="25" s="1"/>
  <c r="O41" i="25"/>
  <c r="R41" i="25" s="1"/>
  <c r="O51" i="25"/>
  <c r="P51" i="25"/>
  <c r="Q51" i="25"/>
  <c r="O68" i="25"/>
  <c r="P68" i="25" s="1"/>
  <c r="Q68" i="25" s="1"/>
  <c r="O76" i="25"/>
  <c r="R76" i="25"/>
  <c r="O52" i="25"/>
  <c r="P52" i="25" s="1"/>
  <c r="Q52" i="25" s="1"/>
  <c r="R52" i="25"/>
  <c r="O69" i="25"/>
  <c r="P69" i="25"/>
  <c r="Q69" i="25" s="1"/>
  <c r="O73" i="25"/>
  <c r="R73" i="25" s="1"/>
  <c r="P73" i="25"/>
  <c r="Q73" i="25"/>
  <c r="O42" i="25"/>
  <c r="P42" i="25" s="1"/>
  <c r="Q42" i="25" s="1"/>
  <c r="O60" i="25"/>
  <c r="R60" i="25"/>
  <c r="O70" i="25"/>
  <c r="R70" i="25" s="1"/>
  <c r="P70" i="25"/>
  <c r="Q70" i="25"/>
  <c r="O74" i="25"/>
  <c r="P74" i="25" s="1"/>
  <c r="Q74" i="25" s="1"/>
  <c r="O3" i="25"/>
  <c r="R3" i="25"/>
  <c r="J4" i="25"/>
  <c r="J5" i="25"/>
  <c r="J7" i="25"/>
  <c r="J9" i="25"/>
  <c r="J10" i="25"/>
  <c r="J16" i="25"/>
  <c r="J19" i="25"/>
  <c r="J26" i="25"/>
  <c r="J27" i="25"/>
  <c r="J43" i="25"/>
  <c r="J6" i="25"/>
  <c r="J11" i="25"/>
  <c r="J12" i="25"/>
  <c r="J13" i="25"/>
  <c r="J17" i="25"/>
  <c r="J20" i="25"/>
  <c r="J21" i="25"/>
  <c r="J22" i="25"/>
  <c r="J28" i="25"/>
  <c r="J29" i="25"/>
  <c r="J34" i="25"/>
  <c r="J44" i="25"/>
  <c r="J14" i="25"/>
  <c r="J23" i="25"/>
  <c r="J24" i="25"/>
  <c r="J30" i="25"/>
  <c r="J35" i="25"/>
  <c r="J36" i="25"/>
  <c r="J45" i="25"/>
  <c r="J53" i="25"/>
  <c r="J54" i="25"/>
  <c r="J61" i="25"/>
  <c r="J62" i="25"/>
  <c r="J8" i="25"/>
  <c r="J15" i="25"/>
  <c r="J18" i="25"/>
  <c r="J25" i="25"/>
  <c r="J31" i="25"/>
  <c r="J37" i="25"/>
  <c r="J46" i="25"/>
  <c r="J47" i="25"/>
  <c r="J55" i="25"/>
  <c r="J63" i="25"/>
  <c r="J71" i="25"/>
  <c r="J32" i="25"/>
  <c r="J38" i="25"/>
  <c r="J39" i="25"/>
  <c r="J48" i="25"/>
  <c r="J56" i="25"/>
  <c r="J57" i="25"/>
  <c r="J64" i="25"/>
  <c r="J75" i="25"/>
  <c r="J33" i="25"/>
  <c r="J40" i="25"/>
  <c r="J49" i="25"/>
  <c r="J50" i="25"/>
  <c r="J58" i="25"/>
  <c r="J59" i="25"/>
  <c r="J65" i="25"/>
  <c r="J66" i="25"/>
  <c r="J67" i="25"/>
  <c r="J72" i="25"/>
  <c r="J41" i="25"/>
  <c r="J51" i="25"/>
  <c r="J68" i="25"/>
  <c r="J76" i="25"/>
  <c r="J52" i="25"/>
  <c r="J69" i="25"/>
  <c r="J73" i="25"/>
  <c r="J42" i="25"/>
  <c r="J60" i="25"/>
  <c r="J70" i="25"/>
  <c r="J74" i="25"/>
  <c r="J3" i="25"/>
  <c r="V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3" i="17"/>
  <c r="P63" i="25"/>
  <c r="Q63" i="25"/>
  <c r="P22" i="25"/>
  <c r="Q22" i="25"/>
  <c r="P6" i="25"/>
  <c r="Q6" i="25" s="1"/>
  <c r="R71" i="25"/>
  <c r="R34" i="25"/>
  <c r="R29" i="25"/>
  <c r="P3" i="25"/>
  <c r="Q3" i="25"/>
  <c r="P55" i="25"/>
  <c r="Q55" i="25" s="1"/>
  <c r="P43" i="25"/>
  <c r="Q43" i="25"/>
  <c r="R50" i="25"/>
  <c r="R12" i="25"/>
  <c r="R51" i="25"/>
  <c r="P76" i="25"/>
  <c r="Q76" i="25"/>
  <c r="P8" i="25"/>
  <c r="Q8" i="25"/>
  <c r="R33" i="25"/>
  <c r="R61" i="25"/>
  <c r="R11" i="25"/>
  <c r="P35" i="25"/>
  <c r="Q35" i="25" s="1"/>
  <c r="R75" i="25"/>
  <c r="R48" i="25"/>
  <c r="P28" i="25"/>
  <c r="Q28" i="25" s="1"/>
  <c r="R69" i="25"/>
  <c r="R32" i="25"/>
  <c r="R9" i="25"/>
  <c r="R72" i="25"/>
  <c r="R40" i="25"/>
  <c r="R38" i="25"/>
  <c r="R31" i="25"/>
  <c r="R53" i="25"/>
  <c r="P47" i="25"/>
  <c r="Q47" i="25"/>
  <c r="P62" i="25"/>
  <c r="Q62" i="25"/>
  <c r="P21" i="25"/>
  <c r="Q21" i="25"/>
  <c r="P27" i="25"/>
  <c r="Q27" i="25" s="1"/>
  <c r="P60" i="25"/>
  <c r="Q60" i="25" s="1"/>
  <c r="P41" i="25"/>
  <c r="Q41" i="25"/>
  <c r="P49" i="25"/>
  <c r="Q49" i="25" s="1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L4" i="17"/>
  <c r="W4" i="17" s="1"/>
  <c r="E4" i="17" s="1"/>
  <c r="E25" i="17"/>
  <c r="F25" i="17" s="1"/>
  <c r="G3" i="17"/>
  <c r="L3" i="17"/>
  <c r="M3" i="17" s="1"/>
  <c r="H76" i="25"/>
  <c r="I76" i="25"/>
  <c r="G76" i="25"/>
  <c r="H75" i="25"/>
  <c r="I75" i="25"/>
  <c r="G75" i="25"/>
  <c r="H74" i="25"/>
  <c r="I74" i="25" s="1"/>
  <c r="G74" i="25"/>
  <c r="H73" i="25"/>
  <c r="I73" i="25" s="1"/>
  <c r="G73" i="25"/>
  <c r="H72" i="25"/>
  <c r="I72" i="25"/>
  <c r="G72" i="25"/>
  <c r="H71" i="25"/>
  <c r="I71" i="25"/>
  <c r="G71" i="25"/>
  <c r="H70" i="25"/>
  <c r="I70" i="25"/>
  <c r="G70" i="25"/>
  <c r="H69" i="25"/>
  <c r="I69" i="25" s="1"/>
  <c r="G69" i="25"/>
  <c r="H68" i="25"/>
  <c r="I68" i="25"/>
  <c r="G68" i="25"/>
  <c r="H67" i="25"/>
  <c r="I67" i="25"/>
  <c r="G67" i="25"/>
  <c r="H66" i="25"/>
  <c r="I66" i="25" s="1"/>
  <c r="G66" i="25"/>
  <c r="H65" i="25"/>
  <c r="I65" i="25" s="1"/>
  <c r="G65" i="25"/>
  <c r="H64" i="25"/>
  <c r="I64" i="25"/>
  <c r="G64" i="25"/>
  <c r="H63" i="25"/>
  <c r="I63" i="25"/>
  <c r="G63" i="25"/>
  <c r="H62" i="25"/>
  <c r="I62" i="25" s="1"/>
  <c r="G62" i="25"/>
  <c r="H61" i="25"/>
  <c r="I61" i="25"/>
  <c r="G61" i="25"/>
  <c r="H60" i="25"/>
  <c r="I60" i="25"/>
  <c r="G60" i="25"/>
  <c r="H59" i="25"/>
  <c r="I59" i="25"/>
  <c r="G59" i="25"/>
  <c r="H58" i="25"/>
  <c r="I58" i="25" s="1"/>
  <c r="G58" i="25"/>
  <c r="H57" i="25"/>
  <c r="I57" i="25"/>
  <c r="G57" i="25"/>
  <c r="H56" i="25"/>
  <c r="I56" i="25"/>
  <c r="G56" i="25"/>
  <c r="H55" i="25"/>
  <c r="I55" i="25"/>
  <c r="G55" i="25"/>
  <c r="H54" i="25"/>
  <c r="I54" i="25"/>
  <c r="G54" i="25"/>
  <c r="H53" i="25"/>
  <c r="I53" i="25"/>
  <c r="G53" i="25"/>
  <c r="H52" i="25"/>
  <c r="I52" i="25"/>
  <c r="G52" i="25"/>
  <c r="H51" i="25"/>
  <c r="I51" i="25"/>
  <c r="G51" i="25"/>
  <c r="H50" i="25"/>
  <c r="I50" i="25"/>
  <c r="G50" i="25"/>
  <c r="H49" i="25"/>
  <c r="I49" i="25" s="1"/>
  <c r="G49" i="25"/>
  <c r="H48" i="25"/>
  <c r="I48" i="25"/>
  <c r="G48" i="25"/>
  <c r="H47" i="25"/>
  <c r="I47" i="25"/>
  <c r="G47" i="25"/>
  <c r="H46" i="25"/>
  <c r="I46" i="25" s="1"/>
  <c r="G46" i="25"/>
  <c r="H45" i="25"/>
  <c r="I45" i="25" s="1"/>
  <c r="G45" i="25"/>
  <c r="H44" i="25"/>
  <c r="I44" i="25"/>
  <c r="G44" i="25"/>
  <c r="H43" i="25"/>
  <c r="I43" i="25"/>
  <c r="G43" i="25"/>
  <c r="H42" i="25"/>
  <c r="I42" i="25"/>
  <c r="G42" i="25"/>
  <c r="H41" i="25"/>
  <c r="I41" i="25" s="1"/>
  <c r="G41" i="25"/>
  <c r="H40" i="25"/>
  <c r="I40" i="25"/>
  <c r="G40" i="25"/>
  <c r="H39" i="25"/>
  <c r="I39" i="25"/>
  <c r="G39" i="25"/>
  <c r="H38" i="25"/>
  <c r="I38" i="25" s="1"/>
  <c r="G38" i="25"/>
  <c r="H37" i="25"/>
  <c r="I37" i="25" s="1"/>
  <c r="G37" i="25"/>
  <c r="H36" i="25"/>
  <c r="I36" i="25"/>
  <c r="G36" i="25"/>
  <c r="H35" i="25"/>
  <c r="I35" i="25"/>
  <c r="G35" i="25"/>
  <c r="H34" i="25"/>
  <c r="I34" i="25" s="1"/>
  <c r="G34" i="25"/>
  <c r="H33" i="25"/>
  <c r="I33" i="25"/>
  <c r="G33" i="25"/>
  <c r="H32" i="25"/>
  <c r="I32" i="25"/>
  <c r="G32" i="25"/>
  <c r="H31" i="25"/>
  <c r="I31" i="25"/>
  <c r="G31" i="25"/>
  <c r="H30" i="25"/>
  <c r="I30" i="25" s="1"/>
  <c r="G30" i="25"/>
  <c r="H29" i="25"/>
  <c r="I29" i="25"/>
  <c r="G29" i="25"/>
  <c r="H28" i="25"/>
  <c r="I28" i="25"/>
  <c r="G28" i="25"/>
  <c r="H27" i="25"/>
  <c r="I27" i="25"/>
  <c r="G27" i="25"/>
  <c r="H26" i="25"/>
  <c r="I26" i="25"/>
  <c r="G26" i="25"/>
  <c r="H25" i="25"/>
  <c r="I25" i="25"/>
  <c r="G25" i="25"/>
  <c r="H24" i="25"/>
  <c r="I24" i="25"/>
  <c r="G24" i="25"/>
  <c r="H23" i="25"/>
  <c r="I23" i="25"/>
  <c r="G23" i="25"/>
  <c r="H22" i="25"/>
  <c r="I22" i="25"/>
  <c r="G22" i="25"/>
  <c r="H21" i="25"/>
  <c r="I21" i="25"/>
  <c r="G21" i="25"/>
  <c r="H20" i="25"/>
  <c r="I20" i="25"/>
  <c r="G20" i="25"/>
  <c r="H19" i="25"/>
  <c r="I19" i="25"/>
  <c r="G19" i="25"/>
  <c r="H18" i="25"/>
  <c r="I18" i="25" s="1"/>
  <c r="G18" i="25"/>
  <c r="H17" i="25"/>
  <c r="I17" i="25" s="1"/>
  <c r="G17" i="25"/>
  <c r="H16" i="25"/>
  <c r="I16" i="25"/>
  <c r="G16" i="25"/>
  <c r="H15" i="25"/>
  <c r="I15" i="25"/>
  <c r="G15" i="25"/>
  <c r="H14" i="25"/>
  <c r="I14" i="25"/>
  <c r="G14" i="25"/>
  <c r="H13" i="25"/>
  <c r="I13" i="25" s="1"/>
  <c r="G13" i="25"/>
  <c r="G12" i="25"/>
  <c r="G11" i="25"/>
  <c r="H10" i="25"/>
  <c r="I10" i="25" s="1"/>
  <c r="G10" i="25"/>
  <c r="H9" i="25"/>
  <c r="I9" i="25"/>
  <c r="G9" i="25"/>
  <c r="H8" i="25"/>
  <c r="I8" i="25"/>
  <c r="G8" i="25"/>
  <c r="H7" i="25"/>
  <c r="I7" i="25"/>
  <c r="G7" i="25"/>
  <c r="H6" i="25"/>
  <c r="I6" i="25"/>
  <c r="G6" i="25"/>
  <c r="H5" i="25"/>
  <c r="I5" i="25"/>
  <c r="G5" i="25"/>
  <c r="H4" i="25"/>
  <c r="I4" i="25"/>
  <c r="G4" i="25"/>
  <c r="H3" i="25"/>
  <c r="I3" i="25"/>
  <c r="G3" i="25"/>
  <c r="L63" i="17"/>
  <c r="W63" i="17" s="1"/>
  <c r="E63" i="17" s="1"/>
  <c r="K63" i="17"/>
  <c r="L62" i="17"/>
  <c r="W62" i="17" s="1"/>
  <c r="E62" i="17" s="1"/>
  <c r="K62" i="17"/>
  <c r="L61" i="17"/>
  <c r="W61" i="17" s="1"/>
  <c r="E61" i="17" s="1"/>
  <c r="F61" i="17" s="1"/>
  <c r="K61" i="17"/>
  <c r="L60" i="17"/>
  <c r="W60" i="17" s="1"/>
  <c r="E60" i="17" s="1"/>
  <c r="K60" i="17"/>
  <c r="L59" i="17"/>
  <c r="W59" i="17" s="1"/>
  <c r="E59" i="17" s="1"/>
  <c r="K59" i="17"/>
  <c r="L58" i="17"/>
  <c r="M58" i="17" s="1"/>
  <c r="K58" i="17"/>
  <c r="L57" i="17"/>
  <c r="M57" i="17" s="1"/>
  <c r="K57" i="17"/>
  <c r="L56" i="17"/>
  <c r="W56" i="17" s="1"/>
  <c r="E56" i="17" s="1"/>
  <c r="K56" i="17"/>
  <c r="L55" i="17"/>
  <c r="M55" i="17" s="1"/>
  <c r="K55" i="17"/>
  <c r="L54" i="17"/>
  <c r="W54" i="17" s="1"/>
  <c r="E54" i="17" s="1"/>
  <c r="K54" i="17"/>
  <c r="L53" i="17"/>
  <c r="W53" i="17" s="1"/>
  <c r="E53" i="17" s="1"/>
  <c r="K53" i="17"/>
  <c r="L52" i="17"/>
  <c r="M52" i="17" s="1"/>
  <c r="K52" i="17"/>
  <c r="L51" i="17"/>
  <c r="M51" i="17" s="1"/>
  <c r="K51" i="17"/>
  <c r="L50" i="17"/>
  <c r="M50" i="17" s="1"/>
  <c r="K50" i="17"/>
  <c r="L49" i="17"/>
  <c r="W49" i="17" s="1"/>
  <c r="E49" i="17" s="1"/>
  <c r="F49" i="17" s="1"/>
  <c r="K49" i="17"/>
  <c r="L48" i="17"/>
  <c r="W48" i="17" s="1"/>
  <c r="E48" i="17" s="1"/>
  <c r="K48" i="17"/>
  <c r="L47" i="17"/>
  <c r="W47" i="17" s="1"/>
  <c r="E47" i="17" s="1"/>
  <c r="K47" i="17"/>
  <c r="L46" i="17"/>
  <c r="W46" i="17" s="1"/>
  <c r="E46" i="17" s="1"/>
  <c r="K46" i="17"/>
  <c r="L45" i="17"/>
  <c r="M45" i="17" s="1"/>
  <c r="K45" i="17"/>
  <c r="L44" i="17"/>
  <c r="M44" i="17" s="1"/>
  <c r="K44" i="17"/>
  <c r="L43" i="17"/>
  <c r="W43" i="17" s="1"/>
  <c r="E43" i="17" s="1"/>
  <c r="K43" i="17"/>
  <c r="L42" i="17"/>
  <c r="M42" i="17" s="1"/>
  <c r="K42" i="17"/>
  <c r="L41" i="17"/>
  <c r="W41" i="17" s="1"/>
  <c r="E41" i="17" s="1"/>
  <c r="K41" i="17"/>
  <c r="L40" i="17"/>
  <c r="W40" i="17" s="1"/>
  <c r="E40" i="17" s="1"/>
  <c r="K40" i="17"/>
  <c r="L39" i="17"/>
  <c r="M39" i="17" s="1"/>
  <c r="K39" i="17"/>
  <c r="L38" i="17"/>
  <c r="W38" i="17" s="1"/>
  <c r="E38" i="17" s="1"/>
  <c r="K38" i="17"/>
  <c r="L37" i="17"/>
  <c r="W37" i="17" s="1"/>
  <c r="E37" i="17" s="1"/>
  <c r="K37" i="17"/>
  <c r="L36" i="17"/>
  <c r="W36" i="17" s="1"/>
  <c r="E36" i="17" s="1"/>
  <c r="K36" i="17"/>
  <c r="L35" i="17"/>
  <c r="W35" i="17" s="1"/>
  <c r="E35" i="17" s="1"/>
  <c r="K35" i="17"/>
  <c r="L34" i="17"/>
  <c r="M34" i="17" s="1"/>
  <c r="K34" i="17"/>
  <c r="L33" i="17"/>
  <c r="W33" i="17" s="1"/>
  <c r="E33" i="17" s="1"/>
  <c r="K33" i="17"/>
  <c r="L32" i="17"/>
  <c r="M32" i="17" s="1"/>
  <c r="K32" i="17"/>
  <c r="L31" i="17"/>
  <c r="M31" i="17" s="1"/>
  <c r="K31" i="17"/>
  <c r="L30" i="17"/>
  <c r="W30" i="17" s="1"/>
  <c r="E30" i="17" s="1"/>
  <c r="H30" i="17" s="1"/>
  <c r="K30" i="17"/>
  <c r="L29" i="17"/>
  <c r="W29" i="17" s="1"/>
  <c r="E29" i="17" s="1"/>
  <c r="K29" i="17"/>
  <c r="L28" i="17"/>
  <c r="M28" i="17" s="1"/>
  <c r="K28" i="17"/>
  <c r="L27" i="17"/>
  <c r="W27" i="17" s="1"/>
  <c r="E27" i="17" s="1"/>
  <c r="K27" i="17"/>
  <c r="L26" i="17"/>
  <c r="M26" i="17" s="1"/>
  <c r="K26" i="17"/>
  <c r="L25" i="17"/>
  <c r="M25" i="17" s="1"/>
  <c r="K25" i="17"/>
  <c r="L24" i="17"/>
  <c r="M24" i="17" s="1"/>
  <c r="K24" i="17"/>
  <c r="L23" i="17"/>
  <c r="W23" i="17" s="1"/>
  <c r="E23" i="17" s="1"/>
  <c r="K23" i="17"/>
  <c r="L22" i="17"/>
  <c r="W22" i="17" s="1"/>
  <c r="E22" i="17" s="1"/>
  <c r="K22" i="17"/>
  <c r="L21" i="17"/>
  <c r="W21" i="17" s="1"/>
  <c r="E21" i="17" s="1"/>
  <c r="K21" i="17"/>
  <c r="L20" i="17"/>
  <c r="M20" i="17" s="1"/>
  <c r="K20" i="17"/>
  <c r="L19" i="17"/>
  <c r="M19" i="17" s="1"/>
  <c r="K19" i="17"/>
  <c r="L18" i="17"/>
  <c r="W18" i="17" s="1"/>
  <c r="E18" i="17" s="1"/>
  <c r="K18" i="17"/>
  <c r="L17" i="17"/>
  <c r="M17" i="17" s="1"/>
  <c r="K17" i="17"/>
  <c r="L16" i="17"/>
  <c r="M16" i="17" s="1"/>
  <c r="K16" i="17"/>
  <c r="L15" i="17"/>
  <c r="W15" i="17" s="1"/>
  <c r="E15" i="17" s="1"/>
  <c r="K15" i="17"/>
  <c r="L14" i="17"/>
  <c r="M14" i="17" s="1"/>
  <c r="K14" i="17"/>
  <c r="L13" i="17"/>
  <c r="W13" i="17" s="1"/>
  <c r="E13" i="17" s="1"/>
  <c r="K13" i="17"/>
  <c r="L12" i="17"/>
  <c r="W12" i="17" s="1"/>
  <c r="E12" i="17" s="1"/>
  <c r="F12" i="17" s="1"/>
  <c r="K12" i="17"/>
  <c r="L11" i="17"/>
  <c r="W11" i="17" s="1"/>
  <c r="E11" i="17" s="1"/>
  <c r="K11" i="17"/>
  <c r="L10" i="17"/>
  <c r="W10" i="17" s="1"/>
  <c r="E10" i="17" s="1"/>
  <c r="K10" i="17"/>
  <c r="L9" i="17"/>
  <c r="W9" i="17" s="1"/>
  <c r="E9" i="17" s="1"/>
  <c r="K9" i="17"/>
  <c r="L8" i="17"/>
  <c r="M8" i="17" s="1"/>
  <c r="K8" i="17"/>
  <c r="L7" i="17"/>
  <c r="W7" i="17" s="1"/>
  <c r="E7" i="17" s="1"/>
  <c r="K7" i="17"/>
  <c r="L6" i="17"/>
  <c r="W6" i="17" s="1"/>
  <c r="E6" i="17" s="1"/>
  <c r="K6" i="17"/>
  <c r="AJ5" i="17"/>
  <c r="AC5" i="17"/>
  <c r="L5" i="17"/>
  <c r="M5" i="17" s="1"/>
  <c r="K5" i="17"/>
  <c r="K4" i="17"/>
  <c r="AJ3" i="17"/>
  <c r="AC3" i="17"/>
  <c r="K3" i="17"/>
  <c r="W28" i="17"/>
  <c r="E28" i="17" s="1"/>
  <c r="M12" i="17"/>
  <c r="I19" i="12"/>
  <c r="J19" i="12"/>
  <c r="H19" i="12"/>
  <c r="I16" i="12"/>
  <c r="J16" i="12"/>
  <c r="H16" i="12"/>
  <c r="I10" i="12"/>
  <c r="J10" i="12"/>
  <c r="H10" i="12"/>
  <c r="I9" i="12"/>
  <c r="T9" i="12" s="1"/>
  <c r="H9" i="12"/>
  <c r="I8" i="12"/>
  <c r="T8" i="12" s="1"/>
  <c r="J8" i="12"/>
  <c r="H8" i="12"/>
  <c r="I7" i="12"/>
  <c r="J7" i="12"/>
  <c r="H7" i="12"/>
  <c r="I4" i="12"/>
  <c r="T4" i="12" s="1"/>
  <c r="H4" i="12"/>
  <c r="K12" i="12"/>
  <c r="H5" i="12"/>
  <c r="H6" i="12"/>
  <c r="H11" i="12"/>
  <c r="H12" i="12"/>
  <c r="H13" i="12"/>
  <c r="H14" i="12"/>
  <c r="H15" i="12"/>
  <c r="H17" i="12"/>
  <c r="H18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3" i="12"/>
  <c r="AG3" i="12"/>
  <c r="FY3" i="12"/>
  <c r="FT3" i="12"/>
  <c r="FS3" i="12"/>
  <c r="BB3" i="12"/>
  <c r="BB5" i="12"/>
  <c r="GG5" i="12"/>
  <c r="GH5" i="12"/>
  <c r="AG5" i="12"/>
  <c r="Z5" i="12"/>
  <c r="I5" i="12"/>
  <c r="T5" i="12"/>
  <c r="J5" i="12"/>
  <c r="I62" i="12"/>
  <c r="T62" i="12" s="1"/>
  <c r="I57" i="12"/>
  <c r="T57" i="12" s="1"/>
  <c r="J57" i="12"/>
  <c r="B8" i="15"/>
  <c r="B6" i="15"/>
  <c r="B7" i="15" s="1"/>
  <c r="I11" i="12"/>
  <c r="T11" i="12" s="1"/>
  <c r="I13" i="12"/>
  <c r="I14" i="12"/>
  <c r="J14" i="12"/>
  <c r="I15" i="12"/>
  <c r="J15" i="12" s="1"/>
  <c r="I17" i="12"/>
  <c r="J17" i="12"/>
  <c r="I18" i="12"/>
  <c r="J18" i="12"/>
  <c r="T19" i="12"/>
  <c r="I20" i="12"/>
  <c r="J20" i="12" s="1"/>
  <c r="I21" i="12"/>
  <c r="J21" i="12" s="1"/>
  <c r="T21" i="12"/>
  <c r="I22" i="12"/>
  <c r="T22" i="12" s="1"/>
  <c r="I23" i="12"/>
  <c r="T23" i="12" s="1"/>
  <c r="I24" i="12"/>
  <c r="I25" i="12"/>
  <c r="T25" i="12" s="1"/>
  <c r="J25" i="12"/>
  <c r="I26" i="12"/>
  <c r="J26" i="12"/>
  <c r="I27" i="12"/>
  <c r="J27" i="12" s="1"/>
  <c r="I28" i="12"/>
  <c r="J28" i="12" s="1"/>
  <c r="T28" i="12"/>
  <c r="I29" i="12"/>
  <c r="T29" i="12" s="1"/>
  <c r="I30" i="12"/>
  <c r="J30" i="12"/>
  <c r="I31" i="12"/>
  <c r="J31" i="12"/>
  <c r="I32" i="12"/>
  <c r="J32" i="12"/>
  <c r="I33" i="12"/>
  <c r="T33" i="12" s="1"/>
  <c r="J33" i="12"/>
  <c r="I34" i="12"/>
  <c r="T34" i="12" s="1"/>
  <c r="J34" i="12"/>
  <c r="I35" i="12"/>
  <c r="T35" i="12" s="1"/>
  <c r="I36" i="12"/>
  <c r="J36" i="12" s="1"/>
  <c r="T36" i="12"/>
  <c r="I37" i="12"/>
  <c r="T37" i="12"/>
  <c r="I38" i="12"/>
  <c r="T38" i="12" s="1"/>
  <c r="J38" i="12"/>
  <c r="I39" i="12"/>
  <c r="T39" i="12" s="1"/>
  <c r="J39" i="12"/>
  <c r="I40" i="12"/>
  <c r="T40" i="12" s="1"/>
  <c r="J40" i="12"/>
  <c r="I41" i="12"/>
  <c r="T41" i="12" s="1"/>
  <c r="I42" i="12"/>
  <c r="J42" i="12"/>
  <c r="I43" i="12"/>
  <c r="T43" i="12" s="1"/>
  <c r="I44" i="12"/>
  <c r="T44" i="12"/>
  <c r="I45" i="12"/>
  <c r="T45" i="12"/>
  <c r="I46" i="12"/>
  <c r="J46" i="12"/>
  <c r="I47" i="12"/>
  <c r="T47" i="12" s="1"/>
  <c r="J47" i="12"/>
  <c r="I48" i="12"/>
  <c r="J48" i="12"/>
  <c r="I49" i="12"/>
  <c r="T49" i="12" s="1"/>
  <c r="I50" i="12"/>
  <c r="T50" i="12" s="1"/>
  <c r="J50" i="12"/>
  <c r="I51" i="12"/>
  <c r="J51" i="12" s="1"/>
  <c r="T51" i="12"/>
  <c r="I52" i="12"/>
  <c r="T52" i="12"/>
  <c r="I53" i="12"/>
  <c r="J53" i="12" s="1"/>
  <c r="T53" i="12"/>
  <c r="I54" i="12"/>
  <c r="T54" i="12" s="1"/>
  <c r="J54" i="12"/>
  <c r="I55" i="12"/>
  <c r="T55" i="12" s="1"/>
  <c r="I56" i="12"/>
  <c r="J56" i="12"/>
  <c r="I58" i="12"/>
  <c r="J58" i="12" s="1"/>
  <c r="I59" i="12"/>
  <c r="T59" i="12"/>
  <c r="I60" i="12"/>
  <c r="T60" i="12"/>
  <c r="I61" i="12"/>
  <c r="T61" i="12"/>
  <c r="I63" i="12"/>
  <c r="J63" i="12"/>
  <c r="I64" i="12"/>
  <c r="J64" i="12"/>
  <c r="I65" i="12"/>
  <c r="J65" i="12" s="1"/>
  <c r="I66" i="12"/>
  <c r="T66" i="12"/>
  <c r="I67" i="12"/>
  <c r="J67" i="12" s="1"/>
  <c r="T67" i="12"/>
  <c r="I68" i="12"/>
  <c r="J68" i="12"/>
  <c r="I69" i="12"/>
  <c r="T69" i="12" s="1"/>
  <c r="J69" i="12"/>
  <c r="I70" i="12"/>
  <c r="T70" i="12" s="1"/>
  <c r="J70" i="12"/>
  <c r="I71" i="12"/>
  <c r="T71" i="12" s="1"/>
  <c r="I72" i="12"/>
  <c r="T72" i="12"/>
  <c r="I73" i="12"/>
  <c r="T73" i="12" s="1"/>
  <c r="I74" i="12"/>
  <c r="T74" i="12"/>
  <c r="I75" i="12"/>
  <c r="J75" i="12"/>
  <c r="I76" i="12"/>
  <c r="J76" i="12"/>
  <c r="I6" i="12"/>
  <c r="J6" i="12"/>
  <c r="I3" i="12"/>
  <c r="T3" i="12" s="1"/>
  <c r="J3" i="12"/>
  <c r="Z3" i="12"/>
  <c r="J24" i="12"/>
  <c r="T24" i="12"/>
  <c r="J22" i="12"/>
  <c r="T58" i="12"/>
  <c r="T46" i="12"/>
  <c r="T42" i="12"/>
  <c r="T30" i="12"/>
  <c r="T26" i="12"/>
  <c r="T56" i="12"/>
  <c r="T68" i="12"/>
  <c r="T18" i="12"/>
  <c r="T76" i="12"/>
  <c r="T64" i="12"/>
  <c r="T48" i="12"/>
  <c r="T32" i="12"/>
  <c r="T15" i="12"/>
  <c r="T75" i="12"/>
  <c r="T63" i="12"/>
  <c r="T31" i="12"/>
  <c r="T14" i="12"/>
  <c r="T10" i="12"/>
  <c r="J45" i="12"/>
  <c r="J73" i="12"/>
  <c r="J66" i="12"/>
  <c r="J60" i="12"/>
  <c r="J52" i="12"/>
  <c r="J44" i="12"/>
  <c r="T17" i="12"/>
  <c r="J61" i="12"/>
  <c r="J59" i="12"/>
  <c r="J43" i="12"/>
  <c r="J35" i="12"/>
  <c r="J11" i="12"/>
  <c r="T16" i="12"/>
  <c r="J13" i="12"/>
  <c r="T7" i="12"/>
  <c r="J37" i="12"/>
  <c r="J72" i="12"/>
  <c r="T6" i="12"/>
  <c r="J74" i="12"/>
  <c r="J29" i="12"/>
  <c r="H38" i="27" l="1"/>
  <c r="H42" i="27"/>
  <c r="H46" i="27"/>
  <c r="W34" i="27"/>
  <c r="E34" i="27" s="1"/>
  <c r="H34" i="27" s="1"/>
  <c r="H50" i="27"/>
  <c r="H49" i="27"/>
  <c r="H53" i="27"/>
  <c r="W27" i="27"/>
  <c r="E27" i="27" s="1"/>
  <c r="H25" i="27"/>
  <c r="H22" i="27"/>
  <c r="H15" i="27"/>
  <c r="H52" i="27"/>
  <c r="H11" i="27"/>
  <c r="H39" i="27"/>
  <c r="H31" i="27"/>
  <c r="H35" i="27"/>
  <c r="H27" i="27"/>
  <c r="W20" i="27"/>
  <c r="E20" i="27" s="1"/>
  <c r="H20" i="27" s="1"/>
  <c r="W4" i="27"/>
  <c r="E4" i="27" s="1"/>
  <c r="H4" i="27" s="1"/>
  <c r="H60" i="27"/>
  <c r="H63" i="27"/>
  <c r="H18" i="27"/>
  <c r="H8" i="27"/>
  <c r="H59" i="27"/>
  <c r="H32" i="27"/>
  <c r="H36" i="27"/>
  <c r="B9" i="15"/>
  <c r="W3" i="27"/>
  <c r="E3" i="27" s="1"/>
  <c r="H3" i="27" s="1"/>
  <c r="W21" i="27"/>
  <c r="E21" i="27" s="1"/>
  <c r="H21" i="27" s="1"/>
  <c r="W40" i="27"/>
  <c r="E40" i="27" s="1"/>
  <c r="H40" i="27" s="1"/>
  <c r="H10" i="27"/>
  <c r="M17" i="27"/>
  <c r="W61" i="27"/>
  <c r="E61" i="27" s="1"/>
  <c r="H61" i="27" s="1"/>
  <c r="W62" i="27"/>
  <c r="E62" i="27" s="1"/>
  <c r="H62" i="27" s="1"/>
  <c r="W5" i="27"/>
  <c r="E5" i="27" s="1"/>
  <c r="H5" i="27" s="1"/>
  <c r="W7" i="27"/>
  <c r="E7" i="27" s="1"/>
  <c r="H7" i="27" s="1"/>
  <c r="W55" i="27"/>
  <c r="E55" i="27" s="1"/>
  <c r="H55" i="27" s="1"/>
  <c r="W33" i="27"/>
  <c r="E33" i="27" s="1"/>
  <c r="H33" i="27" s="1"/>
  <c r="W26" i="27"/>
  <c r="E26" i="27" s="1"/>
  <c r="H26" i="27" s="1"/>
  <c r="W48" i="27"/>
  <c r="E48" i="27" s="1"/>
  <c r="H48" i="27" s="1"/>
  <c r="W19" i="27"/>
  <c r="E19" i="27" s="1"/>
  <c r="H19" i="27" s="1"/>
  <c r="W13" i="27"/>
  <c r="E13" i="27" s="1"/>
  <c r="H13" i="27" s="1"/>
  <c r="H17" i="27"/>
  <c r="W14" i="27"/>
  <c r="E14" i="27" s="1"/>
  <c r="H14" i="27" s="1"/>
  <c r="W54" i="27"/>
  <c r="E54" i="27" s="1"/>
  <c r="H54" i="27" s="1"/>
  <c r="W41" i="27"/>
  <c r="E41" i="27" s="1"/>
  <c r="H41" i="27" s="1"/>
  <c r="W12" i="27"/>
  <c r="E12" i="27" s="1"/>
  <c r="H12" i="27" s="1"/>
  <c r="H24" i="27"/>
  <c r="W6" i="27"/>
  <c r="E6" i="27" s="1"/>
  <c r="H6" i="27" s="1"/>
  <c r="W47" i="27"/>
  <c r="E47" i="27" s="1"/>
  <c r="H47" i="27" s="1"/>
  <c r="F57" i="27"/>
  <c r="F35" i="27"/>
  <c r="F49" i="27"/>
  <c r="F36" i="27"/>
  <c r="F41" i="27"/>
  <c r="F22" i="27"/>
  <c r="F8" i="27"/>
  <c r="M38" i="27"/>
  <c r="F29" i="27"/>
  <c r="F32" i="27"/>
  <c r="W51" i="27"/>
  <c r="E51" i="27" s="1"/>
  <c r="H51" i="27" s="1"/>
  <c r="M51" i="27"/>
  <c r="M32" i="27"/>
  <c r="F42" i="27"/>
  <c r="F45" i="27"/>
  <c r="M10" i="27"/>
  <c r="M45" i="27"/>
  <c r="F39" i="27"/>
  <c r="W58" i="27"/>
  <c r="E58" i="27" s="1"/>
  <c r="H58" i="27" s="1"/>
  <c r="M58" i="27"/>
  <c r="M39" i="27"/>
  <c r="F52" i="27"/>
  <c r="M52" i="27"/>
  <c r="M46" i="27"/>
  <c r="F56" i="27"/>
  <c r="F38" i="27"/>
  <c r="F20" i="27"/>
  <c r="F43" i="27"/>
  <c r="M11" i="27"/>
  <c r="W30" i="27"/>
  <c r="E30" i="27" s="1"/>
  <c r="H30" i="27" s="1"/>
  <c r="M30" i="27"/>
  <c r="F15" i="27"/>
  <c r="M24" i="27"/>
  <c r="F50" i="27"/>
  <c r="F53" i="27"/>
  <c r="F18" i="27"/>
  <c r="M53" i="27"/>
  <c r="M18" i="27"/>
  <c r="W37" i="27"/>
  <c r="E37" i="27" s="1"/>
  <c r="H37" i="27" s="1"/>
  <c r="M37" i="27"/>
  <c r="F31" i="27"/>
  <c r="M31" i="27"/>
  <c r="F27" i="27"/>
  <c r="F11" i="27"/>
  <c r="F46" i="27"/>
  <c r="F59" i="27"/>
  <c r="M59" i="27"/>
  <c r="F34" i="27"/>
  <c r="F63" i="27"/>
  <c r="F28" i="27"/>
  <c r="F60" i="27"/>
  <c r="M60" i="27"/>
  <c r="W44" i="27"/>
  <c r="E44" i="27" s="1"/>
  <c r="H44" i="27" s="1"/>
  <c r="M44" i="27"/>
  <c r="M29" i="27"/>
  <c r="M36" i="27"/>
  <c r="M43" i="27"/>
  <c r="M50" i="27"/>
  <c r="M57" i="27"/>
  <c r="M8" i="27"/>
  <c r="M15" i="27"/>
  <c r="M22" i="27"/>
  <c r="F25" i="27"/>
  <c r="W9" i="27"/>
  <c r="E9" i="27" s="1"/>
  <c r="H9" i="27" s="1"/>
  <c r="W16" i="27"/>
  <c r="E16" i="27" s="1"/>
  <c r="H16" i="27" s="1"/>
  <c r="W23" i="27"/>
  <c r="E23" i="27" s="1"/>
  <c r="H23" i="27" s="1"/>
  <c r="M28" i="27"/>
  <c r="M35" i="27"/>
  <c r="M42" i="27"/>
  <c r="M49" i="27"/>
  <c r="M56" i="27"/>
  <c r="M63" i="27"/>
  <c r="R16" i="25"/>
  <c r="W8" i="17"/>
  <c r="E8" i="17" s="1"/>
  <c r="F8" i="17" s="1"/>
  <c r="R13" i="25"/>
  <c r="M49" i="17"/>
  <c r="R74" i="25"/>
  <c r="R64" i="25"/>
  <c r="J71" i="12"/>
  <c r="J55" i="12"/>
  <c r="J41" i="12"/>
  <c r="T27" i="12"/>
  <c r="R37" i="25"/>
  <c r="J62" i="12"/>
  <c r="J4" i="12"/>
  <c r="R56" i="25"/>
  <c r="P65" i="25"/>
  <c r="Q65" i="25" s="1"/>
  <c r="R42" i="25"/>
  <c r="J23" i="12"/>
  <c r="R24" i="25"/>
  <c r="R7" i="25"/>
  <c r="T65" i="12"/>
  <c r="J49" i="12"/>
  <c r="T20" i="12"/>
  <c r="J9" i="12"/>
  <c r="R14" i="25"/>
  <c r="P19" i="25"/>
  <c r="Q19" i="25" s="1"/>
  <c r="R68" i="25"/>
  <c r="M59" i="17"/>
  <c r="M48" i="17"/>
  <c r="M13" i="17"/>
  <c r="M9" i="17"/>
  <c r="M41" i="17"/>
  <c r="M11" i="17"/>
  <c r="M30" i="17"/>
  <c r="M38" i="17"/>
  <c r="M62" i="17"/>
  <c r="W24" i="17"/>
  <c r="E24" i="17" s="1"/>
  <c r="F24" i="17" s="1"/>
  <c r="M61" i="17"/>
  <c r="W3" i="17"/>
  <c r="E3" i="17" s="1"/>
  <c r="H3" i="17" s="1"/>
  <c r="W58" i="17"/>
  <c r="E58" i="17" s="1"/>
  <c r="F58" i="17" s="1"/>
  <c r="W44" i="17"/>
  <c r="E44" i="17" s="1"/>
  <c r="F44" i="17" s="1"/>
  <c r="W51" i="17"/>
  <c r="E51" i="17" s="1"/>
  <c r="F51" i="17" s="1"/>
  <c r="M43" i="17"/>
  <c r="M6" i="17"/>
  <c r="M36" i="17"/>
  <c r="W19" i="17"/>
  <c r="E19" i="17" s="1"/>
  <c r="F19" i="17" s="1"/>
  <c r="M35" i="17"/>
  <c r="W55" i="17"/>
  <c r="E55" i="17" s="1"/>
  <c r="F55" i="17" s="1"/>
  <c r="W16" i="17"/>
  <c r="E16" i="17" s="1"/>
  <c r="F16" i="17" s="1"/>
  <c r="W50" i="17"/>
  <c r="E50" i="17" s="1"/>
  <c r="H50" i="17" s="1"/>
  <c r="W57" i="17"/>
  <c r="E57" i="17" s="1"/>
  <c r="F57" i="17" s="1"/>
  <c r="M63" i="17"/>
  <c r="M4" i="17"/>
  <c r="W31" i="17"/>
  <c r="E31" i="17" s="1"/>
  <c r="H31" i="17" s="1"/>
  <c r="M29" i="17"/>
  <c r="M15" i="17"/>
  <c r="M60" i="17"/>
  <c r="W26" i="17"/>
  <c r="E26" i="17" s="1"/>
  <c r="H26" i="17" s="1"/>
  <c r="M18" i="17"/>
  <c r="W39" i="17"/>
  <c r="E39" i="17" s="1"/>
  <c r="H39" i="17" s="1"/>
  <c r="M54" i="17"/>
  <c r="M7" i="17"/>
  <c r="H47" i="17"/>
  <c r="F38" i="17"/>
  <c r="H38" i="17"/>
  <c r="H7" i="17"/>
  <c r="F7" i="17"/>
  <c r="H53" i="17"/>
  <c r="F53" i="17"/>
  <c r="M40" i="17"/>
  <c r="W14" i="17"/>
  <c r="E14" i="17" s="1"/>
  <c r="M23" i="17"/>
  <c r="M37" i="17"/>
  <c r="W32" i="17"/>
  <c r="E32" i="17" s="1"/>
  <c r="M47" i="17"/>
  <c r="H49" i="17"/>
  <c r="H25" i="17"/>
  <c r="W34" i="17"/>
  <c r="E34" i="17" s="1"/>
  <c r="W52" i="17"/>
  <c r="E52" i="17" s="1"/>
  <c r="F30" i="17"/>
  <c r="M53" i="17"/>
  <c r="W17" i="17"/>
  <c r="E17" i="17" s="1"/>
  <c r="H17" i="17" s="1"/>
  <c r="M56" i="17"/>
  <c r="H29" i="17"/>
  <c r="F29" i="17"/>
  <c r="H37" i="17"/>
  <c r="F37" i="17"/>
  <c r="H56" i="17"/>
  <c r="F56" i="17"/>
  <c r="F40" i="17"/>
  <c r="H40" i="17"/>
  <c r="H43" i="17"/>
  <c r="F43" i="17"/>
  <c r="H59" i="17"/>
  <c r="F59" i="17"/>
  <c r="F62" i="17"/>
  <c r="H62" i="17"/>
  <c r="F39" i="17"/>
  <c r="F6" i="17"/>
  <c r="H6" i="17"/>
  <c r="H35" i="17"/>
  <c r="F35" i="17"/>
  <c r="F54" i="17"/>
  <c r="H54" i="17"/>
  <c r="H19" i="17"/>
  <c r="H46" i="17"/>
  <c r="F46" i="17"/>
  <c r="H11" i="17"/>
  <c r="F11" i="17"/>
  <c r="F9" i="17"/>
  <c r="H9" i="17"/>
  <c r="H27" i="17"/>
  <c r="F27" i="17"/>
  <c r="F15" i="17"/>
  <c r="H15" i="17"/>
  <c r="H60" i="17"/>
  <c r="F60" i="17"/>
  <c r="H41" i="17"/>
  <c r="F41" i="17"/>
  <c r="H63" i="17"/>
  <c r="F63" i="17"/>
  <c r="F4" i="17"/>
  <c r="H4" i="17"/>
  <c r="F23" i="17"/>
  <c r="H23" i="17"/>
  <c r="H28" i="17"/>
  <c r="F28" i="17"/>
  <c r="F21" i="17"/>
  <c r="H21" i="17"/>
  <c r="H33" i="17"/>
  <c r="F33" i="17"/>
  <c r="F36" i="17"/>
  <c r="H36" i="17"/>
  <c r="H48" i="17"/>
  <c r="F48" i="17"/>
  <c r="F18" i="17"/>
  <c r="H18" i="17"/>
  <c r="F10" i="17"/>
  <c r="H10" i="17"/>
  <c r="H13" i="17"/>
  <c r="F13" i="17"/>
  <c r="F22" i="17"/>
  <c r="H22" i="17"/>
  <c r="M27" i="17"/>
  <c r="H61" i="17"/>
  <c r="M46" i="17"/>
  <c r="H12" i="17"/>
  <c r="M21" i="17"/>
  <c r="M33" i="17"/>
  <c r="W45" i="17"/>
  <c r="E45" i="17" s="1"/>
  <c r="W5" i="17"/>
  <c r="E5" i="17" s="1"/>
  <c r="M10" i="17"/>
  <c r="H8" i="17"/>
  <c r="F47" i="17"/>
  <c r="W42" i="17"/>
  <c r="E42" i="17" s="1"/>
  <c r="W20" i="17"/>
  <c r="E20" i="17" s="1"/>
  <c r="M22" i="17"/>
  <c r="F4" i="27" l="1"/>
  <c r="F13" i="27"/>
  <c r="F3" i="27"/>
  <c r="F40" i="27"/>
  <c r="F21" i="27"/>
  <c r="F26" i="27"/>
  <c r="F61" i="27"/>
  <c r="F33" i="27"/>
  <c r="F5" i="27"/>
  <c r="F47" i="27"/>
  <c r="F54" i="27"/>
  <c r="F12" i="27"/>
  <c r="F55" i="27"/>
  <c r="F6" i="27"/>
  <c r="F19" i="27"/>
  <c r="F7" i="27"/>
  <c r="F48" i="27"/>
  <c r="F62" i="27"/>
  <c r="F14" i="27"/>
  <c r="F58" i="27"/>
  <c r="F23" i="27"/>
  <c r="F30" i="27"/>
  <c r="F44" i="27"/>
  <c r="F37" i="27"/>
  <c r="F16" i="27"/>
  <c r="F9" i="27"/>
  <c r="F51" i="27"/>
  <c r="F50" i="17"/>
  <c r="H58" i="17"/>
  <c r="F3" i="17"/>
  <c r="H24" i="17"/>
  <c r="F31" i="17"/>
  <c r="H44" i="17"/>
  <c r="H57" i="17"/>
  <c r="H16" i="17"/>
  <c r="H51" i="17"/>
  <c r="H55" i="17"/>
  <c r="F26" i="17"/>
  <c r="F17" i="17"/>
  <c r="F52" i="17"/>
  <c r="H52" i="17"/>
  <c r="F14" i="17"/>
  <c r="H14" i="17"/>
  <c r="F34" i="17"/>
  <c r="H34" i="17"/>
  <c r="H32" i="17"/>
  <c r="F32" i="17"/>
  <c r="H42" i="17"/>
  <c r="F42" i="17"/>
  <c r="F5" i="17"/>
  <c r="H5" i="17"/>
  <c r="F45" i="17"/>
  <c r="H45" i="17"/>
  <c r="F20" i="17"/>
  <c r="H2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Drew Staab:
Blooming Prairie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D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D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403603A3-9B9B-4599-A75E-CBD3A6DDAE28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D2" authorId="0" shapeId="0" xr:uid="{EA03B326-875C-4E4B-A556-9B07955820F9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E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00000000-0006-0000-0B00-000003000000}">
      <text>
        <r>
          <rPr>
            <sz val="9"/>
            <color indexed="81"/>
            <rFont val="Tahoma"/>
            <family val="2"/>
          </rPr>
          <t xml:space="preserve">Drew Staab:
Blooming Prairie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utting Details" description="Connection to the 'Cutting Details' query in the workbook." type="5" refreshedVersion="8" background="1" saveData="1">
    <dbPr connection="Provider=Microsoft.Mashup.OleDb.1;Data Source=$Workbook$;Location=&quot;Cutting Details&quot;;Extended Properties=&quot;&quot;" command="SELECT * FROM [Cutting Details]"/>
  </connection>
</connections>
</file>

<file path=xl/sharedStrings.xml><?xml version="1.0" encoding="utf-8"?>
<sst xmlns="http://schemas.openxmlformats.org/spreadsheetml/2006/main" count="7556" uniqueCount="2174">
  <si>
    <t>SPHEROID 100MG 21 x 22.4 - with longer fingers</t>
  </si>
  <si>
    <t>SPHEROID 100MG 21 x 22.4 - with longer fingers_Corr Allow</t>
  </si>
  <si>
    <t>SPHEROID 100MG 23 x 22.4 - NEW</t>
  </si>
  <si>
    <t>SPHEROID 100MG 23 x 22.4 -with longer fingersxls</t>
  </si>
  <si>
    <t>SPHEROID 100MG 23 x 22.4 -with longer fingers_CORR ALLOW</t>
  </si>
  <si>
    <t>SPHEROID 100MG 25 x 25 -with longer fingersxls</t>
  </si>
  <si>
    <t>SPHEROID 100MG 28 x 25 - NEW</t>
  </si>
  <si>
    <t>SPHEROID 125MG 21 x 22.4 - NEW</t>
  </si>
  <si>
    <t>SPHEROID 125MG 23 x 22.4 - NEW</t>
  </si>
  <si>
    <t>SPHEROID 125MG 28 x 25 - NEW</t>
  </si>
  <si>
    <t>SPHEROID 150MG 21 x 22.4 - NEW</t>
  </si>
  <si>
    <t>SPHEROID 150MG 23 x 22.4 - CORR. ALOW with longer fingers</t>
  </si>
  <si>
    <t>SPHEROID 150MG 23 x 22.4 - NEW</t>
  </si>
  <si>
    <t>SPHEROID 150MG 23 x 22.4 - with longer fingers</t>
  </si>
  <si>
    <t>SPHEROID 150MG 25 x 25 - CORR. ALLOW with longer fingers</t>
  </si>
  <si>
    <t>SPHEROID 150MG 25 x 25 - with longer fingers</t>
  </si>
  <si>
    <t>SPHEROID 150MG 28 x 25 - with longer fingers</t>
  </si>
  <si>
    <t>SPHEROID 200MG 21 x 22-4 - NEW</t>
  </si>
  <si>
    <t>SPHEROID 200MG 21 x 22-4</t>
  </si>
  <si>
    <t>SPHEROID 200MG 23 x 22-4 Corrosion Allowance</t>
  </si>
  <si>
    <t>SPHEROID 200MG 23 x 22-4</t>
  </si>
  <si>
    <t>SPHEROID 200MG 25 x 25</t>
  </si>
  <si>
    <t>SPHEROID 200MG 28 x 25</t>
  </si>
  <si>
    <t>SPHEROID 200MG 30 x 30</t>
  </si>
  <si>
    <t>SPHEROID 200MG 32 x 30</t>
  </si>
  <si>
    <t>SPHEROID 250MG 23 x 22-4</t>
  </si>
  <si>
    <t>SPHEROID 250MG 25 x 25 (Corr. Allowance)</t>
  </si>
  <si>
    <t>SPHEROID 250MG 25 x 25</t>
  </si>
  <si>
    <t>SPHEROID 250MG 28 x 25</t>
  </si>
  <si>
    <t>SPHEROID 250MG 30 x 25</t>
  </si>
  <si>
    <t>SPHEROID 250MG 30 x 30</t>
  </si>
  <si>
    <t>SPHEROID 250MG 32 x 25</t>
  </si>
  <si>
    <t>30208 SPHEROID 250MG 34 x 30</t>
  </si>
  <si>
    <t>SPHEROID 250MG 40 x 30</t>
  </si>
  <si>
    <t>SPHEROID 300MG 21 x 22.4</t>
  </si>
  <si>
    <t>SPHEROID 300MG 23 x 22.4</t>
  </si>
  <si>
    <t>SPHEROID 300MG 25 x 25</t>
  </si>
  <si>
    <t>SPHEROID 300MG 28 x 25 (Corrosion Allowance)</t>
  </si>
  <si>
    <t>SPHEROID 300MG 28 x 25</t>
  </si>
  <si>
    <t>SPHEROID 300MG 30 x 30</t>
  </si>
  <si>
    <t>SPHEROID 300MG 32 x 25</t>
  </si>
  <si>
    <t>SPHEROID 300MG 32 x 30</t>
  </si>
  <si>
    <t>SPHEROID 300MG 34 x 30</t>
  </si>
  <si>
    <t>SPHEROID 300MG 38 x 30</t>
  </si>
  <si>
    <t>SPHEROID 325MG 25 x 25</t>
  </si>
  <si>
    <t>SPHEROID 35MG 21 x 22.4</t>
  </si>
  <si>
    <t>SPHEROID 400MG 25 x 25</t>
  </si>
  <si>
    <t>SPHEROID 400MG 28 x 25</t>
  </si>
  <si>
    <t>SPHEROID 400MG 30 x 30 libertyville</t>
  </si>
  <si>
    <t>SPHEROID 400MG 30 x 30</t>
  </si>
  <si>
    <t>SPHEROID 400MG 32 x 25</t>
  </si>
  <si>
    <t>SPHEROID 400MG 32 x 30</t>
  </si>
  <si>
    <t>SPHEROID 400MG 40 x 30</t>
  </si>
  <si>
    <t>SPHEROID 500MG 25 x 25 - NEW</t>
  </si>
  <si>
    <t>SPHEROID 500MG 25 x 25</t>
  </si>
  <si>
    <t>SPHEROID 500MG 28 x 25</t>
  </si>
  <si>
    <t>SPHEROID 500MG 30 x 30.sand springs</t>
  </si>
  <si>
    <t>SPHEROID 500MG 30 x 30</t>
  </si>
  <si>
    <t>SPHEROID 500MG 30 x 40</t>
  </si>
  <si>
    <t>SPHEROID 500MG 32 x 25</t>
  </si>
  <si>
    <t>SPHEROID 500MG 32 x 28</t>
  </si>
  <si>
    <t>SPHEROID 500MG 32 x 30</t>
  </si>
  <si>
    <t>SPHEROID 500MG 34 x 30</t>
  </si>
  <si>
    <t>SPHEROID 500MG 38 x 30</t>
  </si>
  <si>
    <t>SPHEROID 500MG 40 x 30 12ft column</t>
  </si>
  <si>
    <t>SPHEROID 500MG 44 x 30</t>
  </si>
  <si>
    <t>SPHEROID 50MG 21 x 22.4</t>
  </si>
  <si>
    <t>SPHEROID 50MG 23 x 22.4</t>
  </si>
  <si>
    <t>SPHEROID 600MG 28 x 25</t>
  </si>
  <si>
    <t>SPHEROID 600MG 32 x 30</t>
  </si>
  <si>
    <t>SPHEROID 600MG 38 x 30</t>
  </si>
  <si>
    <t>SPHEROID 600MG 40 x 30</t>
  </si>
  <si>
    <t>SPHEROID 750MG 30 x 30</t>
  </si>
  <si>
    <t>SPHEROID 750MG 36 x 30</t>
  </si>
  <si>
    <t>SPHEROID 75MG 21 x 22.4</t>
  </si>
  <si>
    <t>SPHEROID 75MG 28 x 25</t>
  </si>
  <si>
    <t>TANK DESIGNATION</t>
  </si>
  <si>
    <t xml:space="preserve">DOOR TYPE  </t>
  </si>
  <si>
    <t>Door Position Degree</t>
  </si>
  <si>
    <t>Base Plate Diameter</t>
  </si>
  <si>
    <t>BASE PLATE OUTSIDE RADIUS</t>
  </si>
  <si>
    <t>BASE PLATE INSIDE RADIUS</t>
  </si>
  <si>
    <t>BASE PLATE SEGMENT DEGREE</t>
  </si>
  <si>
    <t>BASE PLATE THK</t>
  </si>
  <si>
    <t>BASE PLATE SEGMENT QUANTITY</t>
  </si>
  <si>
    <t>Anchor Bolt Hole Quantity</t>
  </si>
  <si>
    <t>Anchor Bolt Hole Start Degree</t>
  </si>
  <si>
    <t>ANCHOR BOLT QUANTITY</t>
  </si>
  <si>
    <t>Side Chairs</t>
  </si>
  <si>
    <t>Side ChairsWith Tops</t>
  </si>
  <si>
    <t>Base Plate Shim Quantity</t>
  </si>
  <si>
    <t>B1 LOWER RADIUS</t>
  </si>
  <si>
    <t>B1 UPPER RADIUS</t>
  </si>
  <si>
    <t>B1 HEIGHT</t>
  </si>
  <si>
    <t>B1 THK</t>
  </si>
  <si>
    <t>B1 SEGMENT DEGREE</t>
  </si>
  <si>
    <t>B1 SEGEMENT QUANTITY</t>
  </si>
  <si>
    <t>B2 LOWER RADIUS</t>
  </si>
  <si>
    <t>B2 UPPER RADIUS</t>
  </si>
  <si>
    <t>B2 HEIGHT</t>
  </si>
  <si>
    <t>B2 THK</t>
  </si>
  <si>
    <t>B2 SEGMENT DEGREE</t>
  </si>
  <si>
    <t>B2 SEGEMENT QUANTITY</t>
  </si>
  <si>
    <t>B3 OUTSIDE RADIUS</t>
  </si>
  <si>
    <t>B3 LOWER RADIUS</t>
  </si>
  <si>
    <t>B3 UPPER RADIUS</t>
  </si>
  <si>
    <t>B3 HEIGHT</t>
  </si>
  <si>
    <t>B3 THK</t>
  </si>
  <si>
    <t>B3 SEGMENT DEGREE</t>
  </si>
  <si>
    <t>B3 SEGEMENT QUANTITY</t>
  </si>
  <si>
    <t>B4 OUTSIDE RADIUS</t>
  </si>
  <si>
    <t>B4 LOWER RADIUS</t>
  </si>
  <si>
    <t>B4 UPPER RADIUS</t>
  </si>
  <si>
    <t>B4 HEIGHT</t>
  </si>
  <si>
    <t>B4 THK</t>
  </si>
  <si>
    <t>B4 SEGMENT DEGREE</t>
  </si>
  <si>
    <t>B4 SEGEMENT QUANTITY</t>
  </si>
  <si>
    <t>B5 OUTSIDE RADIUS</t>
  </si>
  <si>
    <t>B5 LOWER RADIUS</t>
  </si>
  <si>
    <t>B5 UPPER RADIUS</t>
  </si>
  <si>
    <t>B5 HEIGHT</t>
  </si>
  <si>
    <t>B5 THK</t>
  </si>
  <si>
    <t>B5 SEGMENT DEGREE</t>
  </si>
  <si>
    <t>B5 SEGEMENT QUANTITY</t>
  </si>
  <si>
    <t>COLUMN DIAMETER</t>
  </si>
  <si>
    <t>COLUMN HEIGHT</t>
  </si>
  <si>
    <t>C1 DIAMETER</t>
  </si>
  <si>
    <t>C1 HEIGHT</t>
  </si>
  <si>
    <t>C1 THICKNESS</t>
  </si>
  <si>
    <t>C2 DIAMETER</t>
  </si>
  <si>
    <t>C2 HEIGHT</t>
  </si>
  <si>
    <t>C2 THICKNESS</t>
  </si>
  <si>
    <t>C3 DIAMETER</t>
  </si>
  <si>
    <t>C3 HEIGHT</t>
  </si>
  <si>
    <t>C3 THICKNESS</t>
  </si>
  <si>
    <t>C4 DIAMETER</t>
  </si>
  <si>
    <t>C4 HEIGHT</t>
  </si>
  <si>
    <t>C4 THICKNESS</t>
  </si>
  <si>
    <t>C5 DIAMETER</t>
  </si>
  <si>
    <t>C5 HEIGHT</t>
  </si>
  <si>
    <t>C5 THICKNESS</t>
  </si>
  <si>
    <t>C6 DIAMETER</t>
  </si>
  <si>
    <t>C6 HEIGHT</t>
  </si>
  <si>
    <t>C6 THICKNESS</t>
  </si>
  <si>
    <t>C7 DIAMETER</t>
  </si>
  <si>
    <t>C7 HEIGHT</t>
  </si>
  <si>
    <t>C7 THICKNESS</t>
  </si>
  <si>
    <t>C8 DIAMETER</t>
  </si>
  <si>
    <t>C8 HEIGHT</t>
  </si>
  <si>
    <t>C8 THICKNESS</t>
  </si>
  <si>
    <t>C9 DIAMETER</t>
  </si>
  <si>
    <t>C9 HEIGHT</t>
  </si>
  <si>
    <t>C9 THICKNESS</t>
  </si>
  <si>
    <t>C10 DIAMETER</t>
  </si>
  <si>
    <t>C10 HEIGHT</t>
  </si>
  <si>
    <t>C10 THICKNESS</t>
  </si>
  <si>
    <t>C11 DIAMETER</t>
  </si>
  <si>
    <t>C11 HEIGHT</t>
  </si>
  <si>
    <t>C11 THICKNESS</t>
  </si>
  <si>
    <t>C12 DIAMETER</t>
  </si>
  <si>
    <t>C12 HEIGHT</t>
  </si>
  <si>
    <t>C12 THICKNESS</t>
  </si>
  <si>
    <t>C13 DIAMETER</t>
  </si>
  <si>
    <t>C13 HEIGHT</t>
  </si>
  <si>
    <t>C13 THICKNESS</t>
  </si>
  <si>
    <t>C14 DIAMETER</t>
  </si>
  <si>
    <t>C14 HEIGHT</t>
  </si>
  <si>
    <t>C14 THICKNESS</t>
  </si>
  <si>
    <t>C15 DIAMETER</t>
  </si>
  <si>
    <t>C15 HEIGHT</t>
  </si>
  <si>
    <t>C15 THICKNESS</t>
  </si>
  <si>
    <t>C16 DIAMETER</t>
  </si>
  <si>
    <t>C16 HEIGHT</t>
  </si>
  <si>
    <t>C16 THICKNESS</t>
  </si>
  <si>
    <t>C17 DIAMETER</t>
  </si>
  <si>
    <t>C17 HEIGHT</t>
  </si>
  <si>
    <t>C17 THICKNESS</t>
  </si>
  <si>
    <t>C18 DIAMETER</t>
  </si>
  <si>
    <t>C18 HEIGHT</t>
  </si>
  <si>
    <t>C18 THICKNESS</t>
  </si>
  <si>
    <t>T1 OUTSIDE RADIUS</t>
  </si>
  <si>
    <t>T1 LOWER RADIUS</t>
  </si>
  <si>
    <t>T1 UPPER RADIUS</t>
  </si>
  <si>
    <t>T1 HEIGHT</t>
  </si>
  <si>
    <t>T1 THK</t>
  </si>
  <si>
    <t>T1 SEGMENT DEGREE</t>
  </si>
  <si>
    <t>T1 SEGMENT QUANTITY</t>
  </si>
  <si>
    <t>T2 UPPER RADIUS</t>
  </si>
  <si>
    <t>T2 LOWER RADIUS</t>
  </si>
  <si>
    <t>T2 HEIGHT</t>
  </si>
  <si>
    <t>T2 THK</t>
  </si>
  <si>
    <t>T2 SEGMENT DEGREE</t>
  </si>
  <si>
    <t>T2 SEGMENT QUANTITY</t>
  </si>
  <si>
    <t>T3 UPPER RADIUS</t>
  </si>
  <si>
    <t>T3 LOWER RADIUS</t>
  </si>
  <si>
    <t>T3 HEIGHT</t>
  </si>
  <si>
    <t>T3 THK</t>
  </si>
  <si>
    <t>T3 SEGMENT DEGREE</t>
  </si>
  <si>
    <t>T3 SEGMENT QUANTITY</t>
  </si>
  <si>
    <t>T4 UPPER RADIUS</t>
  </si>
  <si>
    <t>T4 LOWER RADIUS</t>
  </si>
  <si>
    <t>T4 HEIGHT</t>
  </si>
  <si>
    <t>T4 THK</t>
  </si>
  <si>
    <t>T4 SEGMENT DEGREE</t>
  </si>
  <si>
    <t>T4 SEGMENT QUANTITY</t>
  </si>
  <si>
    <t>T5 UPPER RADIUS</t>
  </si>
  <si>
    <t>T5 LOWER RADIUS</t>
  </si>
  <si>
    <t>T5 HEIGHT</t>
  </si>
  <si>
    <t>T5 THK</t>
  </si>
  <si>
    <t>T5 SEGMENT DEGREE</t>
  </si>
  <si>
    <t>T5 SEGMENT QUANTITY</t>
  </si>
  <si>
    <t>T6 UPPER RADIUS</t>
  </si>
  <si>
    <t>T6 LOWER RADIUS</t>
  </si>
  <si>
    <t>T6 HEIGHT</t>
  </si>
  <si>
    <t>T6 THK</t>
  </si>
  <si>
    <t>T6 SEGMENT DEGREE</t>
  </si>
  <si>
    <t>T6 SEGMENT QUANTITY</t>
  </si>
  <si>
    <t>KNUCKLE KNUCKLE THICKNESS</t>
  </si>
  <si>
    <t>KNUCKLE KNUCKLE LOWER RADIUS</t>
  </si>
  <si>
    <t>KNUCKLE KNUCKLE CENTER HEIGHT</t>
  </si>
  <si>
    <t>KNUCKLE KNUCKLE UPPER START RADIUS</t>
  </si>
  <si>
    <t>KNUCKLE KNUCKLE UPPER EXTEND RADIUS</t>
  </si>
  <si>
    <t>KNUCKLE KNUCKLE EXTEND RADIUS</t>
  </si>
  <si>
    <t>KNUCKLE KNUCKLE START DEGREE</t>
  </si>
  <si>
    <t>KNUCKLE KNUCKLE END DEGREE</t>
  </si>
  <si>
    <t>KNUCKLE KNUCKLE SECTION RADIUS</t>
  </si>
  <si>
    <t>Bottom Knuckle Thickness</t>
  </si>
  <si>
    <t>Bottom Knuckle Radius</t>
  </si>
  <si>
    <t>Bottom Knuckle Quantity</t>
  </si>
  <si>
    <t>Bottom Knuckle Segement Degree</t>
  </si>
  <si>
    <t>Bottom Knuckle End Degree</t>
  </si>
  <si>
    <t>Bottom Knuck Extra Dimension</t>
  </si>
  <si>
    <t>Bottom Knuckle Diameter</t>
  </si>
  <si>
    <t>Top Knuckle Thickness</t>
  </si>
  <si>
    <t>Top Knuckle Radius</t>
  </si>
  <si>
    <t>Top Knuckle Quantity</t>
  </si>
  <si>
    <t>Top Knuckle Segement Degree</t>
  </si>
  <si>
    <t>Top Knuckle End Degree</t>
  </si>
  <si>
    <t>Top Knuck Extra Dimension</t>
  </si>
  <si>
    <t>Top Knuckle Diameter</t>
  </si>
  <si>
    <t>Roof Finger Thickness</t>
  </si>
  <si>
    <t>Roof Finger Radius</t>
  </si>
  <si>
    <t>Roof Finger Quantity</t>
  </si>
  <si>
    <t>Roof Finger Segement Degree</t>
  </si>
  <si>
    <t>Roof Finger End Degree</t>
  </si>
  <si>
    <t>Roof Finger Extra Dimension</t>
  </si>
  <si>
    <t>Roof Finger Diameter</t>
  </si>
  <si>
    <t>Reducer Cone Lower Radius</t>
  </si>
  <si>
    <t>Reducer Cone Upper Radius</t>
  </si>
  <si>
    <t>Reducer Cone Height</t>
  </si>
  <si>
    <t>Reducer Cone Thickness</t>
  </si>
  <si>
    <t>Reducer Cone Quantity</t>
  </si>
  <si>
    <t>Reducer Cone Bottom Compression Ring Inside Radius</t>
  </si>
  <si>
    <t>Reducer Cone Bottom Compression Ring Outside Radius</t>
  </si>
  <si>
    <t>Reducer Cone Bottom Compression Ring Thickness</t>
  </si>
  <si>
    <t>Reducer Cone Bottom Compression Ring Degree</t>
  </si>
  <si>
    <t>Reducer Cone Bottom Compression Ring Quantity</t>
  </si>
  <si>
    <t>Reducer Cone Top Compression Ring Inside Radius</t>
  </si>
  <si>
    <t>Reducer Cone Top Compression Ring Outside Radius</t>
  </si>
  <si>
    <t>Reducer Cone Top Compression Ring Thickness</t>
  </si>
  <si>
    <t>DRYWELL LOWER DIAMETER</t>
  </si>
  <si>
    <t>DRYWELL LOWER HEIGHT</t>
  </si>
  <si>
    <t>DRYWELL LOWER THK</t>
  </si>
  <si>
    <t>DRYWELL UPPER DIAMETER</t>
  </si>
  <si>
    <t>DRYWELL UPPER HEIGHT</t>
  </si>
  <si>
    <t>DRYWELL UPPER THK</t>
  </si>
  <si>
    <t>DRYWELL STIFFENER OUTSIDE RADIUS</t>
  </si>
  <si>
    <t>DRYWELL STIFFENER INSIDE RADIUS</t>
  </si>
  <si>
    <t>DRYWELL STIFFENER THICKNESS</t>
  </si>
  <si>
    <t>DRYWELL STIFFENER QUANTITY</t>
  </si>
  <si>
    <t>PARAMETER REF.</t>
  </si>
  <si>
    <t>MG</t>
  </si>
  <si>
    <t>BASCONE DIA</t>
  </si>
  <si>
    <t>BASECONE HT</t>
  </si>
  <si>
    <t>DOOR TYPE</t>
  </si>
  <si>
    <t>DDEG</t>
  </si>
  <si>
    <t>BPDIA</t>
  </si>
  <si>
    <t>BPOR</t>
  </si>
  <si>
    <t>BPIR</t>
  </si>
  <si>
    <t>BPDEG</t>
  </si>
  <si>
    <t>BPTHK</t>
  </si>
  <si>
    <t>BPQ</t>
  </si>
  <si>
    <t>ABHQ</t>
  </si>
  <si>
    <t>ABHSD</t>
  </si>
  <si>
    <t>ABQ</t>
  </si>
  <si>
    <t>SC</t>
  </si>
  <si>
    <t>SCWT</t>
  </si>
  <si>
    <t>BPSQ</t>
  </si>
  <si>
    <t>B1LR</t>
  </si>
  <si>
    <t>B1UR</t>
  </si>
  <si>
    <t>B1HT</t>
  </si>
  <si>
    <t>B1THK</t>
  </si>
  <si>
    <t>B1DEG</t>
  </si>
  <si>
    <t>B1Q</t>
  </si>
  <si>
    <t>B2LR</t>
  </si>
  <si>
    <t>B2UR</t>
  </si>
  <si>
    <t>B2HT</t>
  </si>
  <si>
    <t>B2THK</t>
  </si>
  <si>
    <t>B2DEG</t>
  </si>
  <si>
    <t>B2Q</t>
  </si>
  <si>
    <t>B3OR</t>
  </si>
  <si>
    <t>B3LR</t>
  </si>
  <si>
    <t>B3UR</t>
  </si>
  <si>
    <t>B3HT</t>
  </si>
  <si>
    <t>B3THK</t>
  </si>
  <si>
    <t>B3DEG</t>
  </si>
  <si>
    <t>B3Q</t>
  </si>
  <si>
    <t>B4OR</t>
  </si>
  <si>
    <t>B4LR</t>
  </si>
  <si>
    <t>B4UR</t>
  </si>
  <si>
    <t>B4HT</t>
  </si>
  <si>
    <t>B4THK</t>
  </si>
  <si>
    <t>B4DEG</t>
  </si>
  <si>
    <t>B4Q</t>
  </si>
  <si>
    <t>B5OR</t>
  </si>
  <si>
    <t>B5LR</t>
  </si>
  <si>
    <t>B5UR</t>
  </si>
  <si>
    <t>B5HT</t>
  </si>
  <si>
    <t>B5THK</t>
  </si>
  <si>
    <t>B5DEG</t>
  </si>
  <si>
    <t>B5Q</t>
  </si>
  <si>
    <t>CDIA</t>
  </si>
  <si>
    <t>CHT</t>
  </si>
  <si>
    <t>C1DIA</t>
  </si>
  <si>
    <t>C1HT</t>
  </si>
  <si>
    <t>C1THK</t>
  </si>
  <si>
    <t>C2DIA</t>
  </si>
  <si>
    <t>C2HT</t>
  </si>
  <si>
    <t>C2THK</t>
  </si>
  <si>
    <t>C3DIA</t>
  </si>
  <si>
    <t>C3HT</t>
  </si>
  <si>
    <t>C3THK</t>
  </si>
  <si>
    <t>C4DIA</t>
  </si>
  <si>
    <t>C4HT</t>
  </si>
  <si>
    <t>C4THK</t>
  </si>
  <si>
    <t>C5DIA</t>
  </si>
  <si>
    <t>C5HT</t>
  </si>
  <si>
    <t>C5THK</t>
  </si>
  <si>
    <t>C6DIA</t>
  </si>
  <si>
    <t>C6HT</t>
  </si>
  <si>
    <t>C6THK</t>
  </si>
  <si>
    <t>C7DIA</t>
  </si>
  <si>
    <t>C7HT</t>
  </si>
  <si>
    <t>C7THK</t>
  </si>
  <si>
    <t>C8DIA</t>
  </si>
  <si>
    <t>C8HT</t>
  </si>
  <si>
    <t>C8THK</t>
  </si>
  <si>
    <t>C9DIA</t>
  </si>
  <si>
    <t>C9HT</t>
  </si>
  <si>
    <t>C9THK</t>
  </si>
  <si>
    <t>C10DIA</t>
  </si>
  <si>
    <t>C10HT</t>
  </si>
  <si>
    <t>C10THK</t>
  </si>
  <si>
    <t>C11DIA</t>
  </si>
  <si>
    <t>C11HT</t>
  </si>
  <si>
    <t>C11THK</t>
  </si>
  <si>
    <t>C12DIA</t>
  </si>
  <si>
    <t>C12HT</t>
  </si>
  <si>
    <t>C12THK</t>
  </si>
  <si>
    <t>C13DIA</t>
  </si>
  <si>
    <t>C13HT</t>
  </si>
  <si>
    <t>C13THK</t>
  </si>
  <si>
    <t>C14DIA</t>
  </si>
  <si>
    <t>C14HT</t>
  </si>
  <si>
    <t>C14THK</t>
  </si>
  <si>
    <t>C15DIA</t>
  </si>
  <si>
    <t>C15HT</t>
  </si>
  <si>
    <t>C15THK</t>
  </si>
  <si>
    <t>C16DIA</t>
  </si>
  <si>
    <t>C16HT</t>
  </si>
  <si>
    <t>C16THK</t>
  </si>
  <si>
    <t>C17DIA</t>
  </si>
  <si>
    <t>C17HT</t>
  </si>
  <si>
    <t>C17THK</t>
  </si>
  <si>
    <t>C18DIA</t>
  </si>
  <si>
    <t>C18HT</t>
  </si>
  <si>
    <t>C18THK</t>
  </si>
  <si>
    <t>T1OR</t>
  </si>
  <si>
    <t>T1LR</t>
  </si>
  <si>
    <t>T1UR</t>
  </si>
  <si>
    <t>TIHT</t>
  </si>
  <si>
    <t>T1THK</t>
  </si>
  <si>
    <t>T1DEG</t>
  </si>
  <si>
    <t>T1Q</t>
  </si>
  <si>
    <t>T2UR</t>
  </si>
  <si>
    <t>T2LR</t>
  </si>
  <si>
    <t>T2HT</t>
  </si>
  <si>
    <t>T2THK</t>
  </si>
  <si>
    <t>T2SEG</t>
  </si>
  <si>
    <t>T2Q</t>
  </si>
  <si>
    <t>T3UR</t>
  </si>
  <si>
    <t>T3LR</t>
  </si>
  <si>
    <t>T3HT</t>
  </si>
  <si>
    <t>T3THK</t>
  </si>
  <si>
    <t>T3SEG</t>
  </si>
  <si>
    <t>T3Q</t>
  </si>
  <si>
    <t>T4UR</t>
  </si>
  <si>
    <t>T4LR</t>
  </si>
  <si>
    <t>T4HT</t>
  </si>
  <si>
    <t>T4THK</t>
  </si>
  <si>
    <t>T4SEG</t>
  </si>
  <si>
    <t>T4Q</t>
  </si>
  <si>
    <t>T5UR</t>
  </si>
  <si>
    <t>T5LR</t>
  </si>
  <si>
    <t>T5HT</t>
  </si>
  <si>
    <t>T5THK</t>
  </si>
  <si>
    <t>T5SEG</t>
  </si>
  <si>
    <t>T5Q</t>
  </si>
  <si>
    <t>T6UR</t>
  </si>
  <si>
    <t>T6LR</t>
  </si>
  <si>
    <t>T6HT</t>
  </si>
  <si>
    <t>T6THK</t>
  </si>
  <si>
    <t>T6SEG</t>
  </si>
  <si>
    <t>T6Q</t>
  </si>
  <si>
    <t>KKTHK</t>
  </si>
  <si>
    <t>KKLR</t>
  </si>
  <si>
    <t>KKCHT</t>
  </si>
  <si>
    <t>KKUSR</t>
  </si>
  <si>
    <t>KKUER</t>
  </si>
  <si>
    <t>KKER</t>
  </si>
  <si>
    <t>KKSDEG</t>
  </si>
  <si>
    <t>KKEDEG</t>
  </si>
  <si>
    <t>KKSECR</t>
  </si>
  <si>
    <t>BKTHK</t>
  </si>
  <si>
    <t>BKR</t>
  </si>
  <si>
    <t>BKQ</t>
  </si>
  <si>
    <t>BKSDEG</t>
  </si>
  <si>
    <t>BKEDEG</t>
  </si>
  <si>
    <t>BKEDIM</t>
  </si>
  <si>
    <t>BKDIA</t>
  </si>
  <si>
    <t>TKTHK</t>
  </si>
  <si>
    <t>TKR</t>
  </si>
  <si>
    <t>TKQ</t>
  </si>
  <si>
    <t>TKSDEG</t>
  </si>
  <si>
    <t>TKEDEG</t>
  </si>
  <si>
    <t>TKEDIM</t>
  </si>
  <si>
    <t>TKDIA</t>
  </si>
  <si>
    <t>RFTHK</t>
  </si>
  <si>
    <t>RFR</t>
  </si>
  <si>
    <t>RFQ</t>
  </si>
  <si>
    <t>RFSDEG</t>
  </si>
  <si>
    <t>RFEDEG</t>
  </si>
  <si>
    <t>RFEDIM</t>
  </si>
  <si>
    <t>RFDIA</t>
  </si>
  <si>
    <t>RCLR</t>
  </si>
  <si>
    <t>RCUR</t>
  </si>
  <si>
    <t>RCHT</t>
  </si>
  <si>
    <t>RCTHK</t>
  </si>
  <si>
    <t>RCQ</t>
  </si>
  <si>
    <t>RCBCRIR</t>
  </si>
  <si>
    <t>RCBCROR</t>
  </si>
  <si>
    <t>RCBCRTHK</t>
  </si>
  <si>
    <t>RCBCRDEG</t>
  </si>
  <si>
    <t>RCBCRQ</t>
  </si>
  <si>
    <t>RCTCRIR</t>
  </si>
  <si>
    <t>RCTCROR</t>
  </si>
  <si>
    <t>RCTCRTHK</t>
  </si>
  <si>
    <t>DWLDIA</t>
  </si>
  <si>
    <t>DWLHT</t>
  </si>
  <si>
    <t>DWLTHK</t>
  </si>
  <si>
    <t>DWUDIA</t>
  </si>
  <si>
    <t>DWUHT</t>
  </si>
  <si>
    <t>DWUTHK</t>
  </si>
  <si>
    <t>DWSTFOR</t>
  </si>
  <si>
    <t>DWSTFIR</t>
  </si>
  <si>
    <t>DWSTFTHK</t>
  </si>
  <si>
    <t>DWSTFQ</t>
  </si>
  <si>
    <t>35MG 21 x 22.4</t>
  </si>
  <si>
    <t>BRIDGER</t>
  </si>
  <si>
    <t>STD</t>
  </si>
  <si>
    <t>-</t>
  </si>
  <si>
    <t>50MG 21 x 22.4</t>
  </si>
  <si>
    <t>50MG 21 x 15.4</t>
  </si>
  <si>
    <t>MAGUIRE CAMPUS</t>
  </si>
  <si>
    <t>50MG 23 x 22.4</t>
  </si>
  <si>
    <t>75MG 21 x 22.4</t>
  </si>
  <si>
    <t>27'</t>
  </si>
  <si>
    <t>75MG 28 x 25</t>
  </si>
  <si>
    <t>100MG 21W x 22.4</t>
  </si>
  <si>
    <t>CAWLF</t>
  </si>
  <si>
    <t>WLF</t>
  </si>
  <si>
    <t>100MG 23 x 22.4</t>
  </si>
  <si>
    <t>NEW</t>
  </si>
  <si>
    <t>100MG 25 x 25</t>
  </si>
  <si>
    <t>100MG 28 x 25</t>
  </si>
  <si>
    <t>125MG 21 x 22.4</t>
  </si>
  <si>
    <t>32.33'</t>
  </si>
  <si>
    <t>125MG 23 x 22.4</t>
  </si>
  <si>
    <t>125MG 28 x 25</t>
  </si>
  <si>
    <t>150MG 21 x 22.4</t>
  </si>
  <si>
    <t>150MG 23 x 22.4</t>
  </si>
  <si>
    <t>150MG 25 x 25</t>
  </si>
  <si>
    <t>L</t>
  </si>
  <si>
    <t>150MG 28 x 25</t>
  </si>
  <si>
    <t>200MG 21 x 22.4</t>
  </si>
  <si>
    <t>40.5'</t>
  </si>
  <si>
    <t>200MG 23 x 22.4</t>
  </si>
  <si>
    <t xml:space="preserve">CA </t>
  </si>
  <si>
    <t>200MG 25 x 25</t>
  </si>
  <si>
    <t>200MG 28 x 25</t>
  </si>
  <si>
    <t>200MG 30 x 30</t>
  </si>
  <si>
    <t>200MG 32 x 30</t>
  </si>
  <si>
    <t>250MG 23 x 22.4</t>
  </si>
  <si>
    <t>250MG 25 x 25</t>
  </si>
  <si>
    <t>CA</t>
  </si>
  <si>
    <t>250MG 28 x 25</t>
  </si>
  <si>
    <t>250MG 30 x 25</t>
  </si>
  <si>
    <t>250MG 30 x 30</t>
  </si>
  <si>
    <t>250MG 32 x 25</t>
  </si>
  <si>
    <t>250MG 34 x 30</t>
  </si>
  <si>
    <t>250MG 40 x 30</t>
  </si>
  <si>
    <t>300MG 21 x 22.4</t>
  </si>
  <si>
    <t>46.5'</t>
  </si>
  <si>
    <t>300MG 23 x 22.4</t>
  </si>
  <si>
    <t>300MG 25 x 25</t>
  </si>
  <si>
    <t>42..4375</t>
  </si>
  <si>
    <t>300MG 28 x 25</t>
  </si>
  <si>
    <t>300MG 30 x 30</t>
  </si>
  <si>
    <t>300MG 32 x 25</t>
  </si>
  <si>
    <t>300MG 32 x 30</t>
  </si>
  <si>
    <t>300MG 34 x 30</t>
  </si>
  <si>
    <t>300MG 38 x 30</t>
  </si>
  <si>
    <t>325MG 25 x 25</t>
  </si>
  <si>
    <t>48'</t>
  </si>
  <si>
    <t>400MG 25 x 25</t>
  </si>
  <si>
    <t>51.5'</t>
  </si>
  <si>
    <t>400MG 28 x 25</t>
  </si>
  <si>
    <t>400MG 30 x 30</t>
  </si>
  <si>
    <t>LIBERTYVILLE</t>
  </si>
  <si>
    <t>400MG 32 x 25</t>
  </si>
  <si>
    <t>400MG 32 x 30</t>
  </si>
  <si>
    <t>400MG 40 x 30</t>
  </si>
  <si>
    <t>500MG 25 x 25</t>
  </si>
  <si>
    <t>500MG 28 x 25</t>
  </si>
  <si>
    <t>500MG 30 x 30</t>
  </si>
  <si>
    <t>500MG 32 x 25</t>
  </si>
  <si>
    <t>500MG 32 x 28</t>
  </si>
  <si>
    <t>500MG 32 x 30</t>
  </si>
  <si>
    <t>500MG 34 x 30</t>
  </si>
  <si>
    <t>500MG 38 x 30</t>
  </si>
  <si>
    <t>500MG 40 x 30</t>
  </si>
  <si>
    <t>12FT COLUMN</t>
  </si>
  <si>
    <t>600MG 28 x 25</t>
  </si>
  <si>
    <t>62.5'</t>
  </si>
  <si>
    <t>600MG 32 x 30</t>
  </si>
  <si>
    <t>600MG 38 x 30</t>
  </si>
  <si>
    <t>600MG 40 x 30</t>
  </si>
  <si>
    <t>750MG 30 x 30</t>
  </si>
  <si>
    <t>63'</t>
  </si>
  <si>
    <t>750MG 36 x 30</t>
  </si>
  <si>
    <t>BASE PLATE ASSY NAME</t>
  </si>
  <si>
    <t>SEG 1</t>
  </si>
  <si>
    <t>SEG 2</t>
  </si>
  <si>
    <t>SEG 3</t>
  </si>
  <si>
    <t>SEG 4</t>
  </si>
  <si>
    <t>SEG 5</t>
  </si>
  <si>
    <t>SEG 6</t>
  </si>
  <si>
    <t>SEG 7</t>
  </si>
  <si>
    <t>SEG 8</t>
  </si>
  <si>
    <t>SEG 9</t>
  </si>
  <si>
    <t>SEG 10</t>
  </si>
  <si>
    <t>SEG 11</t>
  </si>
  <si>
    <t>SEG 12</t>
  </si>
  <si>
    <t>SEG 13</t>
  </si>
  <si>
    <t>SEG 14</t>
  </si>
  <si>
    <t>SEG 15</t>
  </si>
  <si>
    <t>SEG 16</t>
  </si>
  <si>
    <t>BP-21-8-8-STD</t>
  </si>
  <si>
    <t>BP-21-8-1-STD</t>
  </si>
  <si>
    <t>BP-21-8-2-STD</t>
  </si>
  <si>
    <t>BP-21-8-3-STD</t>
  </si>
  <si>
    <t>BP-21-8-4-STD</t>
  </si>
  <si>
    <t>BP-21-8-5-STD</t>
  </si>
  <si>
    <t>BP-21-8-6-STD</t>
  </si>
  <si>
    <t>BP-21-8-7-STD</t>
  </si>
  <si>
    <t>BP-21-8-8-HMD</t>
  </si>
  <si>
    <t>BP-21-8-1-HMD</t>
  </si>
  <si>
    <t>BP-21-8-2-HMD</t>
  </si>
  <si>
    <t>BP-21-8-3-HMD</t>
  </si>
  <si>
    <t>BP-21-8-4-HMD</t>
  </si>
  <si>
    <t>BP-21-8-5-HMD</t>
  </si>
  <si>
    <t>BP-21-8-6-HMD</t>
  </si>
  <si>
    <t>BP-21-8-7-HMD</t>
  </si>
  <si>
    <t>BP-21-8-8-DBL</t>
  </si>
  <si>
    <t>BP-21-8-1-DBL</t>
  </si>
  <si>
    <t>BP-21-8-2-DBL</t>
  </si>
  <si>
    <t>BP-21-8-3-DBL</t>
  </si>
  <si>
    <t>BP-21-8-4-DBL</t>
  </si>
  <si>
    <t>BP-21-8-5-DBL</t>
  </si>
  <si>
    <t>BP-21-8-6-DBL</t>
  </si>
  <si>
    <t>BP-21-8-7-DBL</t>
  </si>
  <si>
    <t>BP-21-12-8-STD</t>
  </si>
  <si>
    <t>BP-21-12-1-STD</t>
  </si>
  <si>
    <t>BP-21-12-2-STD</t>
  </si>
  <si>
    <t>BP-21-12-3-STD</t>
  </si>
  <si>
    <t>BP-21-12-4-STD</t>
  </si>
  <si>
    <t>BP-21-12-5-STD</t>
  </si>
  <si>
    <t>BP-21-12-6-STD</t>
  </si>
  <si>
    <t>BP-21-12-7-STD</t>
  </si>
  <si>
    <t>BP-21-12-8-HMD</t>
  </si>
  <si>
    <t>BP-21-12-1-HMD</t>
  </si>
  <si>
    <t>BP-21-12-2-HMD</t>
  </si>
  <si>
    <t>BP-21-12-3-HMD</t>
  </si>
  <si>
    <t>BP-21-12-4-HMD</t>
  </si>
  <si>
    <t>BP-21-12-5-HMD</t>
  </si>
  <si>
    <t>BP-21-12-6-HMD</t>
  </si>
  <si>
    <t>BP-21-12-7-HMD</t>
  </si>
  <si>
    <t>BP-21-12-8-DBL</t>
  </si>
  <si>
    <t>BP-21-12-1-DBL</t>
  </si>
  <si>
    <t>BP-21-12-2-DBL</t>
  </si>
  <si>
    <t>BP-21-12-3-DBL</t>
  </si>
  <si>
    <t>BP-21-12-4-DBL</t>
  </si>
  <si>
    <t>BP-21-12-5-DBL</t>
  </si>
  <si>
    <t>BP-21-12-6-DBL</t>
  </si>
  <si>
    <t>BP-21-12-7-DBL</t>
  </si>
  <si>
    <t>BP-21-16-8-STD</t>
  </si>
  <si>
    <t>BP-21-16-1-STD</t>
  </si>
  <si>
    <t>BP-21-16-2-STD</t>
  </si>
  <si>
    <t>BP-21-16-3-STD</t>
  </si>
  <si>
    <t>BP-21-16-4-STD</t>
  </si>
  <si>
    <t>BP-21-16-5-STD</t>
  </si>
  <si>
    <t>BP-21-16-6-STD</t>
  </si>
  <si>
    <t>BP-21-16-7-STD</t>
  </si>
  <si>
    <t>BP-21-16-8-HMD</t>
  </si>
  <si>
    <t>BP-21-16-1-HMD</t>
  </si>
  <si>
    <t>BP-21-16-2-HMD</t>
  </si>
  <si>
    <t>BP-21-16-3-HMD</t>
  </si>
  <si>
    <t>BP-21-16-4-HMD</t>
  </si>
  <si>
    <t>BP-21-16-5-HMD</t>
  </si>
  <si>
    <t>BP-21-16-6-HMD</t>
  </si>
  <si>
    <t>BP-21-16-7-HMD</t>
  </si>
  <si>
    <t>BP-21-16-8-DBL</t>
  </si>
  <si>
    <t>BP-21-16-1-DBL</t>
  </si>
  <si>
    <t>BP-21-16-2-DBL</t>
  </si>
  <si>
    <t>BP-21-16-3-DBL</t>
  </si>
  <si>
    <t>BP-21-16-4-DBL</t>
  </si>
  <si>
    <t>BP-21-16-5-DBL</t>
  </si>
  <si>
    <t>BP-21-16-6-DBL</t>
  </si>
  <si>
    <t>BP-21-16-7-DBL</t>
  </si>
  <si>
    <t>BP-21-20-8-STD</t>
  </si>
  <si>
    <t>BP-21-20-1-STD</t>
  </si>
  <si>
    <t>BP-21-20-2-STD</t>
  </si>
  <si>
    <t>BP-21-20-3-STD</t>
  </si>
  <si>
    <t>BP-21-20-4-STD</t>
  </si>
  <si>
    <t>BP-21-20-5-STD</t>
  </si>
  <si>
    <t>BP-21-20-6-STD</t>
  </si>
  <si>
    <t>BP-21-20-7-STD</t>
  </si>
  <si>
    <t>BP-21-20-8-HMD</t>
  </si>
  <si>
    <t>BP-21-20-1-HMD</t>
  </si>
  <si>
    <t>BP-21-20-2-HMD</t>
  </si>
  <si>
    <t>BP-21-20-3-HMD</t>
  </si>
  <si>
    <t>BP-21-20-4-HMD</t>
  </si>
  <si>
    <t>BP-21-20-5-HMD</t>
  </si>
  <si>
    <t>BP-21-20-6-HMD</t>
  </si>
  <si>
    <t>BP-21-20-7-HMD</t>
  </si>
  <si>
    <t>BP-21-20-8-DBL</t>
  </si>
  <si>
    <t>BP-21-20-1-DBL</t>
  </si>
  <si>
    <t>BP-21-20-2-DBL</t>
  </si>
  <si>
    <t>BP-21-20-3-DBL</t>
  </si>
  <si>
    <t>BP-21-20-4-DBL</t>
  </si>
  <si>
    <t>BP-21-20-5-DBL</t>
  </si>
  <si>
    <t>BP-21-20-6-DBL</t>
  </si>
  <si>
    <t>BP-21-20-7-DBL</t>
  </si>
  <si>
    <t>BP-21-24-8-STD</t>
  </si>
  <si>
    <t>BP-21-24-1-STD</t>
  </si>
  <si>
    <t>BP-21-24-2-STD</t>
  </si>
  <si>
    <t>BP-21-24-3-STD</t>
  </si>
  <si>
    <t>BP-21-24-4-STD</t>
  </si>
  <si>
    <t>BP-21-24-5-STD</t>
  </si>
  <si>
    <t>BP-21-24-6-STD</t>
  </si>
  <si>
    <t>BP-21-24-7-STD</t>
  </si>
  <si>
    <t>BP-21-24-8-HMD</t>
  </si>
  <si>
    <t>BP-21-24-1-HMD</t>
  </si>
  <si>
    <t>BP-21-24-2-HMD</t>
  </si>
  <si>
    <t>BP-21-24-3-HMD</t>
  </si>
  <si>
    <t>BP-21-24-4-HMD</t>
  </si>
  <si>
    <t>BP-21-24-5-HMD</t>
  </si>
  <si>
    <t>BP-21-24-6-HMD</t>
  </si>
  <si>
    <t>BP-21-24-7-HMD</t>
  </si>
  <si>
    <t>BP-21-24-8-DBL</t>
  </si>
  <si>
    <t>BP-21-24-1-DBL</t>
  </si>
  <si>
    <t>BP-21-24-2-DBL</t>
  </si>
  <si>
    <t>BP-21-24-3-DBL</t>
  </si>
  <si>
    <t>BP-21-24-4-DBL</t>
  </si>
  <si>
    <t>BP-21-24-5-DBL</t>
  </si>
  <si>
    <t>BP-21-24-6-DBL</t>
  </si>
  <si>
    <t>BP-21-24-7-DBL</t>
  </si>
  <si>
    <t>BP-23-8-8-STD</t>
  </si>
  <si>
    <t>BP-23-8-1-STD</t>
  </si>
  <si>
    <t>BP-23-8-2-STD</t>
  </si>
  <si>
    <t>BP-23-8-3-STD</t>
  </si>
  <si>
    <t>BP-23-8-4-STD</t>
  </si>
  <si>
    <t>BP-23-8-5-STD</t>
  </si>
  <si>
    <t>BP-23-8-6-STD</t>
  </si>
  <si>
    <t>BP-23-8-7-STD</t>
  </si>
  <si>
    <t>BP-23-8-8-HMD</t>
  </si>
  <si>
    <t>BP-23-8-1-HMD</t>
  </si>
  <si>
    <t>BP-23-8-2-HMD</t>
  </si>
  <si>
    <t>BP-23-8-3-HMD</t>
  </si>
  <si>
    <t>BP-23-8-4-HMD</t>
  </si>
  <si>
    <t>BP-23-8-5-HMD</t>
  </si>
  <si>
    <t>BP-23-8-6-HMD</t>
  </si>
  <si>
    <t>BP-23-8-7-HMD</t>
  </si>
  <si>
    <t>BP-23-8-8-DBL</t>
  </si>
  <si>
    <t>BP-23-8-1-DBL</t>
  </si>
  <si>
    <t>BP-23-8-2-DBL</t>
  </si>
  <si>
    <t>BP-23-8-3-DBL</t>
  </si>
  <si>
    <t>BP-23-8-4-DBL</t>
  </si>
  <si>
    <t>BP-23-8-5-DBL</t>
  </si>
  <si>
    <t>BP-23-8-6-DBL</t>
  </si>
  <si>
    <t>BP-23-8-7-DBL</t>
  </si>
  <si>
    <t>BP-23-12-8-STD</t>
  </si>
  <si>
    <t>BP-23-12-1-STD</t>
  </si>
  <si>
    <t>BP-23-12-2-STD</t>
  </si>
  <si>
    <t>BP-23-12-3-STD</t>
  </si>
  <si>
    <t>BP-23-12-4-STD</t>
  </si>
  <si>
    <t>BP-23-12-5-STD</t>
  </si>
  <si>
    <t>BP-23-12-6-STD</t>
  </si>
  <si>
    <t>BP-23-12-7-STD</t>
  </si>
  <si>
    <t>BP-23-12-8-HMD</t>
  </si>
  <si>
    <t>BP-23-12-1-HMD</t>
  </si>
  <si>
    <t>BP-23-12-2-HMD</t>
  </si>
  <si>
    <t>BP-23-12-3-HMD</t>
  </si>
  <si>
    <t>BP-23-12-4-HMD</t>
  </si>
  <si>
    <t>BP-23-12-5-HMD</t>
  </si>
  <si>
    <t>BP-23-12-6-HMD</t>
  </si>
  <si>
    <t>BP-23-12-7-HMD</t>
  </si>
  <si>
    <t>BP-23-12-8-DBL</t>
  </si>
  <si>
    <t>BP-23-12-1-DBL</t>
  </si>
  <si>
    <t>BP-23-12-2-DBL</t>
  </si>
  <si>
    <t>BP-23-12-3-DBL</t>
  </si>
  <si>
    <t>BP-23-12-4-DBL</t>
  </si>
  <si>
    <t>BP-23-12-5-DBL</t>
  </si>
  <si>
    <t>BP-23-12-6-DBL</t>
  </si>
  <si>
    <t>BP-23-12-7-DBL</t>
  </si>
  <si>
    <t>BP-23-16-8-STD</t>
  </si>
  <si>
    <t>BP-23-16-1-STD</t>
  </si>
  <si>
    <t>BP-23-16-2-STD</t>
  </si>
  <si>
    <t>BP-23-16-3-STD</t>
  </si>
  <si>
    <t>BP-23-16-4-STD</t>
  </si>
  <si>
    <t>BP-23-16-5-STD</t>
  </si>
  <si>
    <t>BP-23-16-6-STD</t>
  </si>
  <si>
    <t>BP-23-16-7-STD</t>
  </si>
  <si>
    <t>BP-23-16-8-HMD</t>
  </si>
  <si>
    <t>BP-23-16-1-HMD</t>
  </si>
  <si>
    <t>BP-23-16-2-HMD</t>
  </si>
  <si>
    <t>BP-23-16-3-HMD</t>
  </si>
  <si>
    <t>BP-23-16-4-HMD</t>
  </si>
  <si>
    <t>BP-23-16-5-HMD</t>
  </si>
  <si>
    <t>BP-23-16-6-HMD</t>
  </si>
  <si>
    <t>BP-23-16-7-HMD</t>
  </si>
  <si>
    <t>BP-23-16-8-DBL</t>
  </si>
  <si>
    <t>BP-23-16-1-DBL</t>
  </si>
  <si>
    <t>BP-23-16-2-DBL</t>
  </si>
  <si>
    <t>BP-23-16-3-DBL</t>
  </si>
  <si>
    <t>BP-23-16-4-DBL</t>
  </si>
  <si>
    <t>BP-23-16-5-DBL</t>
  </si>
  <si>
    <t>BP-23-16-6-DBL</t>
  </si>
  <si>
    <t>BP-23-16-7-DBL</t>
  </si>
  <si>
    <t>BP-23-20-8-STD</t>
  </si>
  <si>
    <t>BP-23-20-1-STD</t>
  </si>
  <si>
    <t>BP-23-20-2-STD</t>
  </si>
  <si>
    <t>BP-23-20-3-STD</t>
  </si>
  <si>
    <t>BP-23-20-4-STD</t>
  </si>
  <si>
    <t>BP-23-20-5-STD</t>
  </si>
  <si>
    <t>BP-23-20-6-STD</t>
  </si>
  <si>
    <t>BP-23-20-7-STD</t>
  </si>
  <si>
    <t>BP-23-20-8-HMD</t>
  </si>
  <si>
    <t>BP-23-20-1-HMD</t>
  </si>
  <si>
    <t>BP-23-20-2-HMD</t>
  </si>
  <si>
    <t>BP-23-20-3-HMD</t>
  </si>
  <si>
    <t>BP-23-20-4-HMD</t>
  </si>
  <si>
    <t>BP-23-20-5-HMD</t>
  </si>
  <si>
    <t>BP-23-20-6-HMD</t>
  </si>
  <si>
    <t>BP-23-20-7-HMD</t>
  </si>
  <si>
    <t>BP-23-20-8-DBL</t>
  </si>
  <si>
    <t>BP-23-20-1-DBL</t>
  </si>
  <si>
    <t>BP-23-20-2-DBL</t>
  </si>
  <si>
    <t>BP-23-20-3-DBL</t>
  </si>
  <si>
    <t>BP-23-20-4-DBL</t>
  </si>
  <si>
    <t>BP-23-20-5-DBL</t>
  </si>
  <si>
    <t>BP-23-20-6-DBL</t>
  </si>
  <si>
    <t>BP-23-20-7-DBL</t>
  </si>
  <si>
    <t>BP-23-24-8-STD</t>
  </si>
  <si>
    <t>BP-23-24-1-STD</t>
  </si>
  <si>
    <t>BP-23-24-2-STD</t>
  </si>
  <si>
    <t>BP-23-24-3-STD</t>
  </si>
  <si>
    <t>BP-23-24-4-STD</t>
  </si>
  <si>
    <t>BP-23-24-5-STD</t>
  </si>
  <si>
    <t>BP-23-24-6-STD</t>
  </si>
  <si>
    <t>BP-23-24-7-STD</t>
  </si>
  <si>
    <t>BP-23-24-8-HMD</t>
  </si>
  <si>
    <t>BP-23-24-1-HMD</t>
  </si>
  <si>
    <t>BP-23-24-2-HMD</t>
  </si>
  <si>
    <t>BP-23-24-3-HMD</t>
  </si>
  <si>
    <t>BP-23-24-4-HMD</t>
  </si>
  <si>
    <t>BP-23-24-5-HMD</t>
  </si>
  <si>
    <t>BP-23-24-6-HMD</t>
  </si>
  <si>
    <t>BP-23-24-7-HMD</t>
  </si>
  <si>
    <t>BP-23-24-8-DBL</t>
  </si>
  <si>
    <t>BP-23-24-1-DBL</t>
  </si>
  <si>
    <t>BP-23-24-2-DBL</t>
  </si>
  <si>
    <t>BP-23-24-3-DBL</t>
  </si>
  <si>
    <t>BP-23-24-4-DBL</t>
  </si>
  <si>
    <t>BP-23-24-5-DBL</t>
  </si>
  <si>
    <t>BP-23-24-6-DBL</t>
  </si>
  <si>
    <t>BP-23-24-7-DBL</t>
  </si>
  <si>
    <t>BP-23-28-8-STD</t>
  </si>
  <si>
    <t>BP-23-28-1-STD</t>
  </si>
  <si>
    <t>BP-23-28-2-STD</t>
  </si>
  <si>
    <t>BP-23-28-3-STD</t>
  </si>
  <si>
    <t>BP-23-28-4-STD</t>
  </si>
  <si>
    <t>BP-23-28-5-STD</t>
  </si>
  <si>
    <t>BP-23-28-6-STD</t>
  </si>
  <si>
    <t>BP-23-28-7-STD</t>
  </si>
  <si>
    <t>BP-23-28-8-HMD</t>
  </si>
  <si>
    <t>BP-23-28-1-HMD</t>
  </si>
  <si>
    <t>BP-23-28-2-HMD</t>
  </si>
  <si>
    <t>BP-23-28-3-HMD</t>
  </si>
  <si>
    <t>BP-23-28-4-HMD</t>
  </si>
  <si>
    <t>BP-23-28-5-HMD</t>
  </si>
  <si>
    <t>BP-23-28-6-HMD</t>
  </si>
  <si>
    <t>BP-23-28-7-HMD</t>
  </si>
  <si>
    <t>BP-23-28-8-DBL</t>
  </si>
  <si>
    <t>BP-23-28-1-DBL</t>
  </si>
  <si>
    <t>BP-23-28-2-DBL</t>
  </si>
  <si>
    <t>BP-23-28-3-DBL</t>
  </si>
  <si>
    <t>BP-23-28-4-DBL</t>
  </si>
  <si>
    <t>BP-23-28-5-DBL</t>
  </si>
  <si>
    <t>BP-23-28-6-DBL</t>
  </si>
  <si>
    <t>BP-23-28-7-DBL</t>
  </si>
  <si>
    <t>BP-23-32-8-STD</t>
  </si>
  <si>
    <t>BP-23-32-1-STD</t>
  </si>
  <si>
    <t>BP-23-32-2-STD</t>
  </si>
  <si>
    <t>BP-23-32-3-STD</t>
  </si>
  <si>
    <t>BP-23-32-4-STD</t>
  </si>
  <si>
    <t>BP-23-32-5-STD</t>
  </si>
  <si>
    <t>BP-23-32-6-STD</t>
  </si>
  <si>
    <t>BP-23-32-7-STD</t>
  </si>
  <si>
    <t>BP-23-32-8-HMD</t>
  </si>
  <si>
    <t>BP-23-32-1-HMD</t>
  </si>
  <si>
    <t>BP-23-32-2-HMD</t>
  </si>
  <si>
    <t>BP-23-32-3-HMD</t>
  </si>
  <si>
    <t>BP-23-32-4-HMD</t>
  </si>
  <si>
    <t>BP-23-32-5-HMD</t>
  </si>
  <si>
    <t>BP-23-32-6-HMD</t>
  </si>
  <si>
    <t>BP-23-32-7-HMD</t>
  </si>
  <si>
    <t>BP-23-32-8-DBL</t>
  </si>
  <si>
    <t>BP-23-32-1-DBL</t>
  </si>
  <si>
    <t>BP-23-32-2-DBL</t>
  </si>
  <si>
    <t>BP-23-32-3-DBL</t>
  </si>
  <si>
    <t>BP-23-32-4-DBL</t>
  </si>
  <si>
    <t>BP-23-32-5-DBL</t>
  </si>
  <si>
    <t>BP-23-32-6-DBL</t>
  </si>
  <si>
    <t>BP-23-32-7-DBL</t>
  </si>
  <si>
    <t>BP-25-8-9-STD</t>
  </si>
  <si>
    <t>BP-25-8-1-STD</t>
  </si>
  <si>
    <t>BP-25-8-2-STD</t>
  </si>
  <si>
    <t>BP-25-8-3-STD</t>
  </si>
  <si>
    <t>BP-25-8-4-STD</t>
  </si>
  <si>
    <t>BP-25-8-5-STD</t>
  </si>
  <si>
    <t>BP-25-8-6-STD</t>
  </si>
  <si>
    <t>BP-25-8-7-STD</t>
  </si>
  <si>
    <t>BP-25-8-8-STD</t>
  </si>
  <si>
    <t>BP-25-8-9-HMD</t>
  </si>
  <si>
    <t>BP-25-8-1-HMD</t>
  </si>
  <si>
    <t>BP-25-8-2-HMD</t>
  </si>
  <si>
    <t>BP-25-8-3-HMD</t>
  </si>
  <si>
    <t>BP-25-8-4-HMD</t>
  </si>
  <si>
    <t>BP-25-8-5-HMD</t>
  </si>
  <si>
    <t>BP-25-8-6-HMD</t>
  </si>
  <si>
    <t>BP-25-8-7-HMD</t>
  </si>
  <si>
    <t>BP-25-8-8-HMD</t>
  </si>
  <si>
    <t>BP-25-8-9-DBL</t>
  </si>
  <si>
    <t>BP-25-8-1-DBL</t>
  </si>
  <si>
    <t>BP-25-8-2-DBL</t>
  </si>
  <si>
    <t>BP-25-8-3-DBL</t>
  </si>
  <si>
    <t>BP-25-8-4-DBL</t>
  </si>
  <si>
    <t>BP-25-8-5-DBL</t>
  </si>
  <si>
    <t>BP-25-8-6-DBL</t>
  </si>
  <si>
    <t>BP-25-8-7-DBL</t>
  </si>
  <si>
    <t>BP-25-8-8-DBL</t>
  </si>
  <si>
    <t>BP-25-12-9-STD</t>
  </si>
  <si>
    <t>BP-25-12-1-STD</t>
  </si>
  <si>
    <t>BP-25-12-2-STD</t>
  </si>
  <si>
    <t>BP-25-12-3-STD</t>
  </si>
  <si>
    <t>BP-25-12-4-STD</t>
  </si>
  <si>
    <t>BP-25-12-5-STD</t>
  </si>
  <si>
    <t>BP-25-12-6-STD</t>
  </si>
  <si>
    <t>BP-25-12-7-STD</t>
  </si>
  <si>
    <t>BP-25-12-8-STD</t>
  </si>
  <si>
    <t>BP-25-12-9-HMD</t>
  </si>
  <si>
    <t>BP-25-12-1-HMD</t>
  </si>
  <si>
    <t>BP-25-12-2-HMD</t>
  </si>
  <si>
    <t>BP-25-12-3-HMD</t>
  </si>
  <si>
    <t>BP-25-12-4-HMD</t>
  </si>
  <si>
    <t>BP-25-12-5-HMD</t>
  </si>
  <si>
    <t>BP-25-12-6-HMD</t>
  </si>
  <si>
    <t>BP-25-12-7-HMD</t>
  </si>
  <si>
    <t>BP-25-12-8-HMD</t>
  </si>
  <si>
    <t>BP-25-12-9-DBL</t>
  </si>
  <si>
    <t>BP-25-12-1-DBL</t>
  </si>
  <si>
    <t>BP-25-12-2-DBL</t>
  </si>
  <si>
    <t>BP-25-12-3-DBL</t>
  </si>
  <si>
    <t>BP-25-12-4-DBL</t>
  </si>
  <si>
    <t>BP-25-12-5-DBL</t>
  </si>
  <si>
    <t>BP-25-12-6-DBL</t>
  </si>
  <si>
    <t>BP-25-12-7-DBL</t>
  </si>
  <si>
    <t>BP-25-12-8-DBL</t>
  </si>
  <si>
    <t>BP-25-16-9-STD</t>
  </si>
  <si>
    <t>BP-25-16-1-STD</t>
  </si>
  <si>
    <t>BP-25-16-2-STD</t>
  </si>
  <si>
    <t>BP-25-16-3-STD</t>
  </si>
  <si>
    <t>BP-25-16-4-STD</t>
  </si>
  <si>
    <t>BP-25-16-5-STD</t>
  </si>
  <si>
    <t>BP-25-16-6-STD</t>
  </si>
  <si>
    <t>BP-25-16-7-STD</t>
  </si>
  <si>
    <t>BP-25-16-8-STD</t>
  </si>
  <si>
    <t>BP-25-16-9-HMD</t>
  </si>
  <si>
    <t>BP-25-16-1-HMD</t>
  </si>
  <si>
    <t>BP-25-16-2-HMD</t>
  </si>
  <si>
    <t>BP-25-16-3-HMD</t>
  </si>
  <si>
    <t>BP-25-16-4-HMD</t>
  </si>
  <si>
    <t>BP-25-16-5-HMD</t>
  </si>
  <si>
    <t>BP-25-16-6-HMD</t>
  </si>
  <si>
    <t>BP-25-16-7-HMD</t>
  </si>
  <si>
    <t>BP-25-16-8-HMD</t>
  </si>
  <si>
    <t>BP-25-16-9-DBL</t>
  </si>
  <si>
    <t>BP-25-16-1-DBL</t>
  </si>
  <si>
    <t>BP-25-16-2-DBL</t>
  </si>
  <si>
    <t>BP-25-16-3-DBL</t>
  </si>
  <si>
    <t>BP-25-16-4-DBL</t>
  </si>
  <si>
    <t>BP-25-16-5-DBL</t>
  </si>
  <si>
    <t>BP-25-16-6-DBL</t>
  </si>
  <si>
    <t>BP-25-16-7-DBL</t>
  </si>
  <si>
    <t>BP-25-16-8-DBL</t>
  </si>
  <si>
    <t>BP-25-20-9-STD</t>
  </si>
  <si>
    <t>BP-25-20-1-STD</t>
  </si>
  <si>
    <t>BP-25-20-2-STD</t>
  </si>
  <si>
    <t>BP-25-20-3-STD</t>
  </si>
  <si>
    <t>BP-25-20-4-STD</t>
  </si>
  <si>
    <t>BP-25-20-5-STD</t>
  </si>
  <si>
    <t>BP-25-20-6-STD</t>
  </si>
  <si>
    <t>BP-25-20-7-STD</t>
  </si>
  <si>
    <t>BP-25-20-8-STD</t>
  </si>
  <si>
    <t>BP-25-20-9-HMD</t>
  </si>
  <si>
    <t>BP-25-20-1-HMD</t>
  </si>
  <si>
    <t>BP-25-20-2-HMD</t>
  </si>
  <si>
    <t>BP-25-20-3-HMD</t>
  </si>
  <si>
    <t>BP-25-20-4-HMD</t>
  </si>
  <si>
    <t>BP-25-20-5-HMD</t>
  </si>
  <si>
    <t>BP-25-20-6-HMD</t>
  </si>
  <si>
    <t>BP-25-20-7-HMD</t>
  </si>
  <si>
    <t>BP-25-20-8-HMD</t>
  </si>
  <si>
    <t>BP-25-20-9-DBL</t>
  </si>
  <si>
    <t>BP-25-20-1-DBL</t>
  </si>
  <si>
    <t>BP-25-20-2-DBL</t>
  </si>
  <si>
    <t>BP-25-20-3-DBL</t>
  </si>
  <si>
    <t>BP-25-20-4-DBL</t>
  </si>
  <si>
    <t>BP-25-20-5-DBL</t>
  </si>
  <si>
    <t>BP-25-20-6-DBL</t>
  </si>
  <si>
    <t>BP-25-20-7-DBL</t>
  </si>
  <si>
    <t>BP-25-20-8-DBL</t>
  </si>
  <si>
    <t>BP-25-24-9-STD</t>
  </si>
  <si>
    <t>BP-25-24-1-STD</t>
  </si>
  <si>
    <t>BP-25-24-2-STD</t>
  </si>
  <si>
    <t>BP-25-24-3-STD</t>
  </si>
  <si>
    <t>BP-25-24-4-STD</t>
  </si>
  <si>
    <t>BP-25-24-5-STD</t>
  </si>
  <si>
    <t>BP-25-24-6-STD</t>
  </si>
  <si>
    <t>BP-25-24-7-STD</t>
  </si>
  <si>
    <t>BP-25-24-8-STD</t>
  </si>
  <si>
    <t>BP-25-24-9-HMD</t>
  </si>
  <si>
    <t>BP-25-24-1-HMD</t>
  </si>
  <si>
    <t>BP-25-24-2-HMD</t>
  </si>
  <si>
    <t>BP-25-24-3-HMD</t>
  </si>
  <si>
    <t>BP-25-24-4-HMD</t>
  </si>
  <si>
    <t>BP-25-24-5-HMD</t>
  </si>
  <si>
    <t>BP-25-24-6-HMD</t>
  </si>
  <si>
    <t>BP-25-24-7-HMD</t>
  </si>
  <si>
    <t>BP-25-24-8-HMD</t>
  </si>
  <si>
    <t>BP-25-24-9-DBL</t>
  </si>
  <si>
    <t>BP-25-24-1-DBL</t>
  </si>
  <si>
    <t>BP-25-24-2-DBL</t>
  </si>
  <si>
    <t>BP-25-24-3-DBL</t>
  </si>
  <si>
    <t>BP-25-24-4-DBL</t>
  </si>
  <si>
    <t>BP-25-24-5-DBL</t>
  </si>
  <si>
    <t>BP-25-24-6-DBL</t>
  </si>
  <si>
    <t>BP-25-24-7-DBL</t>
  </si>
  <si>
    <t>BP-25-24-8-DBL</t>
  </si>
  <si>
    <t>BP-25-29-9-STD</t>
  </si>
  <si>
    <t>BP-25-28-1-STD</t>
  </si>
  <si>
    <t>BP-25-28-2-STD</t>
  </si>
  <si>
    <t>BP-25-28-3-STD</t>
  </si>
  <si>
    <t>BP-25-28-4-STD</t>
  </si>
  <si>
    <t>BP-25-28-5-STD</t>
  </si>
  <si>
    <t>BP-25-28-6-STD</t>
  </si>
  <si>
    <t>BP-25-28-7-STD</t>
  </si>
  <si>
    <t>BP-25-28-8-STD</t>
  </si>
  <si>
    <t>BP-25-28-9-STD</t>
  </si>
  <si>
    <t>BP-25-29-9-HMD</t>
  </si>
  <si>
    <t>BP-25-28-1-HMD</t>
  </si>
  <si>
    <t>BP-25-28-2-HMD</t>
  </si>
  <si>
    <t>BP-25-28-3-HMD</t>
  </si>
  <si>
    <t>BP-25-28-4-HMD</t>
  </si>
  <si>
    <t>BP-25-28-5-HMD</t>
  </si>
  <si>
    <t>BP-25-28-6-HMD</t>
  </si>
  <si>
    <t>BP-25-28-7-HMD</t>
  </si>
  <si>
    <t>BP-25-28-8-HMD</t>
  </si>
  <si>
    <t>BP-25-28-9-HMD</t>
  </si>
  <si>
    <t>BP-25-29-9-DBL</t>
  </si>
  <si>
    <t>BP-25-28-1-DBL</t>
  </si>
  <si>
    <t>BP-25-28-2-DBL</t>
  </si>
  <si>
    <t>BP-25-28-3-DBL</t>
  </si>
  <si>
    <t>BP-25-28-4-DBL</t>
  </si>
  <si>
    <t>BP-25-28-5-DBL</t>
  </si>
  <si>
    <t>BP-25-28-6-DBL</t>
  </si>
  <si>
    <t>BP-25-28-7-DBL</t>
  </si>
  <si>
    <t>BP-25-28-8-DBL</t>
  </si>
  <si>
    <t>BP-25-28-9-DBL</t>
  </si>
  <si>
    <t>BP-25-32-9-STD</t>
  </si>
  <si>
    <t>BP-25-32-1-STD</t>
  </si>
  <si>
    <t>BP-25-32-2-STD</t>
  </si>
  <si>
    <t>BP-25-32-3-STD</t>
  </si>
  <si>
    <t>BP-25-32-4-STD</t>
  </si>
  <si>
    <t>BP-25-32-5-STD</t>
  </si>
  <si>
    <t>BP-25-32-6-STD</t>
  </si>
  <si>
    <t>BP-25-32-7-STD</t>
  </si>
  <si>
    <t>BP-25-32-8-STD</t>
  </si>
  <si>
    <t>BP-25-32-9-HMD</t>
  </si>
  <si>
    <t>BP-25-32-1-HMD</t>
  </si>
  <si>
    <t>BP-25-32-2-HMD</t>
  </si>
  <si>
    <t>BP-25-32-3-HMD</t>
  </si>
  <si>
    <t>BP-25-32-4-HMD</t>
  </si>
  <si>
    <t>BP-25-32-5-HMD</t>
  </si>
  <si>
    <t>BP-25-32-6-HMD</t>
  </si>
  <si>
    <t>BP-25-32-7-HMD</t>
  </si>
  <si>
    <t>BP-25-32-8-HMD</t>
  </si>
  <si>
    <t>BP-25-32-9-DBL</t>
  </si>
  <si>
    <t>BP-25-32-1-DBL</t>
  </si>
  <si>
    <t>BP-25-32-2-DBL</t>
  </si>
  <si>
    <t>BP-25-32-3-DBL</t>
  </si>
  <si>
    <t>BP-25-32-4-DBL</t>
  </si>
  <si>
    <t>BP-25-32-5-DBL</t>
  </si>
  <si>
    <t>BP-25-32-6-DBL</t>
  </si>
  <si>
    <t>BP-25-32-7-DBL</t>
  </si>
  <si>
    <t>BP-25-32-8-DBL</t>
  </si>
  <si>
    <t>BP-25-36-9-STD</t>
  </si>
  <si>
    <t>BP-25-36-1-STD</t>
  </si>
  <si>
    <t>BP-25-36-2-STD</t>
  </si>
  <si>
    <t>BP-25-36-3-STD</t>
  </si>
  <si>
    <t>BP-25-36-4-STD</t>
  </si>
  <si>
    <t>BP-25-36-5-STD</t>
  </si>
  <si>
    <t>BP-25-36-6-STD</t>
  </si>
  <si>
    <t>BP-25-36-7-STD</t>
  </si>
  <si>
    <t>BP-25-36-8-STD</t>
  </si>
  <si>
    <t>BP-25-36-9-HMD</t>
  </si>
  <si>
    <t>BP-25-36-1-HMD</t>
  </si>
  <si>
    <t>BP-25-36-2-HMD</t>
  </si>
  <si>
    <t>BP-25-36-3-HMD</t>
  </si>
  <si>
    <t>BP-25-36-4-HMD</t>
  </si>
  <si>
    <t>BP-25-36-5-HMD</t>
  </si>
  <si>
    <t>BP-25-36-6-HMD</t>
  </si>
  <si>
    <t>BP-25-36-7-HMD</t>
  </si>
  <si>
    <t>BP-25-36-8-HMD</t>
  </si>
  <si>
    <t>BP-25-36-9-DBL</t>
  </si>
  <si>
    <t>BP-25-36-1-DBL</t>
  </si>
  <si>
    <t>BP-25-36-2-DBL</t>
  </si>
  <si>
    <t>BP-25-36-3-DBL</t>
  </si>
  <si>
    <t>BP-25-36-4-DBL</t>
  </si>
  <si>
    <t>BP-25-36-5-DBL</t>
  </si>
  <si>
    <t>BP-25-36-6-DBL</t>
  </si>
  <si>
    <t>BP-25-36-7-DBL</t>
  </si>
  <si>
    <t>BP-25-36-8-DBL</t>
  </si>
  <si>
    <t>BP-28-12-9-STD</t>
  </si>
  <si>
    <t>BP-28-12-1-STD</t>
  </si>
  <si>
    <t>BP-28-12-2-STD</t>
  </si>
  <si>
    <t>BP-28-12-3-STD</t>
  </si>
  <si>
    <t>BP-28-12-4-STD</t>
  </si>
  <si>
    <t>BP-28-12-5-STD</t>
  </si>
  <si>
    <t>BP-28-12-6-STD</t>
  </si>
  <si>
    <t>BP-28-12-7-STD</t>
  </si>
  <si>
    <t>BP-28-12-8-STD</t>
  </si>
  <si>
    <t>BP-28-12-9-HMD</t>
  </si>
  <si>
    <t>BP-28-12-1-HMD</t>
  </si>
  <si>
    <t>BP-28-12-2-HMD</t>
  </si>
  <si>
    <t>BP-28-12-3-HMD</t>
  </si>
  <si>
    <t>BP-28-12-4-HMD</t>
  </si>
  <si>
    <t>BP-28-12-5-HMD</t>
  </si>
  <si>
    <t>BP-28-12-6-HMD</t>
  </si>
  <si>
    <t>BP-28-12-7-HMD</t>
  </si>
  <si>
    <t>BP-28-12-8-HMD</t>
  </si>
  <si>
    <t>BP-28-12-9-DBL</t>
  </si>
  <si>
    <t>BP-28-12-1-DBL</t>
  </si>
  <si>
    <t>BP-28-12-2-DBL</t>
  </si>
  <si>
    <t>BP-28-12-3-DBL</t>
  </si>
  <si>
    <t>BP-28-12-4-DBL</t>
  </si>
  <si>
    <t>BP-28-12-5-DBL</t>
  </si>
  <si>
    <t>BP-28-12-6-DBL</t>
  </si>
  <si>
    <t>BP-28-12-7-DBL</t>
  </si>
  <si>
    <t>BP-28-12-8-DBL</t>
  </si>
  <si>
    <t>BP-28-16-9-STD</t>
  </si>
  <si>
    <t>BP-28-16-1-STD</t>
  </si>
  <si>
    <t>BP-28-16-2-STD</t>
  </si>
  <si>
    <t>BP-28-16-3-STD</t>
  </si>
  <si>
    <t>BP-28-16-4-STD</t>
  </si>
  <si>
    <t>BP-28-16-5-STD</t>
  </si>
  <si>
    <t>BP-28-16-6-STD</t>
  </si>
  <si>
    <t>BP-28-16-7-STD</t>
  </si>
  <si>
    <t>BP-28-16-8-STD</t>
  </si>
  <si>
    <t>BP-28-16-9-HMD</t>
  </si>
  <si>
    <t>BP-28-16-1-HMD</t>
  </si>
  <si>
    <t>BP-28-16-2-HMD</t>
  </si>
  <si>
    <t>BP-28-16-3-HMD</t>
  </si>
  <si>
    <t>BP-28-16-4-HMD</t>
  </si>
  <si>
    <t>BP-28-16-5-HMD</t>
  </si>
  <si>
    <t>BP-28-16-6-HMD</t>
  </si>
  <si>
    <t>BP-28-16-7-HMD</t>
  </si>
  <si>
    <t>BP-28-16-8-HMD</t>
  </si>
  <si>
    <t>BP-28-16-9-DBL</t>
  </si>
  <si>
    <t>BP-28-16-1-DBL</t>
  </si>
  <si>
    <t>BP-28-16-2-DBL</t>
  </si>
  <si>
    <t>BP-28-16-3-DBL</t>
  </si>
  <si>
    <t>BP-28-16-4-DBL</t>
  </si>
  <si>
    <t>BP-28-16-5-DBL</t>
  </si>
  <si>
    <t>BP-28-16-6-DBL</t>
  </si>
  <si>
    <t>BP-28-16-7-DBL</t>
  </si>
  <si>
    <t>BP-28-16-8-DBL</t>
  </si>
  <si>
    <t>BP-28-20-9-STD</t>
  </si>
  <si>
    <t>BP-28-20-1-STD</t>
  </si>
  <si>
    <t>BP-28-20-2-STD</t>
  </si>
  <si>
    <t>BP-28-20-3-STD</t>
  </si>
  <si>
    <t>BP-28-20-4-STD</t>
  </si>
  <si>
    <t>BP-28-20-5-STD</t>
  </si>
  <si>
    <t>BP-28-20-6-STD</t>
  </si>
  <si>
    <t>BP-28-20-7-STD</t>
  </si>
  <si>
    <t>BP-28-20-8-STD</t>
  </si>
  <si>
    <t>BP-28-20-9-HMD</t>
  </si>
  <si>
    <t>BP-28-20-1-HMD</t>
  </si>
  <si>
    <t>BP-28-20-2-HMD</t>
  </si>
  <si>
    <t>BP-28-20-3-HMD</t>
  </si>
  <si>
    <t>BP-28-20-4-HMD</t>
  </si>
  <si>
    <t>BP-28-20-5-HMD</t>
  </si>
  <si>
    <t>BP-28-20-6-HMD</t>
  </si>
  <si>
    <t>BP-28-20-7-HMD</t>
  </si>
  <si>
    <t>BP-28-20-8-HMD</t>
  </si>
  <si>
    <t>BP-28-20-9-DBL</t>
  </si>
  <si>
    <t>BP-28-20-1-DBL</t>
  </si>
  <si>
    <t>BP-28-20-2-DBL</t>
  </si>
  <si>
    <t>BP-28-20-3-DBL</t>
  </si>
  <si>
    <t>BP-28-20-4-DBL</t>
  </si>
  <si>
    <t>BP-28-20-5-DBL</t>
  </si>
  <si>
    <t>BP-28-20-6-DBL</t>
  </si>
  <si>
    <t>BP-28-20-7-DBL</t>
  </si>
  <si>
    <t>BP-28-20-8-DBL</t>
  </si>
  <si>
    <t>BP-28-24-9-STD</t>
  </si>
  <si>
    <t>BP-28-24-1-STD</t>
  </si>
  <si>
    <t>BP-28-24-2-STD</t>
  </si>
  <si>
    <t>BP-28-24-3-STD</t>
  </si>
  <si>
    <t>BP-28-24-4-STD</t>
  </si>
  <si>
    <t>BP-28-24-5-STD</t>
  </si>
  <si>
    <t>BP-28-24-6-STD</t>
  </si>
  <si>
    <t>BP-28-24-7-STD</t>
  </si>
  <si>
    <t>BP-28-24-8-STD</t>
  </si>
  <si>
    <t>BP-28-24-9-HMD</t>
  </si>
  <si>
    <t>BP-28-24-1-HMD</t>
  </si>
  <si>
    <t>BP-28-24-2-HMD</t>
  </si>
  <si>
    <t>BP-28-24-3-HMD</t>
  </si>
  <si>
    <t>BP-28-24-4-HMD</t>
  </si>
  <si>
    <t>BP-28-24-5-HMD</t>
  </si>
  <si>
    <t>BP-28-24-6-HMD</t>
  </si>
  <si>
    <t>BP-28-24-7-HMD</t>
  </si>
  <si>
    <t>BP-28-24-8-HMD</t>
  </si>
  <si>
    <t>BP-28-24-9-DBL</t>
  </si>
  <si>
    <t>BP-28-24-1-DBL</t>
  </si>
  <si>
    <t>BP-28-24-2-DBL</t>
  </si>
  <si>
    <t>BP-28-24-3-DBL</t>
  </si>
  <si>
    <t>BP-28-24-4-DBL</t>
  </si>
  <si>
    <t>BP-28-24-5-DBL</t>
  </si>
  <si>
    <t>BP-28-24-6-DBL</t>
  </si>
  <si>
    <t>BP-28-24-7-DBL</t>
  </si>
  <si>
    <t>BP-28-24-8-DBL</t>
  </si>
  <si>
    <t>BP-28-29-9-STD</t>
  </si>
  <si>
    <t>BP-28-28-1-STD</t>
  </si>
  <si>
    <t>BP-28-28-2-STD</t>
  </si>
  <si>
    <t>BP-28-28-3-STD</t>
  </si>
  <si>
    <t>BP-28-28-4-STD</t>
  </si>
  <si>
    <t>BP-28-28-5-STD</t>
  </si>
  <si>
    <t>BP-28-28-6-STD</t>
  </si>
  <si>
    <t>BP-28-28-7-STD</t>
  </si>
  <si>
    <t>BP-28-28-8-STD</t>
  </si>
  <si>
    <t>BP-28-29-9-HMD</t>
  </si>
  <si>
    <t>BP-28-28-1-HMD</t>
  </si>
  <si>
    <t>BP-28-28-2-HMD</t>
  </si>
  <si>
    <t>BP-28-28-3-HMD</t>
  </si>
  <si>
    <t>BP-28-28-4-HMD</t>
  </si>
  <si>
    <t>BP-28-28-5-HMD</t>
  </si>
  <si>
    <t>BP-28-28-6-HMD</t>
  </si>
  <si>
    <t>BP-28-28-7-HMD</t>
  </si>
  <si>
    <t>BP-28-28-8-HMD</t>
  </si>
  <si>
    <t>BP-28-29-9-DBL</t>
  </si>
  <si>
    <t>BP-28-28-1-DBL</t>
  </si>
  <si>
    <t>BP-28-28-2-DBL</t>
  </si>
  <si>
    <t>BP-28-28-3-DBL</t>
  </si>
  <si>
    <t>BP-28-28-4-DBL</t>
  </si>
  <si>
    <t>BP-28-28-5-DBL</t>
  </si>
  <si>
    <t>BP-28-28-6-DBL</t>
  </si>
  <si>
    <t>BP-28-28-7-DBL</t>
  </si>
  <si>
    <t>BP-28-28-8-DBL</t>
  </si>
  <si>
    <t>BP-28-32-9-STD</t>
  </si>
  <si>
    <t>BP-28-32-1-STD</t>
  </si>
  <si>
    <t>BP-28-32-2-STD</t>
  </si>
  <si>
    <t>BP-28-32-3-STD</t>
  </si>
  <si>
    <t>BP-28-32-4-STD</t>
  </si>
  <si>
    <t>BP-28-32-5-STD</t>
  </si>
  <si>
    <t>BP-28-32-6-STD</t>
  </si>
  <si>
    <t>BP-28-32-7-STD</t>
  </si>
  <si>
    <t>BP-28-32-8-STD</t>
  </si>
  <si>
    <t>BP-28-32-9-HMD</t>
  </si>
  <si>
    <t>BP-28-32-1-HMD</t>
  </si>
  <si>
    <t>BP-28-32-2-HMD</t>
  </si>
  <si>
    <t>BP-28-32-3-HMD</t>
  </si>
  <si>
    <t>BP-28-32-4-HMD</t>
  </si>
  <si>
    <t>BP-28-32-5-HMD</t>
  </si>
  <si>
    <t>BP-28-32-6-HMD</t>
  </si>
  <si>
    <t>BP-28-32-7-HMD</t>
  </si>
  <si>
    <t>BP-28-32-8-HMD</t>
  </si>
  <si>
    <t>BP-28-32-9-DBL</t>
  </si>
  <si>
    <t>BP-28-32-1-DBL</t>
  </si>
  <si>
    <t>BP-28-32-2-DBL</t>
  </si>
  <si>
    <t>BP-28-32-3-DBL</t>
  </si>
  <si>
    <t>BP-28-32-4-DBL</t>
  </si>
  <si>
    <t>BP-28-32-5-DBL</t>
  </si>
  <si>
    <t>BP-28-32-6-DBL</t>
  </si>
  <si>
    <t>BP-28-32-7-DBL</t>
  </si>
  <si>
    <t>BP-28-32-8-DBL</t>
  </si>
  <si>
    <t>BP-30-16-12-STD</t>
  </si>
  <si>
    <t>BP-30-16-1-STD</t>
  </si>
  <si>
    <t>BP-30-16-2-STD</t>
  </si>
  <si>
    <t>BP-30-16-3-STD</t>
  </si>
  <si>
    <t>BP-30-16-4-STD</t>
  </si>
  <si>
    <t>BP-30-16-5-STD</t>
  </si>
  <si>
    <t>BP-30-16-6-STD</t>
  </si>
  <si>
    <t>BP-30-16-7-STD</t>
  </si>
  <si>
    <t>BP-30-16-8-STD</t>
  </si>
  <si>
    <t>BP-30-16-9-STD</t>
  </si>
  <si>
    <t>BP-30-16-10-STD</t>
  </si>
  <si>
    <t>BP-30-16-11-STD</t>
  </si>
  <si>
    <t>BP-30-16-12-HMD</t>
  </si>
  <si>
    <t>BP-30-16-1-HMD</t>
  </si>
  <si>
    <t>BP-30-16-2-HMD</t>
  </si>
  <si>
    <t>BP-30-16-3-HMD</t>
  </si>
  <si>
    <t>BP-30-16-4-HMD</t>
  </si>
  <si>
    <t>BP-30-16-5-HMD</t>
  </si>
  <si>
    <t>BP-30-16-6-HMD</t>
  </si>
  <si>
    <t>BP-30-16-7-HMD</t>
  </si>
  <si>
    <t>BP-30-16-8-HMD</t>
  </si>
  <si>
    <t>BP-30-16-9-HMD</t>
  </si>
  <si>
    <t>BP-30-16-10-HMD</t>
  </si>
  <si>
    <t>BP-30-16-11-HMD</t>
  </si>
  <si>
    <t>BP-30-16-12-DBL</t>
  </si>
  <si>
    <t>BP-30-16-1-DBL</t>
  </si>
  <si>
    <t>BP-30-16-2-DBL</t>
  </si>
  <si>
    <t>BP-30-16-3-DBL</t>
  </si>
  <si>
    <t>BP-30-16-4-DBL</t>
  </si>
  <si>
    <t>BP-30-16-5-DBL</t>
  </si>
  <si>
    <t>BP-30-16-6-DBL</t>
  </si>
  <si>
    <t>BP-30-16-7-DBL</t>
  </si>
  <si>
    <t>BP-30-16-8-DBL</t>
  </si>
  <si>
    <t>BP-30-16-9-DBL</t>
  </si>
  <si>
    <t>BP-30-16-10-DBL</t>
  </si>
  <si>
    <t>BP-30-16-11-DBL</t>
  </si>
  <si>
    <t>BP-30-20-12-STD</t>
  </si>
  <si>
    <t>BP-30-20-1-STD</t>
  </si>
  <si>
    <t>BP-30-20-2-STD</t>
  </si>
  <si>
    <t>BP-30-20-3-STD</t>
  </si>
  <si>
    <t>BP-30-20-4-STD</t>
  </si>
  <si>
    <t>BP-30-20-5-STD</t>
  </si>
  <si>
    <t>BP-30-20-6-STD</t>
  </si>
  <si>
    <t>BP-30-20-7-STD</t>
  </si>
  <si>
    <t>BP-30-20-8-STD</t>
  </si>
  <si>
    <t>BP-30-20-9-STD</t>
  </si>
  <si>
    <t>BP-30-20-10-STD</t>
  </si>
  <si>
    <t>BP-30-20-11-STD</t>
  </si>
  <si>
    <t>BP-30-20-12-HMD</t>
  </si>
  <si>
    <t>BP-30-20-1-HMD</t>
  </si>
  <si>
    <t>BP-30-20-2-HMD</t>
  </si>
  <si>
    <t>BP-30-20-3-HMD</t>
  </si>
  <si>
    <t>BP-30-20-4-HMD</t>
  </si>
  <si>
    <t>BP-30-20-5-HMD</t>
  </si>
  <si>
    <t>BP-30-20-6-HMD</t>
  </si>
  <si>
    <t>BP-30-20-7-HMD</t>
  </si>
  <si>
    <t>BP-30-20-8-HMD</t>
  </si>
  <si>
    <t>BP-30-20-9-HMD</t>
  </si>
  <si>
    <t>BP-30-20-10-HMD</t>
  </si>
  <si>
    <t>BP-30-20-11-HMD</t>
  </si>
  <si>
    <t>BP-30-20-12-DBL</t>
  </si>
  <si>
    <t>BP-30-20-1-DBL</t>
  </si>
  <si>
    <t>BP-30-20-2-DBL</t>
  </si>
  <si>
    <t>BP-30-20-3-DBL</t>
  </si>
  <si>
    <t>BP-30-20-4-DBL</t>
  </si>
  <si>
    <t>BP-30-20-5-DBL</t>
  </si>
  <si>
    <t>BP-30-20-6-DBL</t>
  </si>
  <si>
    <t>BP-30-20-7-DBL</t>
  </si>
  <si>
    <t>BP-30-20-8-DBL</t>
  </si>
  <si>
    <t>BP-30-20-9-DBL</t>
  </si>
  <si>
    <t>BP-30-20-10-DBL</t>
  </si>
  <si>
    <t>BP-30-20-11-DBL</t>
  </si>
  <si>
    <t>BP-30-24-12-STD</t>
  </si>
  <si>
    <t>BP-30-24-1-STD</t>
  </si>
  <si>
    <t>BP-30-24-2-STD</t>
  </si>
  <si>
    <t>BP-30-24-3-STD</t>
  </si>
  <si>
    <t>BP-30-24-4-STD</t>
  </si>
  <si>
    <t>BP-30-24-5-STD</t>
  </si>
  <si>
    <t>BP-30-24-6-STD</t>
  </si>
  <si>
    <t>BP-30-24-7-STD</t>
  </si>
  <si>
    <t>BP-30-24-8-STD</t>
  </si>
  <si>
    <t>BP-30-24-9-STD</t>
  </si>
  <si>
    <t>BP-30-24-10-STD</t>
  </si>
  <si>
    <t>BP-30-24-11-STD</t>
  </si>
  <si>
    <t>BP-30-24-12-HMD</t>
  </si>
  <si>
    <t>BP-30-24-1-HMD</t>
  </si>
  <si>
    <t>BP-30-24-2-HMD</t>
  </si>
  <si>
    <t>BP-30-24-3-HMD</t>
  </si>
  <si>
    <t>BP-30-24-4-HMD</t>
  </si>
  <si>
    <t>BP-30-24-5-HMD</t>
  </si>
  <si>
    <t>BP-30-24-6-HMD</t>
  </si>
  <si>
    <t>BP-30-24-7-HMD</t>
  </si>
  <si>
    <t>BP-30-24-8-HMD</t>
  </si>
  <si>
    <t>BP-30-24-9-HMD</t>
  </si>
  <si>
    <t>BP-30-24-10-HMD</t>
  </si>
  <si>
    <t>BP-30-24-11-HMD</t>
  </si>
  <si>
    <t>BP-30-24-12-DBL</t>
  </si>
  <si>
    <t>BP-30-24-1-DBL</t>
  </si>
  <si>
    <t>BP-30-24-2-DBL</t>
  </si>
  <si>
    <t>BP-30-24-3-DBL</t>
  </si>
  <si>
    <t>BP-30-24-4-DBL</t>
  </si>
  <si>
    <t>BP-30-24-5-DBL</t>
  </si>
  <si>
    <t>BP-30-24-6-DBL</t>
  </si>
  <si>
    <t>BP-30-24-7-DBL</t>
  </si>
  <si>
    <t>BP-30-24-8-DBL</t>
  </si>
  <si>
    <t>BP-30-24-9-DBL</t>
  </si>
  <si>
    <t>BP-30-24-10-DBL</t>
  </si>
  <si>
    <t>BP-30-24-11-DBL</t>
  </si>
  <si>
    <t>BP-30-212-12-STD</t>
  </si>
  <si>
    <t>BP-30-28-1-STD</t>
  </si>
  <si>
    <t>BP-30-28-2-STD</t>
  </si>
  <si>
    <t>BP-30-28-3-STD</t>
  </si>
  <si>
    <t>BP-30-28-4-STD</t>
  </si>
  <si>
    <t>BP-30-28-5-STD</t>
  </si>
  <si>
    <t>BP-30-28-6-STD</t>
  </si>
  <si>
    <t>BP-30-28-7-STD</t>
  </si>
  <si>
    <t>BP-30-28-8-STD</t>
  </si>
  <si>
    <t>BP-30-28-9-STD</t>
  </si>
  <si>
    <t>BP-30-28-10-STD</t>
  </si>
  <si>
    <t>BP-30-28-11-STD</t>
  </si>
  <si>
    <t>BP-30-28-12-STD</t>
  </si>
  <si>
    <t>BP-30-212-12-HMD</t>
  </si>
  <si>
    <t>BP-30-28-1-HMD</t>
  </si>
  <si>
    <t>BP-30-28-2-HMD</t>
  </si>
  <si>
    <t>BP-30-28-3-HMD</t>
  </si>
  <si>
    <t>BP-30-28-4-HMD</t>
  </si>
  <si>
    <t>BP-30-28-5-HMD</t>
  </si>
  <si>
    <t>BP-30-28-6-HMD</t>
  </si>
  <si>
    <t>BP-30-28-7-HMD</t>
  </si>
  <si>
    <t>BP-30-28-8-HMD</t>
  </si>
  <si>
    <t>BP-30-28-9-HMD</t>
  </si>
  <si>
    <t>BP-30-28-10-HMD</t>
  </si>
  <si>
    <t>BP-30-28-11-HMD</t>
  </si>
  <si>
    <t>BP-30-28-12-HMD</t>
  </si>
  <si>
    <t>BP-30-212-12-DBL</t>
  </si>
  <si>
    <t>BP-30-28-1-DBL</t>
  </si>
  <si>
    <t>BP-30-28-2-DBL</t>
  </si>
  <si>
    <t>BP-30-28-3-DBL</t>
  </si>
  <si>
    <t>BP-30-28-4-DBL</t>
  </si>
  <si>
    <t>BP-30-28-5-DBL</t>
  </si>
  <si>
    <t>BP-30-28-6-DBL</t>
  </si>
  <si>
    <t>BP-30-28-7-DBL</t>
  </si>
  <si>
    <t>BP-30-28-8-DBL</t>
  </si>
  <si>
    <t>BP-30-28-9-DBL</t>
  </si>
  <si>
    <t>BP-30-28-10-DBL</t>
  </si>
  <si>
    <t>BP-30-28-11-DBL</t>
  </si>
  <si>
    <t>BP-30-28-12-DBL</t>
  </si>
  <si>
    <t>BP-30-32-12-STD</t>
  </si>
  <si>
    <t>BP-30-32-1-STD</t>
  </si>
  <si>
    <t>BP-30-32-2-STD</t>
  </si>
  <si>
    <t>BP-30-32-3-STD</t>
  </si>
  <si>
    <t>BP-30-32-4-STD</t>
  </si>
  <si>
    <t>BP-30-32-5-STD</t>
  </si>
  <si>
    <t>BP-30-32-6-STD</t>
  </si>
  <si>
    <t>BP-30-32-7-STD</t>
  </si>
  <si>
    <t>BP-30-32-8-STD</t>
  </si>
  <si>
    <t>BP-30-32-9-STD</t>
  </si>
  <si>
    <t>BP-30-32-10-STD</t>
  </si>
  <si>
    <t>BP-30-32-11-STD</t>
  </si>
  <si>
    <t>BP-30-32-12-HMD</t>
  </si>
  <si>
    <t>BP-30-32-1-HMD</t>
  </si>
  <si>
    <t>BP-30-32-2-HMD</t>
  </si>
  <si>
    <t>BP-30-32-3-HMD</t>
  </si>
  <si>
    <t>BP-30-32-4-HMD</t>
  </si>
  <si>
    <t>BP-30-32-5-HMD</t>
  </si>
  <si>
    <t>BP-30-32-6-HMD</t>
  </si>
  <si>
    <t>BP-30-32-7-HMD</t>
  </si>
  <si>
    <t>BP-30-32-8-HMD</t>
  </si>
  <si>
    <t>BP-30-32-9-HMD</t>
  </si>
  <si>
    <t>BP-30-32-10-HMD</t>
  </si>
  <si>
    <t>BP-30-32-11-HMD</t>
  </si>
  <si>
    <t>BP-30-32-12-DBL</t>
  </si>
  <si>
    <t>BP-30-32-1-DBL</t>
  </si>
  <si>
    <t>BP-30-32-2-DBL</t>
  </si>
  <si>
    <t>BP-30-32-3-DBL</t>
  </si>
  <si>
    <t>BP-30-32-4-DBL</t>
  </si>
  <si>
    <t>BP-30-32-5-DBL</t>
  </si>
  <si>
    <t>BP-30-32-6-DBL</t>
  </si>
  <si>
    <t>BP-30-32-7-DBL</t>
  </si>
  <si>
    <t>BP-30-32-8-DBL</t>
  </si>
  <si>
    <t>BP-30-32-9-DBL</t>
  </si>
  <si>
    <t>BP-30-32-10-DBL</t>
  </si>
  <si>
    <t>BP-30-32-11-DBL</t>
  </si>
  <si>
    <t>BP-30-36-12-STD</t>
  </si>
  <si>
    <t>BP-30-36-1-STD</t>
  </si>
  <si>
    <t>BP-30-36-2-STD</t>
  </si>
  <si>
    <t>BP-30-36-3-STD</t>
  </si>
  <si>
    <t>BP-30-36-4-STD</t>
  </si>
  <si>
    <t>BP-30-36-5-STD</t>
  </si>
  <si>
    <t>BP-30-36-6-STD</t>
  </si>
  <si>
    <t>BP-30-36-7-STD</t>
  </si>
  <si>
    <t>BP-30-36-8-STD</t>
  </si>
  <si>
    <t>BP-30-36-9-STD</t>
  </si>
  <si>
    <t>BP-30-36-10-STD</t>
  </si>
  <si>
    <t>BP-30-36-11-STD</t>
  </si>
  <si>
    <t>BP-30-36-12-HMD</t>
  </si>
  <si>
    <t>BP-30-36-1-HMD</t>
  </si>
  <si>
    <t>BP-30-36-2-HMD</t>
  </si>
  <si>
    <t>BP-30-36-3-HMD</t>
  </si>
  <si>
    <t>BP-30-36-4-HMD</t>
  </si>
  <si>
    <t>BP-30-36-5-HMD</t>
  </si>
  <si>
    <t>BP-30-36-6-HMD</t>
  </si>
  <si>
    <t>BP-30-36-7-HMD</t>
  </si>
  <si>
    <t>BP-30-36-8-HMD</t>
  </si>
  <si>
    <t>BP-30-36-9-HMD</t>
  </si>
  <si>
    <t>BP-30-36-10-HMD</t>
  </si>
  <si>
    <t>BP-30-36-11-HMD</t>
  </si>
  <si>
    <t>BP-30-36-12-DBL</t>
  </si>
  <si>
    <t>BP-30-36-1-DBL</t>
  </si>
  <si>
    <t>BP-30-36-2-DBL</t>
  </si>
  <si>
    <t>BP-30-36-3-DBL</t>
  </si>
  <si>
    <t>BP-30-36-4-DBL</t>
  </si>
  <si>
    <t>BP-30-36-5-DBL</t>
  </si>
  <si>
    <t>BP-30-36-6-DBL</t>
  </si>
  <si>
    <t>BP-30-36-7-DBL</t>
  </si>
  <si>
    <t>BP-30-36-8-DBL</t>
  </si>
  <si>
    <t>BP-30-36-9-DBL</t>
  </si>
  <si>
    <t>BP-30-36-10-DBL</t>
  </si>
  <si>
    <t>BP-30-36-11-DBL</t>
  </si>
  <si>
    <t>BP-32-16-12-STD</t>
  </si>
  <si>
    <t>BP-32-16-1-STD</t>
  </si>
  <si>
    <t>BP-32-16-2-STD</t>
  </si>
  <si>
    <t>BP-32-16-3-STD</t>
  </si>
  <si>
    <t>BP-32-16-4-STD</t>
  </si>
  <si>
    <t>BP-32-16-5-STD</t>
  </si>
  <si>
    <t>BP-32-16-6-STD</t>
  </si>
  <si>
    <t>BP-32-16-7-STD</t>
  </si>
  <si>
    <t>BP-32-16-8-STD</t>
  </si>
  <si>
    <t>BP-32-16-9-STD</t>
  </si>
  <si>
    <t>BP-32-16-10-STD</t>
  </si>
  <si>
    <t>BP-32-16-11-STD</t>
  </si>
  <si>
    <t>BP-32-16-12-HMD</t>
  </si>
  <si>
    <t>BP-32-16-1-HMD</t>
  </si>
  <si>
    <t>BP-32-16-2-HMD</t>
  </si>
  <si>
    <t>BP-32-16-3-HMD</t>
  </si>
  <si>
    <t>BP-32-16-4-HMD</t>
  </si>
  <si>
    <t>BP-32-16-5-HMD</t>
  </si>
  <si>
    <t>BP-32-16-6-HMD</t>
  </si>
  <si>
    <t>BP-32-16-7-HMD</t>
  </si>
  <si>
    <t>BP-32-16-8-HMD</t>
  </si>
  <si>
    <t>BP-32-16-9-HMD</t>
  </si>
  <si>
    <t>BP-32-16-10-HMD</t>
  </si>
  <si>
    <t>BP-32-16-11-HMD</t>
  </si>
  <si>
    <t>BP-32-16-12-DBL</t>
  </si>
  <si>
    <t>BP-32-16-1-DBL</t>
  </si>
  <si>
    <t>BP-32-16-2-DBL</t>
  </si>
  <si>
    <t>BP-32-16-3-DBL</t>
  </si>
  <si>
    <t>BP-32-16-4-DBL</t>
  </si>
  <si>
    <t>BP-32-16-5-DBL</t>
  </si>
  <si>
    <t>BP-32-16-6-DBL</t>
  </si>
  <si>
    <t>BP-32-16-7-DBL</t>
  </si>
  <si>
    <t>BP-32-16-8-DBL</t>
  </si>
  <si>
    <t>BP-32-16-9-DBL</t>
  </si>
  <si>
    <t>BP-32-16-10-DBL</t>
  </si>
  <si>
    <t>BP-32-16-11-DBL</t>
  </si>
  <si>
    <t>BP-32-20-12-STD</t>
  </si>
  <si>
    <t>BP-32-20-1-STD</t>
  </si>
  <si>
    <t>BP-32-20-2-STD</t>
  </si>
  <si>
    <t>BP-32-20-3-STD</t>
  </si>
  <si>
    <t>BP-32-20-4-STD</t>
  </si>
  <si>
    <t>BP-32-20-5-STD</t>
  </si>
  <si>
    <t>BP-32-20-6-STD</t>
  </si>
  <si>
    <t>BP-32-20-7-STD</t>
  </si>
  <si>
    <t>BP-32-20-8-STD</t>
  </si>
  <si>
    <t>BP-32-20-9-STD</t>
  </si>
  <si>
    <t>BP-32-20-10-STD</t>
  </si>
  <si>
    <t>BP-32-20-11-STD</t>
  </si>
  <si>
    <t>BP-32-20-12-HMD</t>
  </si>
  <si>
    <t>BP-32-20-1-HMD</t>
  </si>
  <si>
    <t>BP-32-20-2-HMD</t>
  </si>
  <si>
    <t>BP-32-20-3-HMD</t>
  </si>
  <si>
    <t>BP-32-20-4-HMD</t>
  </si>
  <si>
    <t>BP-32-20-5-HMD</t>
  </si>
  <si>
    <t>BP-32-20-6-HMD</t>
  </si>
  <si>
    <t>BP-32-20-7-HMD</t>
  </si>
  <si>
    <t>BP-32-20-8-HMD</t>
  </si>
  <si>
    <t>BP-32-20-9-HMD</t>
  </si>
  <si>
    <t>BP-32-20-10-HMD</t>
  </si>
  <si>
    <t>BP-32-20-11-HMD</t>
  </si>
  <si>
    <t>BP-32-20-12-DBL</t>
  </si>
  <si>
    <t>BP-32-20-1-DBL</t>
  </si>
  <si>
    <t>BP-32-20-2-DBL</t>
  </si>
  <si>
    <t>BP-32-20-3-DBL</t>
  </si>
  <si>
    <t>BP-32-20-4-DBL</t>
  </si>
  <si>
    <t>BP-32-20-5-DBL</t>
  </si>
  <si>
    <t>BP-32-20-6-DBL</t>
  </si>
  <si>
    <t>BP-32-20-7-DBL</t>
  </si>
  <si>
    <t>BP-32-20-8-DBL</t>
  </si>
  <si>
    <t>BP-32-20-9-DBL</t>
  </si>
  <si>
    <t>BP-32-20-10-DBL</t>
  </si>
  <si>
    <t>BP-32-20-11-DBL</t>
  </si>
  <si>
    <t>BP-32-24-12-STD</t>
  </si>
  <si>
    <t>BP-32-24-1-STD</t>
  </si>
  <si>
    <t>BP-32-24-2-STD</t>
  </si>
  <si>
    <t>BP-32-24-3-STD</t>
  </si>
  <si>
    <t>BP-32-24-4-STD</t>
  </si>
  <si>
    <t>BP-32-24-5-STD</t>
  </si>
  <si>
    <t>BP-32-24-6-STD</t>
  </si>
  <si>
    <t>BP-32-24-7-STD</t>
  </si>
  <si>
    <t>BP-32-24-8-STD</t>
  </si>
  <si>
    <t>BP-32-24-9-STD</t>
  </si>
  <si>
    <t>BP-32-24-10-STD</t>
  </si>
  <si>
    <t>BP-32-24-11-STD</t>
  </si>
  <si>
    <t>BP-32-24-12-HMD</t>
  </si>
  <si>
    <t>BP-32-24-1-HMD</t>
  </si>
  <si>
    <t>BP-32-24-2-HMD</t>
  </si>
  <si>
    <t>BP-32-24-3-HMD</t>
  </si>
  <si>
    <t>BP-32-24-4-HMD</t>
  </si>
  <si>
    <t>BP-32-24-5-HMD</t>
  </si>
  <si>
    <t>BP-32-24-6-HMD</t>
  </si>
  <si>
    <t>BP-32-24-7-HMD</t>
  </si>
  <si>
    <t>BP-32-24-8-HMD</t>
  </si>
  <si>
    <t>BP-32-24-9-HMD</t>
  </si>
  <si>
    <t>BP-32-24-10-HMD</t>
  </si>
  <si>
    <t>BP-32-24-11-HMD</t>
  </si>
  <si>
    <t>BP-32-24-12-DBL</t>
  </si>
  <si>
    <t>BP-32-24-1-DBL</t>
  </si>
  <si>
    <t>BP-32-24-2-DBL</t>
  </si>
  <si>
    <t>BP-32-24-3-DBL</t>
  </si>
  <si>
    <t>BP-32-24-4-DBL</t>
  </si>
  <si>
    <t>BP-32-24-5-DBL</t>
  </si>
  <si>
    <t>BP-32-24-6-DBL</t>
  </si>
  <si>
    <t>BP-32-24-7-DBL</t>
  </si>
  <si>
    <t>BP-32-24-8-DBL</t>
  </si>
  <si>
    <t>BP-32-24-9-DBL</t>
  </si>
  <si>
    <t>BP-32-24-10-DBL</t>
  </si>
  <si>
    <t>BP-32-24-11-DBL</t>
  </si>
  <si>
    <t>BP-32-212-12-STD</t>
  </si>
  <si>
    <t>BP-32-28-1-STD</t>
  </si>
  <si>
    <t>BP-32-28-2-STD</t>
  </si>
  <si>
    <t>BP-32-28-3-STD</t>
  </si>
  <si>
    <t>BP-32-28-4-STD</t>
  </si>
  <si>
    <t>BP-32-28-5-STD</t>
  </si>
  <si>
    <t>BP-32-28-6-STD</t>
  </si>
  <si>
    <t>BP-32-28-7-STD</t>
  </si>
  <si>
    <t>BP-32-28-8-STD</t>
  </si>
  <si>
    <t>BP-32-28-9-STD</t>
  </si>
  <si>
    <t>BP-32-28-10-STD</t>
  </si>
  <si>
    <t>BP-32-28-11-STD</t>
  </si>
  <si>
    <t>BP-32-28-12-STD</t>
  </si>
  <si>
    <t>BP-32-212-12-HMD</t>
  </si>
  <si>
    <t>BP-32-28-1-HMD</t>
  </si>
  <si>
    <t>BP-32-28-2-HMD</t>
  </si>
  <si>
    <t>BP-32-28-3-HMD</t>
  </si>
  <si>
    <t>BP-32-28-4-HMD</t>
  </si>
  <si>
    <t>BP-32-28-5-HMD</t>
  </si>
  <si>
    <t>BP-32-28-6-HMD</t>
  </si>
  <si>
    <t>BP-32-28-7-HMD</t>
  </si>
  <si>
    <t>BP-32-28-8-HMD</t>
  </si>
  <si>
    <t>BP-32-28-9-HMD</t>
  </si>
  <si>
    <t>BP-32-28-10-HMD</t>
  </si>
  <si>
    <t>BP-32-28-11-HMD</t>
  </si>
  <si>
    <t>BP-32-28-12-HMD</t>
  </si>
  <si>
    <t>BP-32-212-12-DBL</t>
  </si>
  <si>
    <t>BP-32-28-1-DBL</t>
  </si>
  <si>
    <t>BP-32-28-2-DBL</t>
  </si>
  <si>
    <t>BP-32-28-3-DBL</t>
  </si>
  <si>
    <t>BP-32-28-4-DBL</t>
  </si>
  <si>
    <t>BP-32-28-5-DBL</t>
  </si>
  <si>
    <t>BP-32-28-6-DBL</t>
  </si>
  <si>
    <t>BP-32-28-7-DBL</t>
  </si>
  <si>
    <t>BP-32-28-8-DBL</t>
  </si>
  <si>
    <t>BP-32-28-9-DBL</t>
  </si>
  <si>
    <t>BP-32-28-10-DBL</t>
  </si>
  <si>
    <t>BP-32-28-11-DBL</t>
  </si>
  <si>
    <t>BP-32-28-12-DBL</t>
  </si>
  <si>
    <t>BP-32-32-12-STD</t>
  </si>
  <si>
    <t>BP-32-32-1-STD</t>
  </si>
  <si>
    <t>BP-32-32-2-STD</t>
  </si>
  <si>
    <t>BP-32-32-3-STD</t>
  </si>
  <si>
    <t>BP-32-32-4-STD</t>
  </si>
  <si>
    <t>BP-32-32-5-STD</t>
  </si>
  <si>
    <t>BP-32-32-6-STD</t>
  </si>
  <si>
    <t>BP-32-32-7-STD</t>
  </si>
  <si>
    <t>BP-32-32-8-STD</t>
  </si>
  <si>
    <t>BP-32-32-9-STD</t>
  </si>
  <si>
    <t>BP-32-32-10-STD</t>
  </si>
  <si>
    <t>BP-32-32-11-STD</t>
  </si>
  <si>
    <t>BP-32-32-12-HMD</t>
  </si>
  <si>
    <t>BP-32-32-1-HMD</t>
  </si>
  <si>
    <t>BP-32-32-2-HMD</t>
  </si>
  <si>
    <t>BP-32-32-3-HMD</t>
  </si>
  <si>
    <t>BP-32-32-4-HMD</t>
  </si>
  <si>
    <t>BP-32-32-5-HMD</t>
  </si>
  <si>
    <t>BP-32-32-6-HMD</t>
  </si>
  <si>
    <t>BP-32-32-7-HMD</t>
  </si>
  <si>
    <t>BP-32-32-8-HMD</t>
  </si>
  <si>
    <t>BP-32-32-9-HMD</t>
  </si>
  <si>
    <t>BP-32-32-10-HMD</t>
  </si>
  <si>
    <t>BP-32-32-11-HMD</t>
  </si>
  <si>
    <t>BP-32-32-12-DBL</t>
  </si>
  <si>
    <t>BP-32-32-1-DBL</t>
  </si>
  <si>
    <t>BP-32-32-2-DBL</t>
  </si>
  <si>
    <t>BP-32-32-3-DBL</t>
  </si>
  <si>
    <t>BP-32-32-4-DBL</t>
  </si>
  <si>
    <t>BP-32-32-5-DBL</t>
  </si>
  <si>
    <t>BP-32-32-6-DBL</t>
  </si>
  <si>
    <t>BP-32-32-7-DBL</t>
  </si>
  <si>
    <t>BP-32-32-8-DBL</t>
  </si>
  <si>
    <t>BP-32-32-9-DBL</t>
  </si>
  <si>
    <t>BP-32-32-10-DBL</t>
  </si>
  <si>
    <t>BP-32-32-11-DBL</t>
  </si>
  <si>
    <t>BP-32-36-12-STD</t>
  </si>
  <si>
    <t>BP-32-36-1-STD</t>
  </si>
  <si>
    <t>BP-32-36-2-STD</t>
  </si>
  <si>
    <t>BP-32-36-3-STD</t>
  </si>
  <si>
    <t>BP-32-36-4-STD</t>
  </si>
  <si>
    <t>BP-32-36-5-STD</t>
  </si>
  <si>
    <t>BP-32-36-6-STD</t>
  </si>
  <si>
    <t>BP-32-36-7-STD</t>
  </si>
  <si>
    <t>BP-32-36-8-STD</t>
  </si>
  <si>
    <t>BP-32-36-9-STD</t>
  </si>
  <si>
    <t>BP-32-36-10-STD</t>
  </si>
  <si>
    <t>BP-32-36-11-STD</t>
  </si>
  <si>
    <t>BP-32-36-12-HMD</t>
  </si>
  <si>
    <t>BP-32-36-1-HMD</t>
  </si>
  <si>
    <t>BP-32-36-2-HMD</t>
  </si>
  <si>
    <t>BP-32-36-3-HMD</t>
  </si>
  <si>
    <t>BP-32-36-4-HMD</t>
  </si>
  <si>
    <t>BP-32-36-5-HMD</t>
  </si>
  <si>
    <t>BP-32-36-6-HMD</t>
  </si>
  <si>
    <t>BP-32-36-7-HMD</t>
  </si>
  <si>
    <t>BP-32-36-8-HMD</t>
  </si>
  <si>
    <t>BP-32-36-9-HMD</t>
  </si>
  <si>
    <t>BP-32-36-10-HMD</t>
  </si>
  <si>
    <t>BP-32-36-11-HMD</t>
  </si>
  <si>
    <t>BP-32-36-12-DBL</t>
  </si>
  <si>
    <t>BP-32-36-1-DBL</t>
  </si>
  <si>
    <t>BP-32-36-2-DBL</t>
  </si>
  <si>
    <t>BP-32-36-3-DBL</t>
  </si>
  <si>
    <t>BP-32-36-4-DBL</t>
  </si>
  <si>
    <t>BP-32-36-5-DBL</t>
  </si>
  <si>
    <t>BP-32-36-6-DBL</t>
  </si>
  <si>
    <t>BP-32-36-7-DBL</t>
  </si>
  <si>
    <t>BP-32-36-8-DBL</t>
  </si>
  <si>
    <t>BP-32-36-9-DBL</t>
  </si>
  <si>
    <t>BP-32-36-10-DBL</t>
  </si>
  <si>
    <t>BP-32-36-11-DBL</t>
  </si>
  <si>
    <t>BP-34-16-12-STD</t>
  </si>
  <si>
    <t>BP-34-16-1-STD</t>
  </si>
  <si>
    <t>BP-34-16-2-STD</t>
  </si>
  <si>
    <t>BP-34-16-3-STD</t>
  </si>
  <si>
    <t>BP-34-16-4-STD</t>
  </si>
  <si>
    <t>BP-34-16-5-STD</t>
  </si>
  <si>
    <t>BP-34-16-6-STD</t>
  </si>
  <si>
    <t>BP-34-16-7-STD</t>
  </si>
  <si>
    <t>BP-34-16-8-STD</t>
  </si>
  <si>
    <t>BP-34-16-9-STD</t>
  </si>
  <si>
    <t>BP-34-16-10-STD</t>
  </si>
  <si>
    <t>BP-34-16-11-STD</t>
  </si>
  <si>
    <t>BP-34-16-12-HMD</t>
  </si>
  <si>
    <t>BP-34-16-1-HMD</t>
  </si>
  <si>
    <t>BP-34-16-2-HMD</t>
  </si>
  <si>
    <t>BP-34-16-3-HMD</t>
  </si>
  <si>
    <t>BP-34-16-4-HMD</t>
  </si>
  <si>
    <t>BP-34-16-5-HMD</t>
  </si>
  <si>
    <t>BP-34-16-6-HMD</t>
  </si>
  <si>
    <t>BP-34-16-7-HMD</t>
  </si>
  <si>
    <t>BP-34-16-8-HMD</t>
  </si>
  <si>
    <t>BP-34-16-9-HMD</t>
  </si>
  <si>
    <t>BP-34-16-10-HMD</t>
  </si>
  <si>
    <t>BP-34-16-11-HMD</t>
  </si>
  <si>
    <t>BP-34-16-12-DBL</t>
  </si>
  <si>
    <t>BP-34-16-1-DBL</t>
  </si>
  <si>
    <t>BP-34-16-2-DBL</t>
  </si>
  <si>
    <t>BP-34-16-3-DBL</t>
  </si>
  <si>
    <t>BP-34-16-4-DBL</t>
  </si>
  <si>
    <t>BP-34-16-5-DBL</t>
  </si>
  <si>
    <t>BP-34-16-6-DBL</t>
  </si>
  <si>
    <t>BP-34-16-7-DBL</t>
  </si>
  <si>
    <t>BP-34-16-8-DBL</t>
  </si>
  <si>
    <t>BP-34-16-9-DBL</t>
  </si>
  <si>
    <t>BP-34-16-10-DBL</t>
  </si>
  <si>
    <t>BP-34-16-11-DBL</t>
  </si>
  <si>
    <t>BP-34-20-12-STD</t>
  </si>
  <si>
    <t>BP-34-20-1-STD</t>
  </si>
  <si>
    <t>BP-34-20-2-STD</t>
  </si>
  <si>
    <t>BP-34-20-3-STD</t>
  </si>
  <si>
    <t>BP-34-20-4-STD</t>
  </si>
  <si>
    <t>BP-34-20-5-STD</t>
  </si>
  <si>
    <t>BP-34-20-6-STD</t>
  </si>
  <si>
    <t>BP-34-20-7-STD</t>
  </si>
  <si>
    <t>BP-34-20-8-STD</t>
  </si>
  <si>
    <t>BP-34-20-9-STD</t>
  </si>
  <si>
    <t>BP-34-20-10-STD</t>
  </si>
  <si>
    <t>BP-34-20-11-STD</t>
  </si>
  <si>
    <t>BP-34-20-12-HMD</t>
  </si>
  <si>
    <t>BP-34-20-1-HMD</t>
  </si>
  <si>
    <t>BP-34-20-2-HMD</t>
  </si>
  <si>
    <t>BP-34-20-3-HMD</t>
  </si>
  <si>
    <t>BP-34-20-4-HMD</t>
  </si>
  <si>
    <t>BP-34-20-5-HMD</t>
  </si>
  <si>
    <t>BP-34-20-6-HMD</t>
  </si>
  <si>
    <t>BP-34-20-7-HMD</t>
  </si>
  <si>
    <t>BP-34-20-8-HMD</t>
  </si>
  <si>
    <t>BP-34-20-9-HMD</t>
  </si>
  <si>
    <t>BP-34-20-10-HMD</t>
  </si>
  <si>
    <t>BP-34-20-11-HMD</t>
  </si>
  <si>
    <t>BP-34-20-12-DBL</t>
  </si>
  <si>
    <t>BP-34-20-1-DBL</t>
  </si>
  <si>
    <t>BP-34-20-2-DBL</t>
  </si>
  <si>
    <t>BP-34-20-3-DBL</t>
  </si>
  <si>
    <t>BP-34-20-4-DBL</t>
  </si>
  <si>
    <t>BP-34-20-5-DBL</t>
  </si>
  <si>
    <t>BP-34-20-6-DBL</t>
  </si>
  <si>
    <t>BP-34-20-7-DBL</t>
  </si>
  <si>
    <t>BP-34-20-8-DBL</t>
  </si>
  <si>
    <t>BP-34-20-9-DBL</t>
  </si>
  <si>
    <t>BP-34-20-10-DBL</t>
  </si>
  <si>
    <t>BP-34-20-11-DBL</t>
  </si>
  <si>
    <t>BP-34-24-12-STD</t>
  </si>
  <si>
    <t>BP-34-24-1-STD</t>
  </si>
  <si>
    <t>BP-34-24-2-STD</t>
  </si>
  <si>
    <t>BP-34-24-3-STD</t>
  </si>
  <si>
    <t>BP-34-24-4-STD</t>
  </si>
  <si>
    <t>BP-34-24-5-STD</t>
  </si>
  <si>
    <t>BP-34-24-6-STD</t>
  </si>
  <si>
    <t>BP-34-24-7-STD</t>
  </si>
  <si>
    <t>BP-34-24-8-STD</t>
  </si>
  <si>
    <t>BP-34-24-9-STD</t>
  </si>
  <si>
    <t>BP-34-24-10-STD</t>
  </si>
  <si>
    <t>BP-34-24-11-STD</t>
  </si>
  <si>
    <t>BP-34-24-12-HMD</t>
  </si>
  <si>
    <t>BP-34-24-1-HMD</t>
  </si>
  <si>
    <t>BP-34-24-2-HMD</t>
  </si>
  <si>
    <t>BP-34-24-3-HMD</t>
  </si>
  <si>
    <t>BP-34-24-4-HMD</t>
  </si>
  <si>
    <t>BP-34-24-5-HMD</t>
  </si>
  <si>
    <t>BP-34-24-6-HMD</t>
  </si>
  <si>
    <t>BP-34-24-7-HMD</t>
  </si>
  <si>
    <t>BP-34-24-8-HMD</t>
  </si>
  <si>
    <t>BP-34-24-9-HMD</t>
  </si>
  <si>
    <t>BP-34-24-10-HMD</t>
  </si>
  <si>
    <t>BP-34-24-11-HMD</t>
  </si>
  <si>
    <t>BP-34-24-12-DBL</t>
  </si>
  <si>
    <t>BP-34-24-1-DBL</t>
  </si>
  <si>
    <t>BP-34-24-2-DBL</t>
  </si>
  <si>
    <t>BP-34-24-3-DBL</t>
  </si>
  <si>
    <t>BP-34-24-4-DBL</t>
  </si>
  <si>
    <t>BP-34-24-5-DBL</t>
  </si>
  <si>
    <t>BP-34-24-6-DBL</t>
  </si>
  <si>
    <t>BP-34-24-7-DBL</t>
  </si>
  <si>
    <t>BP-34-24-8-DBL</t>
  </si>
  <si>
    <t>BP-34-24-9-DBL</t>
  </si>
  <si>
    <t>BP-34-24-10-DBL</t>
  </si>
  <si>
    <t>BP-34-24-11-DBL</t>
  </si>
  <si>
    <t>BP-34-212-12-STD</t>
  </si>
  <si>
    <t>BP-34-28-1-STD</t>
  </si>
  <si>
    <t>BP-34-28-2-STD</t>
  </si>
  <si>
    <t>BP-34-28-3-STD</t>
  </si>
  <si>
    <t>BP-34-28-4-STD</t>
  </si>
  <si>
    <t>BP-34-28-5-STD</t>
  </si>
  <si>
    <t>BP-34-28-6-STD</t>
  </si>
  <si>
    <t>BP-34-28-7-STD</t>
  </si>
  <si>
    <t>BP-34-28-8-STD</t>
  </si>
  <si>
    <t>BP-34-28-9-STD</t>
  </si>
  <si>
    <t>BP-34-28-10-STD</t>
  </si>
  <si>
    <t>BP-34-28-11-STD</t>
  </si>
  <si>
    <t>BP-34-28-12-STD</t>
  </si>
  <si>
    <t>BP-34-212-12-HMD</t>
  </si>
  <si>
    <t>BP-34-28-1-HMD</t>
  </si>
  <si>
    <t>BP-34-28-2-HMD</t>
  </si>
  <si>
    <t>BP-34-28-3-HMD</t>
  </si>
  <si>
    <t>BP-34-28-4-HMD</t>
  </si>
  <si>
    <t>BP-34-28-5-HMD</t>
  </si>
  <si>
    <t>BP-34-28-6-HMD</t>
  </si>
  <si>
    <t>BP-34-28-7-HMD</t>
  </si>
  <si>
    <t>BP-34-28-8-HMD</t>
  </si>
  <si>
    <t>BP-34-28-9-HMD</t>
  </si>
  <si>
    <t>BP-34-28-10-HMD</t>
  </si>
  <si>
    <t>BP-34-28-11-HMD</t>
  </si>
  <si>
    <t>BP-34-28-12-HMD</t>
  </si>
  <si>
    <t>BP-34-212-12-DBL</t>
  </si>
  <si>
    <t>BP-34-28-1-DBL</t>
  </si>
  <si>
    <t>BP-34-28-2-DBL</t>
  </si>
  <si>
    <t>BP-34-28-3-DBL</t>
  </si>
  <si>
    <t>BP-34-28-4-DBL</t>
  </si>
  <si>
    <t>BP-34-28-5-DBL</t>
  </si>
  <si>
    <t>BP-34-28-6-DBL</t>
  </si>
  <si>
    <t>BP-34-28-7-DBL</t>
  </si>
  <si>
    <t>BP-34-28-8-DBL</t>
  </si>
  <si>
    <t>BP-34-28-9-DBL</t>
  </si>
  <si>
    <t>BP-34-28-10-DBL</t>
  </si>
  <si>
    <t>BP-34-28-11-DBL</t>
  </si>
  <si>
    <t>BP-34-28-12-DBL</t>
  </si>
  <si>
    <t>BP-34-32-12-STD</t>
  </si>
  <si>
    <t>BP-34-32-1-STD</t>
  </si>
  <si>
    <t>BP-34-32-2-STD</t>
  </si>
  <si>
    <t>BP-34-32-3-STD</t>
  </si>
  <si>
    <t>BP-34-32-4-STD</t>
  </si>
  <si>
    <t>BP-34-32-5-STD</t>
  </si>
  <si>
    <t>BP-34-32-6-STD</t>
  </si>
  <si>
    <t>BP-34-32-7-STD</t>
  </si>
  <si>
    <t>BP-34-32-8-STD</t>
  </si>
  <si>
    <t>BP-34-32-9-STD</t>
  </si>
  <si>
    <t>BP-34-32-10-STD</t>
  </si>
  <si>
    <t>BP-34-32-11-STD</t>
  </si>
  <si>
    <t>BP-34-32-12-HMD</t>
  </si>
  <si>
    <t>BP-34-32-1-HMD</t>
  </si>
  <si>
    <t>BP-34-32-2-HMD</t>
  </si>
  <si>
    <t>BP-34-32-3-HMD</t>
  </si>
  <si>
    <t>BP-34-32-4-HMD</t>
  </si>
  <si>
    <t>BP-34-32-5-HMD</t>
  </si>
  <si>
    <t>BP-34-32-6-HMD</t>
  </si>
  <si>
    <t>BP-34-32-7-HMD</t>
  </si>
  <si>
    <t>BP-34-32-8-HMD</t>
  </si>
  <si>
    <t>BP-34-32-9-HMD</t>
  </si>
  <si>
    <t>BP-34-32-10-HMD</t>
  </si>
  <si>
    <t>BP-34-32-11-HMD</t>
  </si>
  <si>
    <t>BP-34-32-12-DBL</t>
  </si>
  <si>
    <t>BP-34-32-1-DBL</t>
  </si>
  <si>
    <t>BP-34-32-2-DBL</t>
  </si>
  <si>
    <t>BP-34-32-3-DBL</t>
  </si>
  <si>
    <t>BP-34-32-4-DBL</t>
  </si>
  <si>
    <t>BP-34-32-5-DBL</t>
  </si>
  <si>
    <t>BP-34-32-6-DBL</t>
  </si>
  <si>
    <t>BP-34-32-7-DBL</t>
  </si>
  <si>
    <t>BP-34-32-8-DBL</t>
  </si>
  <si>
    <t>BP-34-32-9-DBL</t>
  </si>
  <si>
    <t>BP-34-32-10-DBL</t>
  </si>
  <si>
    <t>BP-34-32-11-DBL</t>
  </si>
  <si>
    <t>BP-34-36-12-STD</t>
  </si>
  <si>
    <t>BP-34-36-1-STD</t>
  </si>
  <si>
    <t>BP-34-36-2-STD</t>
  </si>
  <si>
    <t>BP-34-36-3-STD</t>
  </si>
  <si>
    <t>BP-34-36-4-STD</t>
  </si>
  <si>
    <t>BP-34-36-5-STD</t>
  </si>
  <si>
    <t>BP-34-36-6-STD</t>
  </si>
  <si>
    <t>BP-34-36-7-STD</t>
  </si>
  <si>
    <t>BP-34-36-8-STD</t>
  </si>
  <si>
    <t>BP-34-36-9-STD</t>
  </si>
  <si>
    <t>BP-34-36-10-STD</t>
  </si>
  <si>
    <t>BP-34-36-11-STD</t>
  </si>
  <si>
    <t>BP-34-36-12-HMD</t>
  </si>
  <si>
    <t>BP-34-36-1-HMD</t>
  </si>
  <si>
    <t>BP-34-36-2-HMD</t>
  </si>
  <si>
    <t>BP-34-36-3-HMD</t>
  </si>
  <si>
    <t>BP-34-36-4-HMD</t>
  </si>
  <si>
    <t>BP-34-36-5-HMD</t>
  </si>
  <si>
    <t>BP-34-36-6-HMD</t>
  </si>
  <si>
    <t>BP-34-36-7-HMD</t>
  </si>
  <si>
    <t>BP-34-36-8-HMD</t>
  </si>
  <si>
    <t>BP-34-36-9-HMD</t>
  </si>
  <si>
    <t>BP-34-36-10-HMD</t>
  </si>
  <si>
    <t>BP-34-36-11-HMD</t>
  </si>
  <si>
    <t>BP-34-36-12-DBL</t>
  </si>
  <si>
    <t>BP-34-36-1-DBL</t>
  </si>
  <si>
    <t>BP-34-36-2-DBL</t>
  </si>
  <si>
    <t>BP-34-36-3-DBL</t>
  </si>
  <si>
    <t>BP-34-36-4-DBL</t>
  </si>
  <si>
    <t>BP-34-36-5-DBL</t>
  </si>
  <si>
    <t>BP-34-36-6-DBL</t>
  </si>
  <si>
    <t>BP-34-36-7-DBL</t>
  </si>
  <si>
    <t>BP-34-36-8-DBL</t>
  </si>
  <si>
    <t>BP-34-36-9-DBL</t>
  </si>
  <si>
    <t>BP-34-36-10-DBL</t>
  </si>
  <si>
    <t>BP-34-36-11-DBL</t>
  </si>
  <si>
    <t>BP-38-16-16-STD</t>
  </si>
  <si>
    <t>BP-38-16-1-STD</t>
  </si>
  <si>
    <t>BP-38-16-2-STD</t>
  </si>
  <si>
    <t>BP-38-16-3-STD</t>
  </si>
  <si>
    <t>BP-38-16-4-STD</t>
  </si>
  <si>
    <t>BP-38-16-5-STD</t>
  </si>
  <si>
    <t>BP-38-16-6-STD</t>
  </si>
  <si>
    <t>BP-38-16-7-STD</t>
  </si>
  <si>
    <t>BP-38-16-8-STD</t>
  </si>
  <si>
    <t>BP-38-16-9-STD</t>
  </si>
  <si>
    <t>BP-38-16-10-STD</t>
  </si>
  <si>
    <t>BP-38-16-11-STD</t>
  </si>
  <si>
    <t>BP-38-16-12-STD</t>
  </si>
  <si>
    <t>BP-38-16-13-STD</t>
  </si>
  <si>
    <t>BP-38-16-14-STD</t>
  </si>
  <si>
    <t>BP-38-16-15-STD</t>
  </si>
  <si>
    <t>BP-38-16-16-HMD</t>
  </si>
  <si>
    <t>BP-38-16-1-HMD</t>
  </si>
  <si>
    <t>BP-38-16-2-HMD</t>
  </si>
  <si>
    <t>BP-38-16-3-HMD</t>
  </si>
  <si>
    <t>BP-38-16-4-HMD</t>
  </si>
  <si>
    <t>BP-38-16-5-HMD</t>
  </si>
  <si>
    <t>BP-38-16-6-HMD</t>
  </si>
  <si>
    <t>BP-38-16-7-HMD</t>
  </si>
  <si>
    <t>BP-38-16-8-HMD</t>
  </si>
  <si>
    <t>BP-38-16-9-HMD</t>
  </si>
  <si>
    <t>BP-38-16-10-HMD</t>
  </si>
  <si>
    <t>BP-38-16-11-HMD</t>
  </si>
  <si>
    <t>BP-38-16-12-HMD</t>
  </si>
  <si>
    <t>BP-38-16-13-HMD</t>
  </si>
  <si>
    <t>BP-38-16-14-HMD</t>
  </si>
  <si>
    <t>BP-38-16-15-HMD</t>
  </si>
  <si>
    <t>BP-38-16-16-DBL</t>
  </si>
  <si>
    <t>BP-38-16-1-DBL</t>
  </si>
  <si>
    <t>BP-38-16-2-DBL</t>
  </si>
  <si>
    <t>BP-38-16-3-DBL</t>
  </si>
  <si>
    <t>BP-38-16-4-DBL</t>
  </si>
  <si>
    <t>BP-38-16-5-DBL</t>
  </si>
  <si>
    <t>BP-38-16-6-DBL</t>
  </si>
  <si>
    <t>BP-38-16-7-DBL</t>
  </si>
  <si>
    <t>BP-38-16-8-DBL</t>
  </si>
  <si>
    <t>BP-38-16-9-DBL</t>
  </si>
  <si>
    <t>BP-38-16-10-DBL</t>
  </si>
  <si>
    <t>BP-38-16-11-DBL</t>
  </si>
  <si>
    <t>BP-38-16-12-DBL</t>
  </si>
  <si>
    <t>BP-38-16-13-DBL</t>
  </si>
  <si>
    <t>BP-38-16-14-DBL</t>
  </si>
  <si>
    <t>BP-38-16-15-DBL</t>
  </si>
  <si>
    <t>BP-40-20-16-STD</t>
  </si>
  <si>
    <t>BP-40-20-1-STD</t>
  </si>
  <si>
    <t>BP-40-20-2-STD</t>
  </si>
  <si>
    <t>BP-40-20-3-STD</t>
  </si>
  <si>
    <t>BP-40-20-4-STD</t>
  </si>
  <si>
    <t>BP-40-20-5-STD</t>
  </si>
  <si>
    <t>BP-40-20-6-STD</t>
  </si>
  <si>
    <t>BP-40-20-7-STD</t>
  </si>
  <si>
    <t>BP-40-20-8-STD</t>
  </si>
  <si>
    <t>BP-40-20-9-STD</t>
  </si>
  <si>
    <t>BP-40-20-10-STD</t>
  </si>
  <si>
    <t>BP-40-20-11-STD</t>
  </si>
  <si>
    <t>BP-40-20-12-STD</t>
  </si>
  <si>
    <t>BP-40-20-13-STD</t>
  </si>
  <si>
    <t>BP-40-20-14-STD</t>
  </si>
  <si>
    <t>BP-40-20-15-STD</t>
  </si>
  <si>
    <t>BP-40-20-16-HMD</t>
  </si>
  <si>
    <t>BP-40-20-1-HMD</t>
  </si>
  <si>
    <t>BP-40-20-2-HMD</t>
  </si>
  <si>
    <t>BP-40-20-3-HMD</t>
  </si>
  <si>
    <t>BP-40-20-4-HMD</t>
  </si>
  <si>
    <t>BP-40-20-5-HMD</t>
  </si>
  <si>
    <t>BP-40-20-6-HMD</t>
  </si>
  <si>
    <t>BP-40-20-7-HMD</t>
  </si>
  <si>
    <t>BP-40-20-8-HMD</t>
  </si>
  <si>
    <t>BP-40-20-9-HMD</t>
  </si>
  <si>
    <t>BP-40-20-10-HMD</t>
  </si>
  <si>
    <t>BP-40-20-11-HMD</t>
  </si>
  <si>
    <t>BP-40-20-12-HMD</t>
  </si>
  <si>
    <t>BP-40-20-13-HMD</t>
  </si>
  <si>
    <t>BP-40-20-14-HMD</t>
  </si>
  <si>
    <t>BP-40-20-15-HMD</t>
  </si>
  <si>
    <t>BP-40-20-16-DBL</t>
  </si>
  <si>
    <t>BP-40-20-1-DBL</t>
  </si>
  <si>
    <t>BP-40-20-2-DBL</t>
  </si>
  <si>
    <t>BP-40-20-3-DBL</t>
  </si>
  <si>
    <t>BP-40-20-4-DBL</t>
  </si>
  <si>
    <t>BP-40-20-5-DBL</t>
  </si>
  <si>
    <t>BP-40-20-6-DBL</t>
  </si>
  <si>
    <t>BP-40-20-7-DBL</t>
  </si>
  <si>
    <t>BP-40-20-8-DBL</t>
  </si>
  <si>
    <t>BP-40-20-9-DBL</t>
  </si>
  <si>
    <t>BP-40-20-10-DBL</t>
  </si>
  <si>
    <t>BP-40-20-11-DBL</t>
  </si>
  <si>
    <t>BP-40-20-12-DBL</t>
  </si>
  <si>
    <t>BP-40-20-13-DBL</t>
  </si>
  <si>
    <t>BP-40-20-14-DBL</t>
  </si>
  <si>
    <t>BP-40-20-15-DBL</t>
  </si>
  <si>
    <t>BASE PLATE SIZE</t>
  </si>
  <si>
    <t>SEGMENTS</t>
  </si>
  <si>
    <t>8 HOLE</t>
  </si>
  <si>
    <t>12 HOLE</t>
  </si>
  <si>
    <t>16 HOLE</t>
  </si>
  <si>
    <t>20 HOLE</t>
  </si>
  <si>
    <t>24 HOLE</t>
  </si>
  <si>
    <t>28 HOLE</t>
  </si>
  <si>
    <t>32 HOLE</t>
  </si>
  <si>
    <t>36  HOLE</t>
  </si>
  <si>
    <t>SINGLE</t>
  </si>
  <si>
    <t>HMD</t>
  </si>
  <si>
    <t>DOUBLE</t>
  </si>
  <si>
    <t>SIZE</t>
  </si>
  <si>
    <t>BASE PLATES</t>
  </si>
  <si>
    <t>30 VARIFY HOLES</t>
  </si>
  <si>
    <t>TANK BASE CONES</t>
  </si>
  <si>
    <t>BCDIA</t>
  </si>
  <si>
    <t>BCHT</t>
  </si>
  <si>
    <t>B1LR-B1UR</t>
  </si>
  <si>
    <t>E/B1HT</t>
  </si>
  <si>
    <t>12IN/B1HT</t>
  </si>
  <si>
    <t>SLOPE</t>
  </si>
  <si>
    <t>100MG 21 x 22.4</t>
  </si>
  <si>
    <t>ƒx DOOR CUTTING DETAILS~ANCHOR CHAIRS</t>
  </si>
  <si>
    <t>EXAMPLE: 21 X 22-4</t>
  </si>
  <si>
    <t>B1 LOWER RADIUS (Rb)</t>
  </si>
  <si>
    <t>B1 UPPER RADIUS (Rt)</t>
  </si>
  <si>
    <t>Rb-Rt</t>
  </si>
  <si>
    <t>Rb-Rt/B1 HEIGHT</t>
  </si>
  <si>
    <t>12IN/B1 HEIGHT</t>
  </si>
  <si>
    <t>SLOPE (Decimals)=(12IN/B1 HEIGHT)*(Rb-Rt)</t>
  </si>
  <si>
    <t>MODELING</t>
  </si>
  <si>
    <t>FRACTIONAL UNITS</t>
  </si>
  <si>
    <t>3-7/8"</t>
  </si>
  <si>
    <t>DRAWING</t>
  </si>
  <si>
    <r>
      <rPr>
        <i/>
        <sz val="12"/>
        <color theme="3" tint="0.14993743705557422"/>
        <rFont val="Avenir Next LT Pro Light"/>
        <family val="2"/>
        <scheme val="minor"/>
      </rPr>
      <t>ANCHOR BOLTS &amp; CHAIRS</t>
    </r>
    <r>
      <rPr>
        <sz val="12"/>
        <color theme="3" tint="0.14993743705557422"/>
        <rFont val="Avenir Next LT Pro Light"/>
        <family val="2"/>
        <scheme val="minor"/>
      </rPr>
      <t xml:space="preserve"> VERSION</t>
    </r>
  </si>
  <si>
    <r>
      <rPr>
        <i/>
        <sz val="12"/>
        <color theme="3" tint="0.14993743705557422"/>
        <rFont val="Avenir Next LT Pro Light"/>
        <family val="2"/>
        <scheme val="minor"/>
      </rPr>
      <t>ANCHOR BOLTS &amp; CHAIRS W/TOPS</t>
    </r>
    <r>
      <rPr>
        <sz val="12"/>
        <color theme="3" tint="0.14993743705557422"/>
        <rFont val="Avenir Next LT Pro Light"/>
        <family val="2"/>
        <scheme val="minor"/>
      </rPr>
      <t xml:space="preserve"> VERSION</t>
    </r>
  </si>
  <si>
    <t>COUMN NUMER</t>
  </si>
  <si>
    <t>15THK</t>
  </si>
  <si>
    <t>C19THK</t>
  </si>
  <si>
    <t>C20THK</t>
  </si>
  <si>
    <t>C21THK</t>
  </si>
  <si>
    <t>C22THK</t>
  </si>
  <si>
    <t>C23THK</t>
  </si>
  <si>
    <t>C24THK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</si>
  <si>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</si>
  <si>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</si>
  <si>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</si>
  <si>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</si>
  <si>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</si>
  <si>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</si>
  <si>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</si>
  <si>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</si>
  <si>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</si>
  <si>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</si>
  <si>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</si>
  <si>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</si>
  <si>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</si>
  <si>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</si>
  <si>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</si>
  <si>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</si>
  <si>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</si>
  <si>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</si>
  <si>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</si>
  <si>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</si>
  <si>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Drywell Name</t>
  </si>
  <si>
    <t>DWDIA</t>
  </si>
  <si>
    <t>OFDIA</t>
  </si>
  <si>
    <t>WBBL</t>
  </si>
  <si>
    <t>WBBW</t>
  </si>
  <si>
    <t>WBBRAD</t>
  </si>
  <si>
    <t>42in_Drywell_6in_Detail_50mg</t>
  </si>
  <si>
    <t>42in_Drywell_8in_Detail_50mg</t>
  </si>
  <si>
    <t>48in_Drywell_6in_Detail_50mg</t>
  </si>
  <si>
    <t>48in_Drywell_8in_Detail_50mg</t>
  </si>
  <si>
    <t>36in_Drywell_8in_Detail_75mg</t>
  </si>
  <si>
    <t>36in_Drywell_8in_O.S._Detail_75mg</t>
  </si>
  <si>
    <t>42in_Drywell_6in_Detail_75mg</t>
  </si>
  <si>
    <t>42in_Drywell_8in_Detail_75mg</t>
  </si>
  <si>
    <t>42in_Drywell_12in_Detail_75mg</t>
  </si>
  <si>
    <t>48in_Drywell_8in_Detail_75mg</t>
  </si>
  <si>
    <t>36in_Drywell_6in_Detail_100mg</t>
  </si>
  <si>
    <t>36in_Drywell_8in_Detail_100mg</t>
  </si>
  <si>
    <t>36in_Drywell_10in_Detail_100mg</t>
  </si>
  <si>
    <t>42in_Drywell_6in_Detail_100mg</t>
  </si>
  <si>
    <t>42in_Drywell_8in_Detail_100mg</t>
  </si>
  <si>
    <t>42in_Drywell_10in_Detail_100mg</t>
  </si>
  <si>
    <t>48in_Drywell_8in_Detail_100mg</t>
  </si>
  <si>
    <t>54in_Drywell_8in_Detail_100mg</t>
  </si>
  <si>
    <t>60in_Drywell_6in_Detail_100mg</t>
  </si>
  <si>
    <t>60in_Drywell_8in_Detail_100mg</t>
  </si>
  <si>
    <t>36in_Drywell_8in_Detail_125mg</t>
  </si>
  <si>
    <t>42in_Drywell_6in_Detail_125mg</t>
  </si>
  <si>
    <t>48in_Drywell_8in_Detail_125mg</t>
  </si>
  <si>
    <t>36in_Drywell_6in_Detail_150mg</t>
  </si>
  <si>
    <t>36in_Drywell_8in_Detail_150mg</t>
  </si>
  <si>
    <t>42in_Drywell_6in_Detail_150mg</t>
  </si>
  <si>
    <t>42in_Drywell_8in_Detail_150mg</t>
  </si>
  <si>
    <t>42in_Drywell_10in_Detail_150mg</t>
  </si>
  <si>
    <t>48in_Drywell_8in_Detail_150mg</t>
  </si>
  <si>
    <t>42in_Drywell_8in_Detail_200mg</t>
  </si>
  <si>
    <t>42in_Drywell_12in_Detail_200mg</t>
  </si>
  <si>
    <t>48in_Drywell_6in_Detail_200mg</t>
  </si>
  <si>
    <t>48in_Drywell_8in_Detail_200mg</t>
  </si>
  <si>
    <t>48in_Drywell_12in_Detail_200mg</t>
  </si>
  <si>
    <t>60in_Drywell_12in_Detail_200mg</t>
  </si>
  <si>
    <t>36in_Drywell_8in_O.S._Detail_250mg</t>
  </si>
  <si>
    <t>36in_Drywell_12in_O.S._Detail_250mg</t>
  </si>
  <si>
    <t>42in_Drywell_6in_Detail_250mg</t>
  </si>
  <si>
    <t>42in_Drywell_8in_Detail_250mg</t>
  </si>
  <si>
    <t>42in_Drywell_10in_Detail_250mg</t>
  </si>
  <si>
    <t>42in_Drywell_12in_Detail_250mg</t>
  </si>
  <si>
    <t>48in_Drywell_10in_Detail_250mg</t>
  </si>
  <si>
    <t>60in_Drywell_6in_Detail_250mg</t>
  </si>
  <si>
    <t>60in_Drywell_10in_Detail_250mg</t>
  </si>
  <si>
    <t>36in_Drywell_8in_Detail_300mg</t>
  </si>
  <si>
    <t>42in_Drywell_8in_Detail_300mg</t>
  </si>
  <si>
    <t>42in_Drywell_10in_Detail_300mg</t>
  </si>
  <si>
    <t>42in_Drywell_12in_Detail_300mg</t>
  </si>
  <si>
    <t>42in_Drywell_12in_O.S._Detail_300mg</t>
  </si>
  <si>
    <t>42in_Drywell_16in_Detail_300mg</t>
  </si>
  <si>
    <t>48in_Drywell_8in_Detail_300mg</t>
  </si>
  <si>
    <t>48in_Drywell_10in_Detail_300mg</t>
  </si>
  <si>
    <t>48in_Drywell_12in_Detail_300mg</t>
  </si>
  <si>
    <t>60in_Drywell_8in_Detail_300mg</t>
  </si>
  <si>
    <t>42in_Drywell_8in_Detail_400mg</t>
  </si>
  <si>
    <t>48in_Drywell_12in_Detail_400mg</t>
  </si>
  <si>
    <t>60in_Drywell_8in_Detail_400mg</t>
  </si>
  <si>
    <t>60in_Drywell_12in_Detail_400mg</t>
  </si>
  <si>
    <t>36in_Drywell_6in_Detail_500mg</t>
  </si>
  <si>
    <t>36in_Drywell_16in_O.S._Detail_500mg</t>
  </si>
  <si>
    <t>42in_Drywell_6in_Detail_500mg</t>
  </si>
  <si>
    <t>42in_Drywell_8in_Detail_500mg</t>
  </si>
  <si>
    <t>42in_Drywell_10in_Detail_500mg</t>
  </si>
  <si>
    <t>42in_Drywell_12in_Detail_500mg</t>
  </si>
  <si>
    <t>42in_Drywell_16in_Detail_500mg</t>
  </si>
  <si>
    <t>48in_Drywell_8in_Detail_500mg</t>
  </si>
  <si>
    <t>48in_Drywell_10in_Detail_500mg</t>
  </si>
  <si>
    <t>48in_Drywell_12in_Detail_500mg</t>
  </si>
  <si>
    <t>60in_Drywell_10in_Detail_500mg</t>
  </si>
  <si>
    <t>60in_Drywell_14in_Detail_500mg</t>
  </si>
  <si>
    <t>42in_Drywell_12in_Detail_200mg_Hydro</t>
  </si>
  <si>
    <t xml:space="preserve">TANK </t>
  </si>
  <si>
    <t>STD-21-224-6</t>
  </si>
  <si>
    <t>DBL-21-24-6</t>
  </si>
  <si>
    <t>HMD-21-224-6</t>
  </si>
  <si>
    <t>DOOR TYPE SIZE</t>
  </si>
  <si>
    <t>DBL-21-224-6</t>
  </si>
  <si>
    <t>STD-23-224-6</t>
  </si>
  <si>
    <t>HMD-23-224-6</t>
  </si>
  <si>
    <t>DBL-23-224-6</t>
  </si>
  <si>
    <t>BP-23-8-8-STD.iam</t>
  </si>
  <si>
    <t>DOOR_SIDE_HT</t>
  </si>
  <si>
    <t>DOOR_SIDE_BLN</t>
  </si>
  <si>
    <t>DOOR_SIDE_SLOPE</t>
  </si>
  <si>
    <t>DOOR_ARCH_HT</t>
  </si>
  <si>
    <t>DOOR_ARCH_BLN</t>
  </si>
  <si>
    <t>DOOR_ARCH_SLOPE</t>
  </si>
  <si>
    <t>STANDARD DOOR</t>
  </si>
  <si>
    <t>21-224-9</t>
  </si>
  <si>
    <t>23-224-4</t>
  </si>
  <si>
    <t>25-25-9</t>
  </si>
  <si>
    <t>28-25-9</t>
  </si>
  <si>
    <t>30-25-9</t>
  </si>
  <si>
    <t>32-25-9</t>
  </si>
  <si>
    <t>34-30-9</t>
  </si>
  <si>
    <t>30-30-9</t>
  </si>
  <si>
    <t>32-30-9</t>
  </si>
  <si>
    <t>38-30-9</t>
  </si>
  <si>
    <t>40-30-9</t>
  </si>
  <si>
    <t>23-224-9</t>
  </si>
  <si>
    <t>11.5851 in</t>
  </si>
  <si>
    <t>11.9222 in</t>
  </si>
  <si>
    <t>11.3053 in</t>
  </si>
  <si>
    <t>10.8814 in</t>
  </si>
  <si>
    <t>11.0768 in</t>
  </si>
  <si>
    <t>BP-40-16-1-STD</t>
  </si>
  <si>
    <t>10.7090 in</t>
  </si>
  <si>
    <t>10.4181 in</t>
  </si>
  <si>
    <t>10.2952 in</t>
  </si>
  <si>
    <t>BC_DIA</t>
  </si>
  <si>
    <t>[BC_DIA]</t>
  </si>
  <si>
    <t>DOOR_RAIL_SLOPE</t>
  </si>
  <si>
    <t>Base Plate Diameter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</si>
</sst>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$&quot;#,##0.00_);\(&quot;$&quot;#,##0.00\)"/>
    <numFmt numFmtId="164" formatCode="&quot;Reorder&quot;;&quot;&quot;;&quot;&quot;"/>
    <numFmt numFmtId="165" formatCode="0.000"/>
    <numFmt numFmtId="166" formatCode="0.0000"/>
  </numFmts>
  <fonts count="34" x14ac:knownFonts="1">
    <font>
      <sz val="11"/>
      <color theme="3" tint="0.14993743705557422"/>
      <name val="Avenir Next LT Pro Light"/>
      <family val="2"/>
      <scheme val="minor"/>
    </font>
    <font>
      <sz val="11"/>
      <color theme="1"/>
      <name val="Avenir Next LT Pro Light"/>
      <family val="2"/>
      <scheme val="minor"/>
    </font>
    <font>
      <b/>
      <sz val="26"/>
      <color theme="3" tint="0.14996795556505021"/>
      <name val="Avenir Next LT Pro"/>
      <family val="2"/>
      <scheme val="major"/>
    </font>
    <font>
      <sz val="11"/>
      <color theme="3"/>
      <name val="Avenir Next LT Pro"/>
      <family val="2"/>
      <scheme val="major"/>
    </font>
    <font>
      <b/>
      <sz val="11"/>
      <color theme="1"/>
      <name val="Avenir Next LT Pro Light"/>
      <family val="2"/>
      <scheme val="minor"/>
    </font>
    <font>
      <sz val="11"/>
      <color theme="3"/>
      <name val="Avenir Next LT Pro Light"/>
      <family val="2"/>
      <scheme val="minor"/>
    </font>
    <font>
      <sz val="16"/>
      <color theme="4" tint="-0.499984740745262"/>
      <name val="Avenir Next LT Pro"/>
      <family val="2"/>
      <scheme val="major"/>
    </font>
    <font>
      <sz val="11"/>
      <color theme="3" tint="0.14993743705557422"/>
      <name val="Avenir Next LT Pro Light"/>
      <family val="2"/>
      <scheme val="minor"/>
    </font>
    <font>
      <sz val="11"/>
      <color theme="0"/>
      <name val="Avenir Next LT Pro Light"/>
      <family val="2"/>
      <scheme val="minor"/>
    </font>
    <font>
      <sz val="11"/>
      <color theme="0"/>
      <name val="Avenir Next LT Pro"/>
      <family val="2"/>
      <scheme val="major"/>
    </font>
    <font>
      <sz val="11"/>
      <color theme="4" tint="-0.499984740745262"/>
      <name val="Avenir Next LT Pro Light"/>
      <family val="2"/>
      <scheme val="minor"/>
    </font>
    <font>
      <sz val="11"/>
      <color theme="3" tint="0.14990691854609822"/>
      <name val="Avenir Next LT Pro Light"/>
      <family val="2"/>
      <scheme val="minor"/>
    </font>
    <font>
      <b/>
      <sz val="11"/>
      <color theme="3" tint="0.14993743705557422"/>
      <name val="Avenir Next LT Pro Light"/>
      <family val="2"/>
      <scheme val="minor"/>
    </font>
    <font>
      <sz val="8"/>
      <name val="Avenir Next LT Pro Light"/>
      <family val="2"/>
      <scheme val="minor"/>
    </font>
    <font>
      <sz val="10"/>
      <color theme="1"/>
      <name val="Tahoma"/>
      <family val="2"/>
    </font>
    <font>
      <sz val="10"/>
      <color theme="3" tint="0.14993743705557422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Avenir Next LT Pro Light"/>
      <family val="2"/>
      <scheme val="minor"/>
    </font>
    <font>
      <sz val="12"/>
      <color theme="3" tint="0.14993743705557422"/>
      <name val="Avenir Next LT Pro Light"/>
      <family val="2"/>
      <scheme val="minor"/>
    </font>
    <font>
      <i/>
      <sz val="12"/>
      <color theme="3" tint="0.14993743705557422"/>
      <name val="Avenir Next LT Pro Light"/>
      <family val="2"/>
      <scheme val="minor"/>
    </font>
    <font>
      <b/>
      <i/>
      <sz val="12"/>
      <color theme="3" tint="0.14993743705557422"/>
      <name val="Avenir Next LT Pro Light"/>
      <family val="2"/>
      <scheme val="minor"/>
    </font>
    <font>
      <b/>
      <sz val="12"/>
      <color theme="3" tint="0.14993743705557422"/>
      <name val="Avenir Next LT Pro Light"/>
      <family val="2"/>
      <scheme val="minor"/>
    </font>
    <font>
      <b/>
      <i/>
      <sz val="9"/>
      <color theme="3" tint="0.14993743705557422"/>
      <name val="Tahoma"/>
      <family val="2"/>
    </font>
    <font>
      <sz val="11"/>
      <color rgb="FF006100"/>
      <name val="Avenir Next LT Pro Light"/>
      <family val="2"/>
      <scheme val="minor"/>
    </font>
    <font>
      <sz val="11"/>
      <color rgb="FF9C6500"/>
      <name val="Avenir Next LT Pro Light"/>
      <family val="2"/>
      <scheme val="minor"/>
    </font>
    <font>
      <sz val="11"/>
      <name val="Avenir Next LT Pro Light"/>
      <family val="2"/>
      <scheme val="minor"/>
    </font>
    <font>
      <sz val="10"/>
      <color theme="3" tint="0.14993743705557422"/>
      <name val="Avenir Next LT Pro Light"/>
      <family val="2"/>
      <scheme val="minor"/>
    </font>
    <font>
      <sz val="8"/>
      <color theme="3" tint="0.14993743705557422"/>
      <name val="Avenir Next LT Pro Light"/>
      <family val="2"/>
      <scheme val="minor"/>
    </font>
    <font>
      <sz val="8"/>
      <color theme="1"/>
      <name val="Tahoma"/>
      <family val="2"/>
    </font>
    <font>
      <strike/>
      <sz val="8"/>
      <color theme="3" tint="0.14990691854609822"/>
      <name val="Avenir Next LT Pro Light"/>
      <family val="2"/>
      <scheme val="minor"/>
    </font>
    <font>
      <b/>
      <sz val="8"/>
      <color theme="3" tint="0.14993743705557422"/>
      <name val="Avenir Next LT Pro Light"/>
      <family val="2"/>
      <scheme val="minor"/>
    </font>
    <font>
      <b/>
      <i/>
      <sz val="8"/>
      <color theme="3" tint="0.14993743705557422"/>
      <name val="Avenir Next LT Pro Light"/>
      <family val="2"/>
      <scheme val="minor"/>
    </font>
    <font>
      <b/>
      <sz val="8"/>
      <color theme="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6" tint="-0.49998474074526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A9FF"/>
        <bgColor indexed="64"/>
      </patternFill>
    </fill>
    <fill>
      <patternFill patternType="solid">
        <fgColor rgb="FFF65858"/>
        <bgColor indexed="64"/>
      </patternFill>
    </fill>
    <fill>
      <patternFill patternType="solid">
        <fgColor rgb="FFAE75E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5ED57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theme="6" tint="-0.499984740745262"/>
      </patternFill>
    </fill>
    <fill>
      <patternFill patternType="solid">
        <fgColor rgb="FFFF0000"/>
        <bgColor theme="6" tint="-0.499984740745262"/>
      </patternFill>
    </fill>
    <fill>
      <patternFill patternType="solid">
        <fgColor rgb="FF00B0F0"/>
        <bgColor theme="6" tint="-0.499984740745262"/>
      </patternFill>
    </fill>
    <fill>
      <patternFill patternType="solid">
        <fgColor theme="4"/>
        <bgColor theme="6" tint="-0.499984740745262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2" fillId="0" borderId="1" applyNumberFormat="0" applyFill="0" applyAlignment="0" applyProtection="0"/>
    <xf numFmtId="0" fontId="9" fillId="2" borderId="0" applyNumberFormat="0" applyProtection="0">
      <alignment horizontal="left" vertical="center" indent="1"/>
    </xf>
    <xf numFmtId="0" fontId="3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4" fillId="0" borderId="2" applyNumberFormat="0" applyFill="0" applyAlignment="0" applyProtection="0"/>
    <xf numFmtId="164" fontId="11" fillId="0" borderId="0">
      <alignment horizontal="center" vertical="center"/>
    </xf>
    <xf numFmtId="0" fontId="8" fillId="2" borderId="0" applyNumberFormat="0" applyProtection="0">
      <alignment horizontal="right" indent="1"/>
    </xf>
    <xf numFmtId="0" fontId="10" fillId="0" borderId="0" applyNumberFormat="0" applyProtection="0">
      <alignment horizontal="center"/>
    </xf>
    <xf numFmtId="0" fontId="10" fillId="0" borderId="0" applyNumberFormat="0" applyProtection="0">
      <alignment horizontal="center"/>
    </xf>
    <xf numFmtId="0" fontId="6" fillId="0" borderId="0" applyNumberFormat="0" applyFill="0" applyBorder="0" applyProtection="0">
      <alignment horizontal="left" vertical="top"/>
    </xf>
    <xf numFmtId="0" fontId="7" fillId="0" borderId="0">
      <alignment horizontal="left" vertical="center" wrapText="1" indent="1"/>
    </xf>
    <xf numFmtId="1" fontId="7" fillId="0" borderId="0">
      <alignment horizontal="center" vertical="center"/>
    </xf>
    <xf numFmtId="7" fontId="7" fillId="0" borderId="0">
      <alignment horizontal="right" vertical="center"/>
    </xf>
    <xf numFmtId="0" fontId="8" fillId="0" borderId="0" applyNumberFormat="0" applyFill="0" applyBorder="0">
      <alignment horizontal="center"/>
    </xf>
    <xf numFmtId="0" fontId="24" fillId="6" borderId="0" applyNumberFormat="0" applyBorder="0" applyAlignment="0" applyProtection="0"/>
    <xf numFmtId="0" fontId="25" fillId="7" borderId="0" applyNumberFormat="0" applyBorder="0" applyAlignment="0" applyProtection="0"/>
  </cellStyleXfs>
  <cellXfs count="112">
    <xf numFmtId="0" fontId="0" fillId="0" borderId="0" xfId="0">
      <alignment vertical="center"/>
    </xf>
    <xf numFmtId="0" fontId="14" fillId="5" borderId="3" xfId="12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14" fillId="5" borderId="4" xfId="12" applyFont="1" applyFill="1" applyBorder="1" applyAlignment="1">
      <alignment horizontal="left" vertical="center" wrapText="1"/>
    </xf>
    <xf numFmtId="0" fontId="14" fillId="5" borderId="4" xfId="12" applyFont="1" applyFill="1" applyBorder="1" applyAlignment="1">
      <alignment horizontal="center" vertical="center" wrapText="1"/>
    </xf>
    <xf numFmtId="165" fontId="14" fillId="5" borderId="4" xfId="12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4" fillId="5" borderId="5" xfId="12" applyFont="1" applyFill="1" applyBorder="1" applyAlignment="1">
      <alignment horizontal="center" vertical="center" wrapText="1"/>
    </xf>
    <xf numFmtId="0" fontId="14" fillId="5" borderId="7" xfId="12" applyFont="1" applyFill="1" applyBorder="1" applyAlignment="1">
      <alignment horizontal="center" vertical="center" wrapText="1"/>
    </xf>
    <xf numFmtId="0" fontId="14" fillId="4" borderId="3" xfId="2" applyFont="1" applyFill="1" applyBorder="1" applyAlignment="1">
      <alignment horizontal="center" vertical="center"/>
    </xf>
    <xf numFmtId="0" fontId="26" fillId="7" borderId="4" xfId="17" applyFont="1" applyBorder="1" applyAlignment="1">
      <alignment horizontal="center" vertical="center"/>
    </xf>
    <xf numFmtId="0" fontId="26" fillId="7" borderId="4" xfId="17" applyFont="1" applyBorder="1" applyAlignment="1">
      <alignment vertical="center"/>
    </xf>
    <xf numFmtId="166" fontId="26" fillId="6" borderId="4" xfId="16" applyNumberFormat="1" applyFont="1" applyBorder="1" applyAlignment="1">
      <alignment horizontal="right" vertical="center"/>
    </xf>
    <xf numFmtId="0" fontId="26" fillId="6" borderId="4" xfId="16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26" fillId="6" borderId="7" xfId="16" applyNumberFormat="1" applyFont="1" applyBorder="1" applyAlignment="1">
      <alignment horizontal="right" vertical="center"/>
    </xf>
    <xf numFmtId="166" fontId="26" fillId="0" borderId="0" xfId="0" applyNumberFormat="1" applyFont="1" applyAlignment="1">
      <alignment horizontal="right" vertical="center"/>
    </xf>
    <xf numFmtId="0" fontId="14" fillId="0" borderId="4" xfId="12" applyFont="1" applyBorder="1" applyAlignment="1">
      <alignment horizontal="left" vertical="center" wrapText="1"/>
    </xf>
    <xf numFmtId="0" fontId="14" fillId="0" borderId="4" xfId="12" applyFont="1" applyBorder="1" applyAlignment="1">
      <alignment horizontal="center" vertical="center" wrapText="1"/>
    </xf>
    <xf numFmtId="165" fontId="14" fillId="0" borderId="4" xfId="12" applyNumberFormat="1" applyFont="1" applyBorder="1" applyAlignment="1">
      <alignment horizontal="center" vertical="center" wrapText="1"/>
    </xf>
    <xf numFmtId="0" fontId="14" fillId="0" borderId="5" xfId="12" applyFont="1" applyBorder="1" applyAlignment="1">
      <alignment horizontal="center" vertical="center" wrapText="1"/>
    </xf>
    <xf numFmtId="0" fontId="14" fillId="0" borderId="7" xfId="12" applyFont="1" applyBorder="1" applyAlignment="1">
      <alignment horizontal="center" vertical="center" wrapText="1"/>
    </xf>
    <xf numFmtId="0" fontId="14" fillId="0" borderId="3" xfId="12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14" fillId="0" borderId="6" xfId="2" applyFont="1" applyFill="1" applyBorder="1" applyAlignment="1">
      <alignment horizontal="center" vertical="center"/>
    </xf>
    <xf numFmtId="0" fontId="14" fillId="0" borderId="4" xfId="2" applyFont="1" applyFill="1" applyBorder="1" applyAlignment="1">
      <alignment horizontal="center" vertical="center"/>
    </xf>
    <xf numFmtId="0" fontId="14" fillId="0" borderId="8" xfId="2" applyFont="1" applyFill="1" applyBorder="1" applyAlignment="1">
      <alignment horizontal="center" vertical="center"/>
    </xf>
    <xf numFmtId="0" fontId="14" fillId="0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0" fillId="5" borderId="0" xfId="0" applyFill="1">
      <alignment vertical="center"/>
    </xf>
    <xf numFmtId="0" fontId="23" fillId="0" borderId="0" xfId="0" applyFont="1" applyAlignment="1">
      <alignment horizontal="center" vertical="center" wrapText="1"/>
    </xf>
    <xf numFmtId="0" fontId="14" fillId="0" borderId="0" xfId="2" applyFont="1" applyFill="1" applyAlignment="1">
      <alignment horizontal="center" vertical="center"/>
    </xf>
    <xf numFmtId="0" fontId="14" fillId="0" borderId="0" xfId="12" applyFont="1" applyAlignment="1">
      <alignment horizontal="left" vertical="center" wrapText="1"/>
    </xf>
    <xf numFmtId="0" fontId="14" fillId="0" borderId="0" xfId="12" applyFont="1" applyAlignment="1">
      <alignment horizontal="center" vertical="center" wrapText="1"/>
    </xf>
    <xf numFmtId="165" fontId="14" fillId="0" borderId="0" xfId="12" applyNumberFormat="1" applyFont="1" applyAlignment="1">
      <alignment horizontal="center" vertical="center" wrapText="1"/>
    </xf>
    <xf numFmtId="0" fontId="14" fillId="5" borderId="0" xfId="12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7" fillId="13" borderId="4" xfId="0" applyFont="1" applyFill="1" applyBorder="1" applyAlignment="1">
      <alignment horizontal="center" vertical="center"/>
    </xf>
    <xf numFmtId="0" fontId="27" fillId="11" borderId="4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12" borderId="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165" fontId="29" fillId="0" borderId="4" xfId="12" applyNumberFormat="1" applyFont="1" applyBorder="1" applyAlignment="1">
      <alignment horizontal="center" vertical="center" wrapText="1"/>
    </xf>
    <xf numFmtId="165" fontId="29" fillId="0" borderId="0" xfId="12" applyNumberFormat="1" applyFont="1" applyAlignment="1">
      <alignment horizontal="center" vertical="center" wrapText="1"/>
    </xf>
    <xf numFmtId="0" fontId="29" fillId="0" borderId="4" xfId="12" applyFont="1" applyBorder="1" applyAlignment="1">
      <alignment horizontal="center" vertical="center" wrapText="1"/>
    </xf>
    <xf numFmtId="0" fontId="28" fillId="10" borderId="4" xfId="0" applyFont="1" applyFill="1" applyBorder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1" borderId="4" xfId="0" applyFont="1" applyFill="1" applyBorder="1" applyAlignment="1">
      <alignment horizontal="center" vertical="center"/>
    </xf>
    <xf numFmtId="0" fontId="28" fillId="5" borderId="4" xfId="0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center" vertical="center"/>
    </xf>
    <xf numFmtId="0" fontId="28" fillId="0" borderId="4" xfId="0" applyFont="1" applyBorder="1">
      <alignment vertical="center"/>
    </xf>
    <xf numFmtId="0" fontId="28" fillId="15" borderId="4" xfId="0" applyFont="1" applyFill="1" applyBorder="1">
      <alignment vertical="center"/>
    </xf>
    <xf numFmtId="0" fontId="28" fillId="3" borderId="4" xfId="0" applyFont="1" applyFill="1" applyBorder="1">
      <alignment vertical="center"/>
    </xf>
    <xf numFmtId="0" fontId="28" fillId="14" borderId="4" xfId="0" applyFont="1" applyFill="1" applyBorder="1">
      <alignment vertical="center"/>
    </xf>
    <xf numFmtId="0" fontId="28" fillId="16" borderId="4" xfId="0" applyFont="1" applyFill="1" applyBorder="1">
      <alignment vertical="center"/>
    </xf>
    <xf numFmtId="0" fontId="28" fillId="17" borderId="4" xfId="0" applyFont="1" applyFill="1" applyBorder="1">
      <alignment vertical="center"/>
    </xf>
    <xf numFmtId="0" fontId="28" fillId="10" borderId="4" xfId="0" applyFont="1" applyFill="1" applyBorder="1">
      <alignment vertical="center"/>
    </xf>
    <xf numFmtId="0" fontId="28" fillId="9" borderId="4" xfId="0" applyFont="1" applyFill="1" applyBorder="1">
      <alignment vertical="center"/>
    </xf>
    <xf numFmtId="0" fontId="28" fillId="11" borderId="4" xfId="0" applyFont="1" applyFill="1" applyBorder="1">
      <alignment vertical="center"/>
    </xf>
    <xf numFmtId="0" fontId="0" fillId="9" borderId="0" xfId="0" applyFill="1">
      <alignment vertical="center"/>
    </xf>
    <xf numFmtId="0" fontId="14" fillId="10" borderId="6" xfId="2" applyFont="1" applyFill="1" applyBorder="1" applyAlignment="1">
      <alignment horizontal="center" vertical="center"/>
    </xf>
    <xf numFmtId="0" fontId="14" fillId="11" borderId="6" xfId="2" applyFont="1" applyFill="1" applyBorder="1" applyAlignment="1">
      <alignment horizontal="center" vertical="center"/>
    </xf>
    <xf numFmtId="0" fontId="14" fillId="9" borderId="9" xfId="2" applyFont="1" applyFill="1" applyBorder="1" applyAlignment="1">
      <alignment horizontal="center" vertical="center"/>
    </xf>
    <xf numFmtId="0" fontId="14" fillId="12" borderId="6" xfId="2" applyFont="1" applyFill="1" applyBorder="1" applyAlignment="1">
      <alignment horizontal="center" vertical="center"/>
    </xf>
    <xf numFmtId="0" fontId="14" fillId="12" borderId="9" xfId="2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8" fillId="18" borderId="4" xfId="0" applyFont="1" applyFill="1" applyBorder="1">
      <alignment vertical="center"/>
    </xf>
    <xf numFmtId="0" fontId="28" fillId="19" borderId="4" xfId="0" applyFont="1" applyFill="1" applyBorder="1">
      <alignment vertical="center"/>
    </xf>
    <xf numFmtId="0" fontId="28" fillId="20" borderId="4" xfId="0" applyFont="1" applyFill="1" applyBorder="1">
      <alignment vertical="center"/>
    </xf>
    <xf numFmtId="0" fontId="28" fillId="22" borderId="4" xfId="0" applyFont="1" applyFill="1" applyBorder="1">
      <alignment vertical="center"/>
    </xf>
    <xf numFmtId="0" fontId="30" fillId="21" borderId="4" xfId="0" applyFont="1" applyFill="1" applyBorder="1">
      <alignment vertical="center"/>
    </xf>
    <xf numFmtId="0" fontId="31" fillId="0" borderId="4" xfId="0" applyFont="1" applyBorder="1">
      <alignment vertical="center"/>
    </xf>
    <xf numFmtId="0" fontId="31" fillId="0" borderId="0" xfId="0" applyFont="1">
      <alignment vertical="center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1" fillId="0" borderId="7" xfId="0" applyFont="1" applyBorder="1">
      <alignment vertical="center"/>
    </xf>
    <xf numFmtId="0" fontId="14" fillId="5" borderId="0" xfId="12" applyFont="1" applyFill="1" applyAlignment="1">
      <alignment horizontal="left" vertical="center" wrapText="1"/>
    </xf>
    <xf numFmtId="0" fontId="31" fillId="0" borderId="7" xfId="0" applyFont="1" applyBorder="1" applyAlignment="1">
      <alignment horizontal="center" vertical="center"/>
    </xf>
    <xf numFmtId="0" fontId="14" fillId="8" borderId="4" xfId="12" applyFont="1" applyFill="1" applyBorder="1" applyAlignment="1">
      <alignment horizontal="left" vertical="center" wrapText="1"/>
    </xf>
    <xf numFmtId="0" fontId="14" fillId="8" borderId="4" xfId="12" applyFont="1" applyFill="1" applyBorder="1" applyAlignment="1">
      <alignment horizontal="center" vertical="center" wrapText="1"/>
    </xf>
    <xf numFmtId="165" fontId="14" fillId="8" borderId="4" xfId="12" applyNumberFormat="1" applyFont="1" applyFill="1" applyBorder="1" applyAlignment="1">
      <alignment horizontal="center" vertical="center" wrapText="1"/>
    </xf>
    <xf numFmtId="0" fontId="31" fillId="23" borderId="7" xfId="0" applyFont="1" applyFill="1" applyBorder="1" applyAlignment="1">
      <alignment horizontal="center" vertical="center"/>
    </xf>
    <xf numFmtId="0" fontId="32" fillId="23" borderId="4" xfId="0" applyFont="1" applyFill="1" applyBorder="1" applyAlignment="1">
      <alignment horizontal="center" vertical="center"/>
    </xf>
    <xf numFmtId="0" fontId="31" fillId="23" borderId="4" xfId="0" applyFont="1" applyFill="1" applyBorder="1" applyAlignment="1">
      <alignment horizontal="center" vertical="center"/>
    </xf>
    <xf numFmtId="0" fontId="33" fillId="5" borderId="4" xfId="12" applyFont="1" applyFill="1" applyBorder="1" applyAlignment="1">
      <alignment horizontal="left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14" fillId="4" borderId="6" xfId="2" applyFont="1" applyFill="1" applyBorder="1" applyAlignment="1">
      <alignment horizontal="center" vertical="center"/>
    </xf>
    <xf numFmtId="0" fontId="14" fillId="24" borderId="6" xfId="2" applyFont="1" applyFill="1" applyBorder="1" applyAlignment="1">
      <alignment horizontal="center" vertical="center"/>
    </xf>
    <xf numFmtId="0" fontId="14" fillId="25" borderId="6" xfId="2" applyFont="1" applyFill="1" applyBorder="1" applyAlignment="1">
      <alignment horizontal="center" vertical="center"/>
    </xf>
    <xf numFmtId="0" fontId="14" fillId="26" borderId="6" xfId="2" applyFont="1" applyFill="1" applyBorder="1" applyAlignment="1">
      <alignment horizontal="center" vertical="center"/>
    </xf>
    <xf numFmtId="0" fontId="14" fillId="27" borderId="6" xfId="2" applyFont="1" applyFill="1" applyBorder="1" applyAlignment="1">
      <alignment horizontal="center" vertical="center"/>
    </xf>
    <xf numFmtId="0" fontId="14" fillId="25" borderId="4" xfId="2" applyFont="1" applyFill="1" applyBorder="1" applyAlignment="1">
      <alignment horizontal="center" vertical="center"/>
    </xf>
    <xf numFmtId="0" fontId="14" fillId="25" borderId="8" xfId="2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8">
    <cellStyle name="Flag Column" xfId="7" xr:uid="{00000000-0005-0000-0000-000000000000}"/>
    <cellStyle name="Followed Hyperlink" xfId="10" builtinId="9" customBuiltin="1"/>
    <cellStyle name="Good" xfId="16" builtinId="26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9" builtinId="8" customBuiltin="1"/>
    <cellStyle name="Linked Cell" xfId="8" builtinId="24" customBuiltin="1"/>
    <cellStyle name="Neutral" xfId="17" builtinId="28"/>
    <cellStyle name="Normal" xfId="0" builtinId="0" customBuiltin="1"/>
    <cellStyle name="Table details center aligned" xfId="13" xr:uid="{00000000-0005-0000-0000-00000B000000}"/>
    <cellStyle name="Table details left aligned" xfId="12" xr:uid="{00000000-0005-0000-0000-00000C000000}"/>
    <cellStyle name="Table details right aligned" xfId="14" xr:uid="{00000000-0005-0000-0000-00000D000000}"/>
    <cellStyle name="Title" xfId="1" builtinId="15" customBuiltin="1"/>
    <cellStyle name="Total" xfId="6" builtinId="25" customBuiltin="1"/>
    <cellStyle name="Total counts" xfId="11" xr:uid="{00000000-0005-0000-0000-000010000000}"/>
    <cellStyle name="zHide navigation link text" xfId="15" xr:uid="{00000000-0005-0000-0000-000011000000}"/>
  </cellStyles>
  <dxfs count="10">
    <dxf>
      <fill>
        <patternFill>
          <bgColor theme="6" tint="0.59996337778862885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6" tint="-0.499984740745262"/>
          <bgColor theme="6" tint="-0.499984740745262"/>
        </patternFill>
      </fill>
    </dxf>
    <dxf>
      <fill>
        <patternFill>
          <bgColor theme="6" tint="0.79998168889431442"/>
        </patternFill>
      </fill>
      <border diagonalUp="0" diagonalDown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/>
      </border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 patternType="solid">
          <fgColor theme="7" tint="-0.499984740745262"/>
          <bgColor theme="7" tint="-0.499984740745262"/>
        </patternFill>
      </fill>
    </dxf>
    <dxf>
      <fill>
        <patternFill>
          <bgColor theme="7" tint="0.79998168889431442"/>
        </patternFill>
      </fill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/>
      </border>
    </dxf>
    <dxf>
      <fill>
        <patternFill>
          <bgColor theme="9" tint="0.59996337778862885"/>
        </patternFill>
      </fill>
    </dxf>
    <dxf>
      <font>
        <b val="0"/>
        <i val="0"/>
        <color theme="0"/>
      </font>
      <fill>
        <patternFill patternType="solid">
          <fgColor theme="9" tint="-0.499984740745262"/>
          <bgColor theme="9" tint="-0.499984740745262"/>
        </patternFill>
      </fill>
    </dxf>
    <dxf>
      <fill>
        <patternFill>
          <bgColor theme="9" tint="0.79998168889431442"/>
        </patternFill>
      </fill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/>
      </border>
    </dxf>
  </dxfs>
  <tableStyles count="3" defaultTableStyle="TableStyleMedium2" defaultPivotStyle="PivotStyleLight16">
    <tableStyle name="Bin Lookup" pivot="0" count="3" xr9:uid="{00000000-0011-0000-FFFF-FFFF00000000}">
      <tableStyleElement type="wholeTable" dxfId="9"/>
      <tableStyleElement type="headerRow" dxfId="8"/>
      <tableStyleElement type="secondRowStripe" dxfId="7"/>
    </tableStyle>
    <tableStyle name="Inventory Pick List" pivot="0" count="3" xr9:uid="{00000000-0011-0000-FFFF-FFFF01000000}">
      <tableStyleElement type="wholeTable" dxfId="6"/>
      <tableStyleElement type="headerRow" dxfId="5"/>
      <tableStyleElement type="secondRowStripe" dxfId="4"/>
    </tableStyle>
    <tableStyle name="Warehouse Inventory" pivot="0" count="4" xr9:uid="{00000000-0011-0000-FFFF-FFFF02000000}">
      <tableStyleElement type="wholeTable" dxfId="3"/>
      <tableStyleElement type="headerRow" dxfId="2"/>
      <tableStyleElement type="lastColumn" dxfId="1"/>
      <tableStyleElement type="secondRowStripe" dxfId="0"/>
    </tableStyle>
  </tableStyles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47625</xdr:rowOff>
        </xdr:from>
        <xdr:to>
          <xdr:col>9</xdr:col>
          <xdr:colOff>590550</xdr:colOff>
          <xdr:row>36</xdr:row>
          <xdr:rowOff>104775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95250</xdr:rowOff>
        </xdr:from>
        <xdr:to>
          <xdr:col>10</xdr:col>
          <xdr:colOff>28575</xdr:colOff>
          <xdr:row>62</xdr:row>
          <xdr:rowOff>104775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Custom 12">
      <a:majorFont>
        <a:latin typeface="Avenir Next LT Pro"/>
        <a:ea typeface=""/>
        <a:cs typeface=""/>
      </a:majorFont>
      <a:minorFont>
        <a:latin typeface="Avenir Next LT Pro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workbookViewId="0">
      <selection activeCell="A31" sqref="A31"/>
    </sheetView>
  </sheetViews>
  <sheetFormatPr defaultRowHeight="15" x14ac:dyDescent="0.25"/>
  <cols>
    <col min="1" max="1" width="45.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76"/>
  <sheetViews>
    <sheetView tabSelected="1" zoomScale="115" zoomScaleNormal="115" workbookViewId="0">
      <selection activeCell="H1" sqref="H1"/>
    </sheetView>
  </sheetViews>
  <sheetFormatPr defaultColWidth="11.21875" defaultRowHeight="12.75" x14ac:dyDescent="0.25"/>
  <cols>
    <col min="1" max="1" width="19.44140625" style="3" customWidth="1"/>
    <col min="2" max="2" width="18.88671875" style="3" customWidth="1"/>
    <col min="3" max="3" width="11.21875" style="3"/>
    <col min="4" max="16384" width="11.21875" style="2"/>
  </cols>
  <sheetData>
    <row r="1" spans="1:201" s="100" customFormat="1" ht="55.5" customHeight="1" x14ac:dyDescent="0.25">
      <c r="A1" s="108" t="s">
        <v>76</v>
      </c>
      <c r="B1" s="108"/>
      <c r="C1" s="108"/>
      <c r="D1" s="108"/>
      <c r="E1" s="108"/>
      <c r="F1" s="100" t="s">
        <v>77</v>
      </c>
      <c r="G1" s="100" t="s">
        <v>78</v>
      </c>
      <c r="H1" s="100" t="s">
        <v>2173</v>
      </c>
      <c r="I1" s="100" t="s">
        <v>80</v>
      </c>
      <c r="J1" s="100" t="s">
        <v>81</v>
      </c>
      <c r="K1" s="100" t="s">
        <v>82</v>
      </c>
      <c r="L1" s="100" t="s">
        <v>83</v>
      </c>
      <c r="M1" s="100" t="s">
        <v>84</v>
      </c>
      <c r="N1" s="100" t="s">
        <v>85</v>
      </c>
      <c r="O1" s="100" t="s">
        <v>86</v>
      </c>
      <c r="P1" s="100" t="s">
        <v>87</v>
      </c>
      <c r="Q1" s="100" t="s">
        <v>88</v>
      </c>
      <c r="R1" s="100" t="s">
        <v>89</v>
      </c>
      <c r="S1" s="100" t="s">
        <v>90</v>
      </c>
      <c r="T1" s="100" t="s">
        <v>91</v>
      </c>
      <c r="U1" s="100" t="s">
        <v>92</v>
      </c>
      <c r="V1" s="100" t="s">
        <v>93</v>
      </c>
      <c r="W1" s="100" t="s">
        <v>94</v>
      </c>
      <c r="X1" s="100" t="s">
        <v>95</v>
      </c>
      <c r="Y1" s="100" t="s">
        <v>96</v>
      </c>
      <c r="Z1" s="100" t="s">
        <v>97</v>
      </c>
      <c r="AA1" s="100" t="s">
        <v>98</v>
      </c>
      <c r="AB1" s="100" t="s">
        <v>99</v>
      </c>
      <c r="AC1" s="100" t="s">
        <v>100</v>
      </c>
      <c r="AD1" s="100" t="s">
        <v>101</v>
      </c>
      <c r="AE1" s="100" t="s">
        <v>102</v>
      </c>
      <c r="AF1" s="100" t="s">
        <v>103</v>
      </c>
      <c r="AG1" s="100" t="s">
        <v>104</v>
      </c>
      <c r="AH1" s="100" t="s">
        <v>105</v>
      </c>
      <c r="AI1" s="100" t="s">
        <v>106</v>
      </c>
      <c r="AJ1" s="100" t="s">
        <v>107</v>
      </c>
      <c r="AK1" s="100" t="s">
        <v>108</v>
      </c>
      <c r="AL1" s="100" t="s">
        <v>109</v>
      </c>
      <c r="AM1" s="100" t="s">
        <v>110</v>
      </c>
      <c r="AN1" s="100" t="s">
        <v>111</v>
      </c>
      <c r="AO1" s="100" t="s">
        <v>112</v>
      </c>
      <c r="AP1" s="100" t="s">
        <v>113</v>
      </c>
      <c r="AQ1" s="100" t="s">
        <v>114</v>
      </c>
      <c r="AR1" s="100" t="s">
        <v>115</v>
      </c>
      <c r="AS1" s="100" t="s">
        <v>116</v>
      </c>
      <c r="AT1" s="100" t="s">
        <v>117</v>
      </c>
      <c r="AU1" s="100" t="s">
        <v>118</v>
      </c>
      <c r="AV1" s="100" t="s">
        <v>119</v>
      </c>
      <c r="AW1" s="100" t="s">
        <v>120</v>
      </c>
      <c r="AX1" s="100" t="s">
        <v>121</v>
      </c>
      <c r="AY1" s="100" t="s">
        <v>122</v>
      </c>
      <c r="AZ1" s="100" t="s">
        <v>123</v>
      </c>
      <c r="BA1" s="100" t="s">
        <v>124</v>
      </c>
      <c r="BB1" s="100" t="s">
        <v>125</v>
      </c>
      <c r="BC1" s="100" t="s">
        <v>126</v>
      </c>
      <c r="BD1" s="100" t="s">
        <v>127</v>
      </c>
      <c r="BE1" s="100" t="s">
        <v>128</v>
      </c>
      <c r="BF1" s="100" t="s">
        <v>129</v>
      </c>
      <c r="BG1" s="100" t="s">
        <v>130</v>
      </c>
      <c r="BH1" s="100" t="s">
        <v>131</v>
      </c>
      <c r="BI1" s="100" t="s">
        <v>132</v>
      </c>
      <c r="BJ1" s="100" t="s">
        <v>133</v>
      </c>
      <c r="BK1" s="100" t="s">
        <v>134</v>
      </c>
      <c r="BL1" s="100" t="s">
        <v>135</v>
      </c>
      <c r="BM1" s="100" t="s">
        <v>136</v>
      </c>
      <c r="BN1" s="100" t="s">
        <v>137</v>
      </c>
      <c r="BO1" s="100" t="s">
        <v>138</v>
      </c>
      <c r="BP1" s="100" t="s">
        <v>139</v>
      </c>
      <c r="BQ1" s="100" t="s">
        <v>140</v>
      </c>
      <c r="BR1" s="100" t="s">
        <v>141</v>
      </c>
      <c r="BS1" s="100" t="s">
        <v>142</v>
      </c>
      <c r="BT1" s="100" t="s">
        <v>143</v>
      </c>
      <c r="BU1" s="100" t="s">
        <v>144</v>
      </c>
      <c r="BV1" s="100" t="s">
        <v>145</v>
      </c>
      <c r="BW1" s="100" t="s">
        <v>146</v>
      </c>
      <c r="BX1" s="100" t="s">
        <v>147</v>
      </c>
      <c r="BY1" s="100" t="s">
        <v>148</v>
      </c>
      <c r="BZ1" s="100" t="s">
        <v>149</v>
      </c>
      <c r="CA1" s="100" t="s">
        <v>150</v>
      </c>
      <c r="CB1" s="100" t="s">
        <v>151</v>
      </c>
      <c r="CC1" s="100" t="s">
        <v>152</v>
      </c>
      <c r="CD1" s="100" t="s">
        <v>153</v>
      </c>
      <c r="CE1" s="100" t="s">
        <v>154</v>
      </c>
      <c r="CF1" s="100" t="s">
        <v>155</v>
      </c>
      <c r="CG1" s="100" t="s">
        <v>156</v>
      </c>
      <c r="CH1" s="100" t="s">
        <v>157</v>
      </c>
      <c r="CI1" s="100" t="s">
        <v>158</v>
      </c>
      <c r="CJ1" s="100" t="s">
        <v>159</v>
      </c>
      <c r="CK1" s="100" t="s">
        <v>160</v>
      </c>
      <c r="CL1" s="100" t="s">
        <v>161</v>
      </c>
      <c r="CM1" s="100" t="s">
        <v>162</v>
      </c>
      <c r="CN1" s="100" t="s">
        <v>163</v>
      </c>
      <c r="CO1" s="100" t="s">
        <v>164</v>
      </c>
      <c r="CP1" s="100" t="s">
        <v>165</v>
      </c>
      <c r="CQ1" s="100" t="s">
        <v>166</v>
      </c>
      <c r="CR1" s="100" t="s">
        <v>167</v>
      </c>
      <c r="CS1" s="100" t="s">
        <v>168</v>
      </c>
      <c r="CT1" s="100" t="s">
        <v>169</v>
      </c>
      <c r="CU1" s="100" t="s">
        <v>170</v>
      </c>
      <c r="CV1" s="100" t="s">
        <v>171</v>
      </c>
      <c r="CW1" s="100" t="s">
        <v>172</v>
      </c>
      <c r="CX1" s="100" t="s">
        <v>173</v>
      </c>
      <c r="CY1" s="100" t="s">
        <v>174</v>
      </c>
      <c r="CZ1" s="100" t="s">
        <v>175</v>
      </c>
      <c r="DA1" s="100" t="s">
        <v>176</v>
      </c>
      <c r="DB1" s="100" t="s">
        <v>177</v>
      </c>
      <c r="DC1" s="100" t="s">
        <v>178</v>
      </c>
      <c r="DD1" s="100" t="s">
        <v>179</v>
      </c>
      <c r="DE1" s="100" t="s">
        <v>180</v>
      </c>
      <c r="DF1" s="100" t="s">
        <v>181</v>
      </c>
      <c r="DG1" s="100" t="s">
        <v>182</v>
      </c>
      <c r="DH1" s="100" t="s">
        <v>183</v>
      </c>
      <c r="DI1" s="100" t="s">
        <v>184</v>
      </c>
      <c r="DJ1" s="100" t="s">
        <v>185</v>
      </c>
      <c r="DK1" s="100" t="s">
        <v>186</v>
      </c>
      <c r="DL1" s="100" t="s">
        <v>187</v>
      </c>
      <c r="DM1" s="100" t="s">
        <v>188</v>
      </c>
      <c r="DN1" s="100" t="s">
        <v>189</v>
      </c>
      <c r="DO1" s="100" t="s">
        <v>190</v>
      </c>
      <c r="DP1" s="100" t="s">
        <v>191</v>
      </c>
      <c r="DQ1" s="100" t="s">
        <v>192</v>
      </c>
      <c r="DR1" s="100" t="s">
        <v>193</v>
      </c>
      <c r="DS1" s="100" t="s">
        <v>194</v>
      </c>
      <c r="DT1" s="100" t="s">
        <v>195</v>
      </c>
      <c r="DU1" s="100" t="s">
        <v>196</v>
      </c>
      <c r="DV1" s="100" t="s">
        <v>197</v>
      </c>
      <c r="DW1" s="100" t="s">
        <v>198</v>
      </c>
      <c r="DX1" s="100" t="s">
        <v>199</v>
      </c>
      <c r="DY1" s="100" t="s">
        <v>200</v>
      </c>
      <c r="DZ1" s="100" t="s">
        <v>201</v>
      </c>
      <c r="EA1" s="100" t="s">
        <v>202</v>
      </c>
      <c r="EB1" s="100" t="s">
        <v>203</v>
      </c>
      <c r="EC1" s="100" t="s">
        <v>204</v>
      </c>
      <c r="ED1" s="100" t="s">
        <v>205</v>
      </c>
      <c r="EE1" s="100" t="s">
        <v>206</v>
      </c>
      <c r="EF1" s="100" t="s">
        <v>207</v>
      </c>
      <c r="EG1" s="100" t="s">
        <v>208</v>
      </c>
      <c r="EH1" s="100" t="s">
        <v>209</v>
      </c>
      <c r="EI1" s="100" t="s">
        <v>210</v>
      </c>
      <c r="EJ1" s="100" t="s">
        <v>211</v>
      </c>
      <c r="EK1" s="100" t="s">
        <v>212</v>
      </c>
      <c r="EL1" s="100" t="s">
        <v>213</v>
      </c>
      <c r="EM1" s="100" t="s">
        <v>214</v>
      </c>
      <c r="EN1" s="100" t="s">
        <v>215</v>
      </c>
      <c r="EO1" s="100" t="s">
        <v>216</v>
      </c>
      <c r="EP1" s="100" t="s">
        <v>217</v>
      </c>
      <c r="EQ1" s="100" t="s">
        <v>218</v>
      </c>
      <c r="ER1" s="100" t="s">
        <v>219</v>
      </c>
      <c r="ES1" s="100" t="s">
        <v>220</v>
      </c>
      <c r="ET1" s="100" t="s">
        <v>221</v>
      </c>
      <c r="EU1" s="100" t="s">
        <v>222</v>
      </c>
      <c r="EV1" s="100" t="s">
        <v>223</v>
      </c>
      <c r="EW1" s="100" t="s">
        <v>224</v>
      </c>
      <c r="EX1" s="100" t="s">
        <v>225</v>
      </c>
      <c r="EY1" s="100" t="s">
        <v>226</v>
      </c>
      <c r="EZ1" s="100" t="s">
        <v>227</v>
      </c>
      <c r="FA1" s="100" t="s">
        <v>228</v>
      </c>
      <c r="FB1" s="100" t="s">
        <v>229</v>
      </c>
      <c r="FC1" s="100" t="s">
        <v>230</v>
      </c>
      <c r="FD1" s="100" t="s">
        <v>231</v>
      </c>
      <c r="FE1" s="100" t="s">
        <v>232</v>
      </c>
      <c r="FF1" s="100" t="s">
        <v>233</v>
      </c>
      <c r="FG1" s="100" t="s">
        <v>234</v>
      </c>
      <c r="FH1" s="100" t="s">
        <v>235</v>
      </c>
      <c r="FI1" s="100" t="s">
        <v>236</v>
      </c>
      <c r="FJ1" s="100" t="s">
        <v>237</v>
      </c>
      <c r="FK1" s="100" t="s">
        <v>238</v>
      </c>
      <c r="FL1" s="100" t="s">
        <v>239</v>
      </c>
      <c r="FM1" s="100" t="s">
        <v>240</v>
      </c>
      <c r="FN1" s="100" t="s">
        <v>241</v>
      </c>
      <c r="FO1" s="100" t="s">
        <v>242</v>
      </c>
      <c r="FP1" s="100" t="s">
        <v>243</v>
      </c>
      <c r="FQ1" s="100" t="s">
        <v>244</v>
      </c>
      <c r="FR1" s="100" t="s">
        <v>245</v>
      </c>
      <c r="FS1" s="100" t="s">
        <v>246</v>
      </c>
      <c r="FT1" s="100" t="s">
        <v>247</v>
      </c>
      <c r="FU1" s="100" t="s">
        <v>248</v>
      </c>
      <c r="FV1" s="100" t="s">
        <v>249</v>
      </c>
      <c r="FW1" s="100" t="s">
        <v>250</v>
      </c>
      <c r="FX1" s="100" t="s">
        <v>251</v>
      </c>
      <c r="FY1" s="100" t="s">
        <v>252</v>
      </c>
      <c r="FZ1" s="100" t="s">
        <v>253</v>
      </c>
      <c r="GA1" s="100" t="s">
        <v>254</v>
      </c>
      <c r="GB1" s="100" t="s">
        <v>255</v>
      </c>
      <c r="GC1" s="100" t="s">
        <v>256</v>
      </c>
      <c r="GD1" s="100" t="s">
        <v>257</v>
      </c>
      <c r="GE1" s="100" t="s">
        <v>258</v>
      </c>
      <c r="GF1" s="100" t="s">
        <v>259</v>
      </c>
      <c r="GG1" s="100" t="s">
        <v>260</v>
      </c>
      <c r="GH1" s="100" t="s">
        <v>261</v>
      </c>
      <c r="GI1" s="100" t="s">
        <v>262</v>
      </c>
      <c r="GJ1" s="100" t="s">
        <v>263</v>
      </c>
      <c r="GK1" s="100" t="s">
        <v>264</v>
      </c>
      <c r="GL1" s="100" t="s">
        <v>265</v>
      </c>
      <c r="GM1" s="100" t="s">
        <v>266</v>
      </c>
      <c r="GN1" s="100" t="s">
        <v>267</v>
      </c>
      <c r="GO1" s="100" t="s">
        <v>268</v>
      </c>
      <c r="GP1" s="100" t="s">
        <v>269</v>
      </c>
    </row>
    <row r="2" spans="1:201" s="14" customFormat="1" x14ac:dyDescent="0.25">
      <c r="A2" s="102" t="s">
        <v>76</v>
      </c>
      <c r="B2" s="102" t="s">
        <v>270</v>
      </c>
      <c r="C2" s="103" t="s">
        <v>271</v>
      </c>
      <c r="D2" s="103" t="s">
        <v>272</v>
      </c>
      <c r="E2" s="103" t="s">
        <v>273</v>
      </c>
      <c r="F2" s="102" t="s">
        <v>274</v>
      </c>
      <c r="G2" s="102" t="s">
        <v>275</v>
      </c>
      <c r="H2" s="104" t="s">
        <v>276</v>
      </c>
      <c r="I2" s="104" t="s">
        <v>277</v>
      </c>
      <c r="J2" s="104" t="s">
        <v>278</v>
      </c>
      <c r="K2" s="105" t="s">
        <v>279</v>
      </c>
      <c r="L2" s="104" t="s">
        <v>280</v>
      </c>
      <c r="M2" s="105" t="s">
        <v>281</v>
      </c>
      <c r="N2" s="104" t="s">
        <v>282</v>
      </c>
      <c r="O2" s="105" t="s">
        <v>283</v>
      </c>
      <c r="P2" s="101" t="s">
        <v>284</v>
      </c>
      <c r="Q2" s="105" t="s">
        <v>285</v>
      </c>
      <c r="R2" s="105" t="s">
        <v>286</v>
      </c>
      <c r="S2" s="105" t="s">
        <v>287</v>
      </c>
      <c r="T2" s="103" t="s">
        <v>288</v>
      </c>
      <c r="U2" s="103" t="s">
        <v>289</v>
      </c>
      <c r="V2" s="103" t="s">
        <v>290</v>
      </c>
      <c r="W2" s="103" t="s">
        <v>291</v>
      </c>
      <c r="X2" s="103" t="s">
        <v>292</v>
      </c>
      <c r="Y2" s="103" t="s">
        <v>293</v>
      </c>
      <c r="Z2" s="103" t="s">
        <v>294</v>
      </c>
      <c r="AA2" s="103" t="s">
        <v>295</v>
      </c>
      <c r="AB2" s="103" t="s">
        <v>296</v>
      </c>
      <c r="AC2" s="103" t="s">
        <v>297</v>
      </c>
      <c r="AD2" s="103" t="s">
        <v>298</v>
      </c>
      <c r="AE2" s="103" t="s">
        <v>299</v>
      </c>
      <c r="AF2" s="103" t="s">
        <v>300</v>
      </c>
      <c r="AG2" s="103" t="s">
        <v>301</v>
      </c>
      <c r="AH2" s="103" t="s">
        <v>302</v>
      </c>
      <c r="AI2" s="103" t="s">
        <v>303</v>
      </c>
      <c r="AJ2" s="103" t="s">
        <v>304</v>
      </c>
      <c r="AK2" s="103" t="s">
        <v>305</v>
      </c>
      <c r="AL2" s="103" t="s">
        <v>306</v>
      </c>
      <c r="AM2" s="103" t="s">
        <v>307</v>
      </c>
      <c r="AN2" s="103" t="s">
        <v>308</v>
      </c>
      <c r="AO2" s="103" t="s">
        <v>309</v>
      </c>
      <c r="AP2" s="103" t="s">
        <v>310</v>
      </c>
      <c r="AQ2" s="103" t="s">
        <v>311</v>
      </c>
      <c r="AR2" s="103" t="s">
        <v>312</v>
      </c>
      <c r="AS2" s="103" t="s">
        <v>313</v>
      </c>
      <c r="AT2" s="103" t="s">
        <v>314</v>
      </c>
      <c r="AU2" s="103" t="s">
        <v>315</v>
      </c>
      <c r="AV2" s="103" t="s">
        <v>316</v>
      </c>
      <c r="AW2" s="103" t="s">
        <v>317</v>
      </c>
      <c r="AX2" s="103" t="s">
        <v>318</v>
      </c>
      <c r="AY2" s="103" t="s">
        <v>319</v>
      </c>
      <c r="AZ2" s="103" t="s">
        <v>320</v>
      </c>
      <c r="BA2" s="103" t="s">
        <v>321</v>
      </c>
      <c r="BB2" s="103" t="s">
        <v>322</v>
      </c>
      <c r="BC2" s="103" t="s">
        <v>323</v>
      </c>
      <c r="BD2" s="103" t="s">
        <v>324</v>
      </c>
      <c r="BE2" s="103" t="s">
        <v>325</v>
      </c>
      <c r="BF2" s="103" t="s">
        <v>326</v>
      </c>
      <c r="BG2" s="103" t="s">
        <v>327</v>
      </c>
      <c r="BH2" s="103" t="s">
        <v>328</v>
      </c>
      <c r="BI2" s="103" t="s">
        <v>329</v>
      </c>
      <c r="BJ2" s="103" t="s">
        <v>330</v>
      </c>
      <c r="BK2" s="103" t="s">
        <v>331</v>
      </c>
      <c r="BL2" s="103" t="s">
        <v>332</v>
      </c>
      <c r="BM2" s="103" t="s">
        <v>333</v>
      </c>
      <c r="BN2" s="103" t="s">
        <v>334</v>
      </c>
      <c r="BO2" s="103" t="s">
        <v>335</v>
      </c>
      <c r="BP2" s="103" t="s">
        <v>336</v>
      </c>
      <c r="BQ2" s="103" t="s">
        <v>337</v>
      </c>
      <c r="BR2" s="103" t="s">
        <v>338</v>
      </c>
      <c r="BS2" s="103" t="s">
        <v>339</v>
      </c>
      <c r="BT2" s="103" t="s">
        <v>340</v>
      </c>
      <c r="BU2" s="103" t="s">
        <v>341</v>
      </c>
      <c r="BV2" s="103" t="s">
        <v>342</v>
      </c>
      <c r="BW2" s="103" t="s">
        <v>343</v>
      </c>
      <c r="BX2" s="103" t="s">
        <v>344</v>
      </c>
      <c r="BY2" s="103" t="s">
        <v>345</v>
      </c>
      <c r="BZ2" s="103" t="s">
        <v>346</v>
      </c>
      <c r="CA2" s="103" t="s">
        <v>347</v>
      </c>
      <c r="CB2" s="103" t="s">
        <v>348</v>
      </c>
      <c r="CC2" s="103" t="s">
        <v>349</v>
      </c>
      <c r="CD2" s="103" t="s">
        <v>350</v>
      </c>
      <c r="CE2" s="103" t="s">
        <v>351</v>
      </c>
      <c r="CF2" s="103" t="s">
        <v>352</v>
      </c>
      <c r="CG2" s="103" t="s">
        <v>353</v>
      </c>
      <c r="CH2" s="103" t="s">
        <v>354</v>
      </c>
      <c r="CI2" s="103" t="s">
        <v>355</v>
      </c>
      <c r="CJ2" s="103" t="s">
        <v>356</v>
      </c>
      <c r="CK2" s="103" t="s">
        <v>357</v>
      </c>
      <c r="CL2" s="103" t="s">
        <v>358</v>
      </c>
      <c r="CM2" s="103" t="s">
        <v>359</v>
      </c>
      <c r="CN2" s="103" t="s">
        <v>360</v>
      </c>
      <c r="CO2" s="103" t="s">
        <v>361</v>
      </c>
      <c r="CP2" s="103" t="s">
        <v>362</v>
      </c>
      <c r="CQ2" s="103" t="s">
        <v>363</v>
      </c>
      <c r="CR2" s="103" t="s">
        <v>364</v>
      </c>
      <c r="CS2" s="103" t="s">
        <v>365</v>
      </c>
      <c r="CT2" s="103" t="s">
        <v>366</v>
      </c>
      <c r="CU2" s="103" t="s">
        <v>367</v>
      </c>
      <c r="CV2" s="103" t="s">
        <v>368</v>
      </c>
      <c r="CW2" s="103" t="s">
        <v>369</v>
      </c>
      <c r="CX2" s="103" t="s">
        <v>370</v>
      </c>
      <c r="CY2" s="103" t="s">
        <v>371</v>
      </c>
      <c r="CZ2" s="103" t="s">
        <v>372</v>
      </c>
      <c r="DA2" s="103" t="s">
        <v>373</v>
      </c>
      <c r="DB2" s="103" t="s">
        <v>374</v>
      </c>
      <c r="DC2" s="103" t="s">
        <v>375</v>
      </c>
      <c r="DD2" s="103" t="s">
        <v>376</v>
      </c>
      <c r="DE2" s="103" t="s">
        <v>377</v>
      </c>
      <c r="DF2" s="103" t="s">
        <v>378</v>
      </c>
      <c r="DG2" s="103" t="s">
        <v>379</v>
      </c>
      <c r="DH2" s="103" t="s">
        <v>380</v>
      </c>
      <c r="DI2" s="103" t="s">
        <v>381</v>
      </c>
      <c r="DJ2" s="103" t="s">
        <v>382</v>
      </c>
      <c r="DK2" s="103" t="s">
        <v>383</v>
      </c>
      <c r="DL2" s="103" t="s">
        <v>384</v>
      </c>
      <c r="DM2" s="103" t="s">
        <v>385</v>
      </c>
      <c r="DN2" s="103" t="s">
        <v>386</v>
      </c>
      <c r="DO2" s="106" t="s">
        <v>387</v>
      </c>
      <c r="DP2" s="107" t="s">
        <v>388</v>
      </c>
      <c r="DQ2" s="106" t="s">
        <v>389</v>
      </c>
      <c r="DR2" s="103" t="s">
        <v>390</v>
      </c>
      <c r="DS2" s="103" t="s">
        <v>391</v>
      </c>
      <c r="DT2" s="103" t="s">
        <v>392</v>
      </c>
      <c r="DU2" s="103" t="s">
        <v>393</v>
      </c>
      <c r="DV2" s="107" t="s">
        <v>394</v>
      </c>
      <c r="DW2" s="106" t="s">
        <v>395</v>
      </c>
      <c r="DX2" s="103" t="s">
        <v>396</v>
      </c>
      <c r="DY2" s="103" t="s">
        <v>397</v>
      </c>
      <c r="DZ2" s="103" t="s">
        <v>398</v>
      </c>
      <c r="EA2" s="103" t="s">
        <v>399</v>
      </c>
      <c r="EB2" s="107" t="s">
        <v>400</v>
      </c>
      <c r="EC2" s="106" t="s">
        <v>401</v>
      </c>
      <c r="ED2" s="103" t="s">
        <v>402</v>
      </c>
      <c r="EE2" s="103" t="s">
        <v>403</v>
      </c>
      <c r="EF2" s="103" t="s">
        <v>404</v>
      </c>
      <c r="EG2" s="103" t="s">
        <v>405</v>
      </c>
      <c r="EH2" s="107" t="s">
        <v>406</v>
      </c>
      <c r="EI2" s="106" t="s">
        <v>407</v>
      </c>
      <c r="EJ2" s="103" t="s">
        <v>408</v>
      </c>
      <c r="EK2" s="103" t="s">
        <v>409</v>
      </c>
      <c r="EL2" s="103" t="s">
        <v>410</v>
      </c>
      <c r="EM2" s="103" t="s">
        <v>411</v>
      </c>
      <c r="EN2" s="107" t="s">
        <v>412</v>
      </c>
      <c r="EO2" s="106" t="s">
        <v>413</v>
      </c>
      <c r="EP2" s="105" t="s">
        <v>414</v>
      </c>
      <c r="EQ2" s="105" t="s">
        <v>415</v>
      </c>
      <c r="ER2" s="105" t="s">
        <v>416</v>
      </c>
      <c r="ES2" s="105" t="s">
        <v>417</v>
      </c>
      <c r="ET2" s="105" t="s">
        <v>418</v>
      </c>
      <c r="EU2" s="105" t="s">
        <v>419</v>
      </c>
      <c r="EV2" s="105" t="s">
        <v>420</v>
      </c>
      <c r="EW2" s="105" t="s">
        <v>421</v>
      </c>
      <c r="EX2" s="105" t="s">
        <v>422</v>
      </c>
      <c r="EY2" s="105" t="s">
        <v>423</v>
      </c>
      <c r="EZ2" s="105" t="s">
        <v>424</v>
      </c>
      <c r="FA2" s="105" t="s">
        <v>425</v>
      </c>
      <c r="FB2" s="105" t="s">
        <v>426</v>
      </c>
      <c r="FC2" s="105" t="s">
        <v>427</v>
      </c>
      <c r="FD2" s="105" t="s">
        <v>428</v>
      </c>
      <c r="FE2" s="105" t="s">
        <v>429</v>
      </c>
      <c r="FF2" s="105" t="s">
        <v>430</v>
      </c>
      <c r="FG2" s="105" t="s">
        <v>431</v>
      </c>
      <c r="FH2" s="105" t="s">
        <v>432</v>
      </c>
      <c r="FI2" s="105" t="s">
        <v>433</v>
      </c>
      <c r="FJ2" s="105" t="s">
        <v>434</v>
      </c>
      <c r="FK2" s="105" t="s">
        <v>435</v>
      </c>
      <c r="FL2" s="105" t="s">
        <v>436</v>
      </c>
      <c r="FM2" s="105" t="s">
        <v>437</v>
      </c>
      <c r="FN2" s="105" t="s">
        <v>438</v>
      </c>
      <c r="FO2" s="105" t="s">
        <v>439</v>
      </c>
      <c r="FP2" s="105" t="s">
        <v>440</v>
      </c>
      <c r="FQ2" s="105" t="s">
        <v>441</v>
      </c>
      <c r="FR2" s="105" t="s">
        <v>442</v>
      </c>
      <c r="FS2" s="105" t="s">
        <v>443</v>
      </c>
      <c r="FT2" s="105" t="s">
        <v>444</v>
      </c>
      <c r="FU2" s="105" t="s">
        <v>445</v>
      </c>
      <c r="FV2" s="105" t="s">
        <v>446</v>
      </c>
      <c r="FW2" s="105" t="s">
        <v>447</v>
      </c>
      <c r="FX2" s="105" t="s">
        <v>448</v>
      </c>
      <c r="FY2" s="105" t="s">
        <v>449</v>
      </c>
      <c r="FZ2" s="105" t="s">
        <v>450</v>
      </c>
      <c r="GA2" s="105" t="s">
        <v>451</v>
      </c>
      <c r="GB2" s="105" t="s">
        <v>452</v>
      </c>
      <c r="GC2" s="105" t="s">
        <v>453</v>
      </c>
      <c r="GD2" s="105" t="s">
        <v>454</v>
      </c>
      <c r="GE2" s="105" t="s">
        <v>455</v>
      </c>
      <c r="GF2" s="105" t="s">
        <v>456</v>
      </c>
      <c r="GG2" s="105" t="s">
        <v>457</v>
      </c>
      <c r="GH2" s="105" t="s">
        <v>458</v>
      </c>
      <c r="GI2" s="105" t="s">
        <v>459</v>
      </c>
      <c r="GJ2" s="105" t="s">
        <v>460</v>
      </c>
      <c r="GK2" s="105" t="s">
        <v>461</v>
      </c>
      <c r="GL2" s="105" t="s">
        <v>462</v>
      </c>
      <c r="GM2" s="105" t="s">
        <v>463</v>
      </c>
      <c r="GN2" s="105" t="s">
        <v>464</v>
      </c>
      <c r="GO2" s="105" t="s">
        <v>465</v>
      </c>
      <c r="GP2" s="105" t="s">
        <v>466</v>
      </c>
      <c r="GQ2" s="101"/>
      <c r="GR2" s="101"/>
      <c r="GS2" s="101"/>
    </row>
    <row r="3" spans="1:201" s="1" customFormat="1" ht="15.75" customHeight="1" x14ac:dyDescent="0.25">
      <c r="A3" s="4" t="s">
        <v>467</v>
      </c>
      <c r="B3" s="5" t="s">
        <v>468</v>
      </c>
      <c r="C3" s="5">
        <v>35</v>
      </c>
      <c r="D3" s="5">
        <v>21</v>
      </c>
      <c r="E3" s="6">
        <v>22.333333333300001</v>
      </c>
      <c r="F3" s="5" t="s">
        <v>469</v>
      </c>
      <c r="G3" s="5">
        <v>0</v>
      </c>
      <c r="H3" s="5">
        <f>D3*12</f>
        <v>252</v>
      </c>
      <c r="I3" s="5">
        <f>D3*12/2+7</f>
        <v>133</v>
      </c>
      <c r="J3" s="5">
        <f>I3-12</f>
        <v>121</v>
      </c>
      <c r="K3" s="5">
        <v>0</v>
      </c>
      <c r="L3" s="5">
        <v>0.75</v>
      </c>
      <c r="M3" s="5">
        <v>8</v>
      </c>
      <c r="N3" s="5">
        <v>12</v>
      </c>
      <c r="O3" s="5">
        <v>15</v>
      </c>
      <c r="P3" s="5">
        <v>12</v>
      </c>
      <c r="Q3" s="5">
        <v>24</v>
      </c>
      <c r="R3" s="5" t="s">
        <v>470</v>
      </c>
      <c r="S3" s="5">
        <v>12</v>
      </c>
      <c r="T3" s="5">
        <f>I3-7</f>
        <v>126</v>
      </c>
      <c r="U3" s="5">
        <v>97.734375</v>
      </c>
      <c r="V3" s="5">
        <v>87</v>
      </c>
      <c r="W3" s="5">
        <v>0.25</v>
      </c>
      <c r="X3" s="5">
        <v>45</v>
      </c>
      <c r="Y3" s="5">
        <v>8</v>
      </c>
      <c r="Z3" s="5">
        <f>U3</f>
        <v>97.734375</v>
      </c>
      <c r="AA3" s="5">
        <v>70.4375</v>
      </c>
      <c r="AB3" s="5">
        <v>84</v>
      </c>
      <c r="AC3" s="5">
        <v>0.25</v>
      </c>
      <c r="AD3" s="5">
        <v>60</v>
      </c>
      <c r="AE3" s="5">
        <v>6</v>
      </c>
      <c r="AF3" s="5">
        <v>0</v>
      </c>
      <c r="AG3" s="5">
        <f>AA3</f>
        <v>70.4375</v>
      </c>
      <c r="AH3" s="5">
        <v>44.9375</v>
      </c>
      <c r="AI3" s="5">
        <v>78.4375</v>
      </c>
      <c r="AJ3" s="5">
        <v>0.3125</v>
      </c>
      <c r="AK3" s="5">
        <v>90</v>
      </c>
      <c r="AL3" s="5">
        <v>4</v>
      </c>
      <c r="AM3" s="5">
        <v>60</v>
      </c>
      <c r="AN3" s="5">
        <v>44.9375</v>
      </c>
      <c r="AO3" s="5">
        <v>42</v>
      </c>
      <c r="AP3" s="5">
        <v>18.5625</v>
      </c>
      <c r="AQ3" s="5">
        <v>0.3125</v>
      </c>
      <c r="AR3" s="5">
        <v>36</v>
      </c>
      <c r="AS3" s="5">
        <v>10</v>
      </c>
      <c r="AT3" s="5" t="s">
        <v>470</v>
      </c>
      <c r="AU3" s="5" t="s">
        <v>470</v>
      </c>
      <c r="AV3" s="5" t="s">
        <v>470</v>
      </c>
      <c r="AW3" s="5" t="s">
        <v>470</v>
      </c>
      <c r="AX3" s="5" t="s">
        <v>470</v>
      </c>
      <c r="AY3" s="5" t="s">
        <v>470</v>
      </c>
      <c r="AZ3" s="5" t="s">
        <v>470</v>
      </c>
      <c r="BA3" s="5">
        <v>84</v>
      </c>
      <c r="BB3" s="5">
        <f>58*12+6.4375</f>
        <v>702.4375</v>
      </c>
      <c r="BC3" s="5">
        <v>84</v>
      </c>
      <c r="BD3" s="5">
        <v>54.4375</v>
      </c>
      <c r="BE3" s="5">
        <v>0.25</v>
      </c>
      <c r="BF3" s="5">
        <v>84</v>
      </c>
      <c r="BG3" s="5">
        <v>96</v>
      </c>
      <c r="BH3" s="5">
        <v>0.25</v>
      </c>
      <c r="BI3" s="5">
        <v>84</v>
      </c>
      <c r="BJ3" s="5">
        <v>96</v>
      </c>
      <c r="BK3" s="5">
        <v>0.25</v>
      </c>
      <c r="BL3" s="5">
        <v>84</v>
      </c>
      <c r="BM3" s="5">
        <v>96</v>
      </c>
      <c r="BN3" s="5">
        <v>0.25</v>
      </c>
      <c r="BO3" s="5">
        <v>84</v>
      </c>
      <c r="BP3" s="5">
        <v>96</v>
      </c>
      <c r="BQ3" s="5">
        <v>0.25</v>
      </c>
      <c r="BR3" s="5">
        <v>84</v>
      </c>
      <c r="BS3" s="5">
        <v>96</v>
      </c>
      <c r="BT3" s="5">
        <v>0.25</v>
      </c>
      <c r="BU3" s="5">
        <v>84</v>
      </c>
      <c r="BV3" s="5">
        <v>96</v>
      </c>
      <c r="BW3" s="5">
        <v>0.25</v>
      </c>
      <c r="BX3" s="5">
        <v>84</v>
      </c>
      <c r="BY3" s="5">
        <v>96</v>
      </c>
      <c r="BZ3" s="5">
        <v>0.25</v>
      </c>
      <c r="CA3" s="5" t="s">
        <v>470</v>
      </c>
      <c r="CB3" s="5" t="s">
        <v>470</v>
      </c>
      <c r="CC3" s="5"/>
      <c r="CD3" s="5" t="s">
        <v>470</v>
      </c>
      <c r="CE3" s="5" t="s">
        <v>470</v>
      </c>
      <c r="CF3" s="5"/>
      <c r="CG3" s="5" t="s">
        <v>470</v>
      </c>
      <c r="CH3" s="5" t="s">
        <v>470</v>
      </c>
      <c r="CI3" s="5"/>
      <c r="CJ3" s="5" t="s">
        <v>470</v>
      </c>
      <c r="CK3" s="5" t="s">
        <v>470</v>
      </c>
      <c r="CL3" s="5"/>
      <c r="CM3" s="5" t="s">
        <v>470</v>
      </c>
      <c r="CN3" s="5" t="s">
        <v>470</v>
      </c>
      <c r="CO3" s="5"/>
      <c r="CP3" s="5" t="s">
        <v>470</v>
      </c>
      <c r="CQ3" s="5" t="s">
        <v>470</v>
      </c>
      <c r="CR3" s="5"/>
      <c r="CS3" s="5" t="s">
        <v>470</v>
      </c>
      <c r="CT3" s="5" t="s">
        <v>470</v>
      </c>
      <c r="CU3" s="5"/>
      <c r="CV3" s="5" t="s">
        <v>470</v>
      </c>
      <c r="CW3" s="5" t="s">
        <v>470</v>
      </c>
      <c r="CX3" s="5"/>
      <c r="CY3" s="5" t="s">
        <v>470</v>
      </c>
      <c r="CZ3" s="5" t="s">
        <v>470</v>
      </c>
      <c r="DA3" s="5"/>
      <c r="DB3" s="5" t="s">
        <v>470</v>
      </c>
      <c r="DC3" s="5" t="s">
        <v>470</v>
      </c>
      <c r="DD3" s="5" t="s">
        <v>470</v>
      </c>
      <c r="DE3" s="5">
        <v>60</v>
      </c>
      <c r="DF3" s="5">
        <v>42</v>
      </c>
      <c r="DG3" s="5">
        <v>59.564999999999998</v>
      </c>
      <c r="DH3" s="5">
        <v>42.4375</v>
      </c>
      <c r="DI3" s="5">
        <v>0.3125</v>
      </c>
      <c r="DJ3" s="5">
        <v>45</v>
      </c>
      <c r="DK3" s="5">
        <v>8</v>
      </c>
      <c r="DL3" s="5">
        <v>101.75</v>
      </c>
      <c r="DM3" s="5">
        <v>59.564999999999998</v>
      </c>
      <c r="DN3" s="5">
        <v>42.25</v>
      </c>
      <c r="DO3" s="5">
        <v>0.3125</v>
      </c>
      <c r="DP3" s="12">
        <v>90</v>
      </c>
      <c r="DQ3" s="5">
        <v>4</v>
      </c>
      <c r="DR3" s="13" t="s">
        <v>470</v>
      </c>
      <c r="DS3" s="5" t="s">
        <v>470</v>
      </c>
      <c r="DT3" s="5" t="s">
        <v>470</v>
      </c>
      <c r="DU3" s="5" t="s">
        <v>470</v>
      </c>
      <c r="DV3" s="5" t="s">
        <v>470</v>
      </c>
      <c r="DW3" s="5" t="s">
        <v>470</v>
      </c>
      <c r="DX3" s="5" t="s">
        <v>470</v>
      </c>
      <c r="DY3" s="5" t="s">
        <v>470</v>
      </c>
      <c r="DZ3" s="5" t="s">
        <v>470</v>
      </c>
      <c r="EA3" s="5" t="s">
        <v>470</v>
      </c>
      <c r="EB3" s="5" t="s">
        <v>470</v>
      </c>
      <c r="EC3" s="5" t="s">
        <v>470</v>
      </c>
      <c r="ED3" s="5" t="s">
        <v>470</v>
      </c>
      <c r="EE3" s="5" t="s">
        <v>470</v>
      </c>
      <c r="EF3" s="5" t="s">
        <v>470</v>
      </c>
      <c r="EG3" s="5" t="s">
        <v>470</v>
      </c>
      <c r="EH3" s="5" t="s">
        <v>470</v>
      </c>
      <c r="EI3" s="5" t="s">
        <v>470</v>
      </c>
      <c r="EJ3" s="5" t="s">
        <v>470</v>
      </c>
      <c r="EK3" s="5" t="s">
        <v>470</v>
      </c>
      <c r="EL3" s="5" t="s">
        <v>470</v>
      </c>
      <c r="EM3" s="5" t="s">
        <v>470</v>
      </c>
      <c r="EN3" s="5" t="s">
        <v>470</v>
      </c>
      <c r="EO3" s="5" t="s">
        <v>470</v>
      </c>
      <c r="EP3" s="5">
        <v>0.25</v>
      </c>
      <c r="EQ3" s="5">
        <v>101.7321</v>
      </c>
      <c r="ER3" s="5">
        <v>101.735</v>
      </c>
      <c r="ES3" s="5">
        <v>144</v>
      </c>
      <c r="ET3" s="5" t="s">
        <v>470</v>
      </c>
      <c r="EU3" s="5" t="s">
        <v>470</v>
      </c>
      <c r="EV3" s="5">
        <v>45</v>
      </c>
      <c r="EW3" s="5">
        <v>41.12</v>
      </c>
      <c r="EX3" s="5" t="s">
        <v>470</v>
      </c>
      <c r="EY3" s="5" t="s">
        <v>470</v>
      </c>
      <c r="EZ3" s="5" t="s">
        <v>470</v>
      </c>
      <c r="FA3" s="5" t="s">
        <v>470</v>
      </c>
      <c r="FB3" s="5" t="s">
        <v>470</v>
      </c>
      <c r="FC3" s="5" t="s">
        <v>470</v>
      </c>
      <c r="FD3" s="5" t="s">
        <v>470</v>
      </c>
      <c r="FE3" s="5" t="s">
        <v>470</v>
      </c>
      <c r="FF3" s="5" t="s">
        <v>470</v>
      </c>
      <c r="FG3" s="5" t="s">
        <v>470</v>
      </c>
      <c r="FH3" s="5" t="s">
        <v>470</v>
      </c>
      <c r="FI3" s="5" t="s">
        <v>470</v>
      </c>
      <c r="FJ3" s="5" t="s">
        <v>470</v>
      </c>
      <c r="FK3" s="5" t="s">
        <v>470</v>
      </c>
      <c r="FL3" s="5" t="s">
        <v>470</v>
      </c>
      <c r="FM3" s="5">
        <v>0.25</v>
      </c>
      <c r="FN3" s="5">
        <v>144.25</v>
      </c>
      <c r="FO3" s="5">
        <v>10</v>
      </c>
      <c r="FP3" s="5">
        <v>40.32</v>
      </c>
      <c r="FQ3" s="5">
        <v>35.22</v>
      </c>
      <c r="FR3" s="5" t="s">
        <v>470</v>
      </c>
      <c r="FS3" s="5">
        <f>12*24</f>
        <v>288</v>
      </c>
      <c r="FT3" s="5">
        <f>76/2</f>
        <v>38</v>
      </c>
      <c r="FU3" s="5">
        <v>24</v>
      </c>
      <c r="FV3" s="5">
        <v>14</v>
      </c>
      <c r="FW3" s="5">
        <v>0.5</v>
      </c>
      <c r="FX3" s="5">
        <v>4</v>
      </c>
      <c r="FY3" s="5">
        <f>68/2</f>
        <v>34</v>
      </c>
      <c r="FZ3" s="5">
        <v>44</v>
      </c>
      <c r="GA3" s="5">
        <v>1</v>
      </c>
      <c r="GB3" s="5">
        <v>180</v>
      </c>
      <c r="GC3" s="5">
        <v>2</v>
      </c>
      <c r="GD3" s="5">
        <v>20</v>
      </c>
      <c r="GE3" s="5">
        <v>24</v>
      </c>
      <c r="GF3" s="5">
        <v>1</v>
      </c>
      <c r="GG3" s="5">
        <v>42</v>
      </c>
      <c r="GH3" s="5">
        <v>96</v>
      </c>
      <c r="GI3" s="5">
        <v>0.3125</v>
      </c>
      <c r="GJ3" s="5">
        <v>42</v>
      </c>
      <c r="GK3" s="5">
        <v>222</v>
      </c>
      <c r="GL3" s="5">
        <v>0.3125</v>
      </c>
      <c r="GM3" s="5">
        <v>50.25</v>
      </c>
      <c r="GN3" s="5">
        <v>42.25</v>
      </c>
      <c r="GO3" s="5">
        <v>0.5</v>
      </c>
      <c r="GP3" s="5">
        <v>2</v>
      </c>
      <c r="GQ3" s="5"/>
      <c r="GR3" s="5"/>
      <c r="GS3" s="5"/>
    </row>
    <row r="4" spans="1:201" s="1" customFormat="1" ht="15.75" customHeight="1" x14ac:dyDescent="0.25">
      <c r="A4" s="4" t="s">
        <v>471</v>
      </c>
      <c r="B4" s="5"/>
      <c r="C4" s="5">
        <v>50</v>
      </c>
      <c r="D4" s="5">
        <v>21</v>
      </c>
      <c r="E4" s="6">
        <v>22.333333333300001</v>
      </c>
      <c r="F4" s="5" t="s">
        <v>469</v>
      </c>
      <c r="G4" s="5">
        <v>0</v>
      </c>
      <c r="H4" s="5">
        <f>D4*12</f>
        <v>252</v>
      </c>
      <c r="I4" s="5">
        <f>D4*12/2+7</f>
        <v>133</v>
      </c>
      <c r="J4" s="5">
        <f>I4-12</f>
        <v>121</v>
      </c>
      <c r="K4" s="5">
        <v>45</v>
      </c>
      <c r="L4" s="5">
        <v>1</v>
      </c>
      <c r="M4" s="5">
        <v>8</v>
      </c>
      <c r="N4" s="5">
        <v>8</v>
      </c>
      <c r="O4" s="5">
        <v>22.5</v>
      </c>
      <c r="P4" s="5">
        <v>8</v>
      </c>
      <c r="Q4" s="5">
        <v>16</v>
      </c>
      <c r="R4" s="5" t="s">
        <v>470</v>
      </c>
      <c r="S4" s="5">
        <v>16</v>
      </c>
      <c r="T4" s="5">
        <f>I4-7</f>
        <v>126</v>
      </c>
      <c r="U4" s="5">
        <v>97.734375</v>
      </c>
      <c r="V4" s="5">
        <v>87</v>
      </c>
      <c r="W4" s="5">
        <v>0.25</v>
      </c>
      <c r="X4" s="5">
        <v>45</v>
      </c>
      <c r="Y4" s="5">
        <v>8</v>
      </c>
      <c r="Z4" s="5">
        <v>97.734375</v>
      </c>
      <c r="AA4" s="5">
        <v>70.4375</v>
      </c>
      <c r="AB4" s="5">
        <v>84</v>
      </c>
      <c r="AC4" s="5">
        <v>0.25</v>
      </c>
      <c r="AD4" s="5">
        <v>60</v>
      </c>
      <c r="AE4" s="5">
        <v>6</v>
      </c>
      <c r="AF4" s="5">
        <v>0</v>
      </c>
      <c r="AG4" s="5">
        <v>70.4375</v>
      </c>
      <c r="AH4" s="5">
        <v>44.9375</v>
      </c>
      <c r="AI4" s="5">
        <v>78.4375</v>
      </c>
      <c r="AJ4" s="5">
        <v>0.25</v>
      </c>
      <c r="AK4" s="5">
        <v>90</v>
      </c>
      <c r="AL4" s="5">
        <v>4</v>
      </c>
      <c r="AM4" s="5">
        <v>60</v>
      </c>
      <c r="AN4" s="5">
        <v>44.9375</v>
      </c>
      <c r="AO4" s="5">
        <v>42</v>
      </c>
      <c r="AP4" s="5">
        <v>18.5625</v>
      </c>
      <c r="AQ4" s="5">
        <v>0.25</v>
      </c>
      <c r="AR4" s="5">
        <v>36</v>
      </c>
      <c r="AS4" s="5">
        <v>10</v>
      </c>
      <c r="AT4" s="5" t="s">
        <v>470</v>
      </c>
      <c r="AU4" s="5" t="s">
        <v>470</v>
      </c>
      <c r="AV4" s="5" t="s">
        <v>470</v>
      </c>
      <c r="AW4" s="5" t="s">
        <v>470</v>
      </c>
      <c r="AX4" s="5" t="s">
        <v>470</v>
      </c>
      <c r="AY4" s="5" t="s">
        <v>470</v>
      </c>
      <c r="AZ4" s="5" t="s">
        <v>470</v>
      </c>
      <c r="BA4" s="5">
        <v>84</v>
      </c>
      <c r="BB4" s="5">
        <v>96</v>
      </c>
      <c r="BC4" s="5">
        <v>84</v>
      </c>
      <c r="BD4" s="5">
        <v>96</v>
      </c>
      <c r="BE4" s="5">
        <v>0.375</v>
      </c>
      <c r="BF4" s="5">
        <v>84</v>
      </c>
      <c r="BG4" s="5">
        <v>96</v>
      </c>
      <c r="BH4" s="5">
        <v>0.375</v>
      </c>
      <c r="BI4" s="5">
        <v>84</v>
      </c>
      <c r="BJ4" s="5">
        <v>96</v>
      </c>
      <c r="BK4" s="5">
        <v>0.375</v>
      </c>
      <c r="BL4" s="5">
        <v>84</v>
      </c>
      <c r="BM4" s="5">
        <v>96</v>
      </c>
      <c r="BN4" s="5">
        <v>0.375</v>
      </c>
      <c r="BO4" s="5">
        <v>84</v>
      </c>
      <c r="BP4" s="5">
        <v>96</v>
      </c>
      <c r="BQ4" s="5">
        <v>0.375</v>
      </c>
      <c r="BR4" s="5">
        <v>84</v>
      </c>
      <c r="BS4" s="5">
        <v>96</v>
      </c>
      <c r="BT4" s="5">
        <v>0.375</v>
      </c>
      <c r="BU4" s="5">
        <v>84</v>
      </c>
      <c r="BV4" s="5">
        <v>96</v>
      </c>
      <c r="BW4" s="5">
        <v>0.375</v>
      </c>
      <c r="BX4" s="5">
        <v>84</v>
      </c>
      <c r="BY4" s="5">
        <v>96</v>
      </c>
      <c r="BZ4" s="5">
        <v>0.375</v>
      </c>
      <c r="CA4" s="5" t="s">
        <v>470</v>
      </c>
      <c r="CB4" s="5" t="s">
        <v>470</v>
      </c>
      <c r="CC4" s="5"/>
      <c r="CD4" s="5" t="s">
        <v>470</v>
      </c>
      <c r="CE4" s="5" t="s">
        <v>470</v>
      </c>
      <c r="CF4" s="5"/>
      <c r="CG4" s="5" t="s">
        <v>470</v>
      </c>
      <c r="CH4" s="5" t="s">
        <v>470</v>
      </c>
      <c r="CI4" s="5"/>
      <c r="CJ4" s="5" t="s">
        <v>470</v>
      </c>
      <c r="CK4" s="5" t="s">
        <v>470</v>
      </c>
      <c r="CL4" s="5"/>
      <c r="CM4" s="5" t="s">
        <v>470</v>
      </c>
      <c r="CN4" s="5" t="s">
        <v>470</v>
      </c>
      <c r="CO4" s="5"/>
      <c r="CP4" s="5" t="s">
        <v>470</v>
      </c>
      <c r="CQ4" s="5" t="s">
        <v>470</v>
      </c>
      <c r="CR4" s="5"/>
      <c r="CS4" s="5" t="s">
        <v>470</v>
      </c>
      <c r="CT4" s="5" t="s">
        <v>470</v>
      </c>
      <c r="CU4" s="5"/>
      <c r="CV4" s="5" t="s">
        <v>470</v>
      </c>
      <c r="CW4" s="5" t="s">
        <v>470</v>
      </c>
      <c r="CX4" s="5"/>
      <c r="CY4" s="5" t="s">
        <v>470</v>
      </c>
      <c r="CZ4" s="5" t="s">
        <v>470</v>
      </c>
      <c r="DA4" s="5"/>
      <c r="DB4" s="5" t="s">
        <v>470</v>
      </c>
      <c r="DC4" s="5" t="s">
        <v>470</v>
      </c>
      <c r="DD4" s="5"/>
      <c r="DE4" s="5">
        <v>60</v>
      </c>
      <c r="DF4" s="5">
        <v>42</v>
      </c>
      <c r="DG4" s="5">
        <v>59.5625</v>
      </c>
      <c r="DH4" s="5">
        <v>42.4375</v>
      </c>
      <c r="DI4" s="5">
        <v>0.5</v>
      </c>
      <c r="DJ4" s="5">
        <v>45</v>
      </c>
      <c r="DK4" s="5">
        <v>8</v>
      </c>
      <c r="DL4" s="5">
        <v>101.8125</v>
      </c>
      <c r="DM4" s="5">
        <v>59.564999999999998</v>
      </c>
      <c r="DN4" s="5">
        <v>42.25</v>
      </c>
      <c r="DO4" s="5">
        <v>0.25</v>
      </c>
      <c r="DP4" s="12">
        <v>90</v>
      </c>
      <c r="DQ4" s="5">
        <v>4</v>
      </c>
      <c r="DR4" s="13" t="s">
        <v>470</v>
      </c>
      <c r="DS4" s="5" t="s">
        <v>470</v>
      </c>
      <c r="DT4" s="5" t="s">
        <v>470</v>
      </c>
      <c r="DU4" s="5" t="s">
        <v>470</v>
      </c>
      <c r="DV4" s="5" t="s">
        <v>470</v>
      </c>
      <c r="DW4" s="5" t="s">
        <v>470</v>
      </c>
      <c r="DX4" s="5" t="s">
        <v>470</v>
      </c>
      <c r="DY4" s="5" t="s">
        <v>470</v>
      </c>
      <c r="DZ4" s="5" t="s">
        <v>470</v>
      </c>
      <c r="EA4" s="5" t="s">
        <v>470</v>
      </c>
      <c r="EB4" s="5" t="s">
        <v>470</v>
      </c>
      <c r="EC4" s="5" t="s">
        <v>470</v>
      </c>
      <c r="ED4" s="5" t="s">
        <v>470</v>
      </c>
      <c r="EE4" s="5" t="s">
        <v>470</v>
      </c>
      <c r="EF4" s="5" t="s">
        <v>470</v>
      </c>
      <c r="EG4" s="5" t="s">
        <v>470</v>
      </c>
      <c r="EH4" s="5" t="s">
        <v>470</v>
      </c>
      <c r="EI4" s="5" t="s">
        <v>470</v>
      </c>
      <c r="EJ4" s="5" t="s">
        <v>470</v>
      </c>
      <c r="EK4" s="5" t="s">
        <v>470</v>
      </c>
      <c r="EL4" s="5" t="s">
        <v>470</v>
      </c>
      <c r="EM4" s="5" t="s">
        <v>470</v>
      </c>
      <c r="EN4" s="5" t="s">
        <v>470</v>
      </c>
      <c r="EO4" s="5" t="s">
        <v>470</v>
      </c>
      <c r="EP4" s="5">
        <v>0.25</v>
      </c>
      <c r="EQ4" s="5">
        <v>101.75</v>
      </c>
      <c r="ER4" s="5">
        <v>101.75</v>
      </c>
      <c r="ES4" s="5">
        <v>45</v>
      </c>
      <c r="ET4" s="5"/>
      <c r="EU4" s="5"/>
      <c r="EV4" s="5"/>
      <c r="EW4" s="5">
        <v>41.12</v>
      </c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>
        <v>0.25</v>
      </c>
      <c r="FN4" s="5">
        <v>144</v>
      </c>
      <c r="FO4" s="5">
        <v>10</v>
      </c>
      <c r="FP4" s="5">
        <v>36</v>
      </c>
      <c r="FQ4" s="5">
        <v>75.55</v>
      </c>
      <c r="FR4" s="5">
        <v>0</v>
      </c>
      <c r="FS4" s="5">
        <v>24</v>
      </c>
      <c r="FT4" s="5">
        <v>38</v>
      </c>
      <c r="FU4" s="5">
        <v>21</v>
      </c>
      <c r="FV4" s="5">
        <v>17</v>
      </c>
      <c r="FW4" s="5">
        <v>0.5</v>
      </c>
      <c r="FX4" s="5">
        <v>4</v>
      </c>
      <c r="FY4" s="5">
        <v>34</v>
      </c>
      <c r="FZ4" s="5">
        <v>44</v>
      </c>
      <c r="GA4" s="5">
        <v>1</v>
      </c>
      <c r="GB4" s="5">
        <v>120</v>
      </c>
      <c r="GC4" s="5">
        <v>3</v>
      </c>
      <c r="GD4" s="5">
        <v>20</v>
      </c>
      <c r="GE4" s="5">
        <v>24</v>
      </c>
      <c r="GF4" s="5">
        <v>1</v>
      </c>
      <c r="GG4" s="5"/>
      <c r="GH4" s="5"/>
      <c r="GI4" s="5"/>
      <c r="GJ4" s="5"/>
      <c r="GK4" s="5">
        <v>0</v>
      </c>
      <c r="GL4" s="5"/>
      <c r="GM4" s="5"/>
      <c r="GN4" s="5"/>
      <c r="GO4" s="5"/>
      <c r="GP4" s="5"/>
      <c r="GQ4" s="5"/>
      <c r="GR4" s="5"/>
      <c r="GS4" s="5"/>
    </row>
    <row r="5" spans="1:201" s="1" customFormat="1" ht="15.75" customHeight="1" x14ac:dyDescent="0.25">
      <c r="A5" s="4" t="s">
        <v>472</v>
      </c>
      <c r="B5" s="5" t="s">
        <v>473</v>
      </c>
      <c r="C5" s="5">
        <v>50</v>
      </c>
      <c r="D5" s="5">
        <v>21</v>
      </c>
      <c r="E5" s="6">
        <v>15.333333333300001</v>
      </c>
      <c r="F5" s="5" t="s">
        <v>469</v>
      </c>
      <c r="G5" s="5"/>
      <c r="H5" s="5">
        <f t="shared" ref="H5:H65" si="0">D5*12</f>
        <v>252</v>
      </c>
      <c r="I5" s="5">
        <f>D5*12/2+7</f>
        <v>133</v>
      </c>
      <c r="J5" s="5">
        <f>I5-12</f>
        <v>121</v>
      </c>
      <c r="K5" s="5">
        <v>180</v>
      </c>
      <c r="L5" s="5">
        <v>1</v>
      </c>
      <c r="M5" s="5">
        <v>8</v>
      </c>
      <c r="N5" s="5"/>
      <c r="O5" s="5"/>
      <c r="P5" s="5"/>
      <c r="Q5" s="5"/>
      <c r="R5" s="5"/>
      <c r="S5" s="5"/>
      <c r="T5" s="5">
        <f>I5-7</f>
        <v>126</v>
      </c>
      <c r="U5" s="5">
        <v>84.490200000000002</v>
      </c>
      <c r="V5" s="5">
        <v>84</v>
      </c>
      <c r="W5" s="5">
        <v>0.25</v>
      </c>
      <c r="X5" s="5"/>
      <c r="Y5" s="5">
        <v>8</v>
      </c>
      <c r="Z5" s="5">
        <f>U5</f>
        <v>84.490200000000002</v>
      </c>
      <c r="AA5" s="5">
        <v>48.209400000000002</v>
      </c>
      <c r="AB5" s="5">
        <v>73.4375</v>
      </c>
      <c r="AC5" s="5">
        <v>0.25</v>
      </c>
      <c r="AD5" s="5">
        <v>60</v>
      </c>
      <c r="AE5" s="5">
        <v>6</v>
      </c>
      <c r="AF5" s="5">
        <v>60</v>
      </c>
      <c r="AG5" s="5">
        <f>AA5</f>
        <v>48.209400000000002</v>
      </c>
      <c r="AH5" s="5">
        <v>44.933750000000003</v>
      </c>
      <c r="AI5" s="5">
        <v>78.4375</v>
      </c>
      <c r="AJ5" s="5">
        <v>0.25</v>
      </c>
      <c r="AK5" s="5">
        <v>36</v>
      </c>
      <c r="AL5" s="5">
        <v>10</v>
      </c>
      <c r="AM5" s="5">
        <v>60</v>
      </c>
      <c r="AN5" s="5" t="s">
        <v>470</v>
      </c>
      <c r="AO5" s="5" t="s">
        <v>470</v>
      </c>
      <c r="AP5" s="5" t="s">
        <v>470</v>
      </c>
      <c r="AQ5" s="5"/>
      <c r="AR5" s="5"/>
      <c r="AS5" s="5" t="s">
        <v>470</v>
      </c>
      <c r="AT5" s="5">
        <v>60</v>
      </c>
      <c r="AU5" s="5" t="s">
        <v>470</v>
      </c>
      <c r="AV5" s="5" t="s">
        <v>470</v>
      </c>
      <c r="AW5" s="5" t="s">
        <v>470</v>
      </c>
      <c r="AX5" s="5" t="s">
        <v>470</v>
      </c>
      <c r="AY5" s="5"/>
      <c r="AZ5" s="5" t="s">
        <v>470</v>
      </c>
      <c r="BA5" s="5">
        <v>84</v>
      </c>
      <c r="BB5" s="5">
        <f>21*12</f>
        <v>252</v>
      </c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>
        <v>60</v>
      </c>
      <c r="DF5" s="5">
        <v>42</v>
      </c>
      <c r="DG5" s="5">
        <v>59.564999999999998</v>
      </c>
      <c r="DH5" s="5">
        <v>42.4375</v>
      </c>
      <c r="DI5" s="5">
        <v>0.3125</v>
      </c>
      <c r="DJ5" s="5">
        <v>45</v>
      </c>
      <c r="DK5" s="5">
        <v>8</v>
      </c>
      <c r="DL5" s="5">
        <v>101.8125</v>
      </c>
      <c r="DM5" s="5">
        <v>59.564999999999998</v>
      </c>
      <c r="DN5" s="5">
        <v>42.25</v>
      </c>
      <c r="DO5" s="5">
        <v>0.3125</v>
      </c>
      <c r="DP5" s="12">
        <v>90</v>
      </c>
      <c r="DQ5" s="5">
        <v>4</v>
      </c>
      <c r="DR5" s="13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>
        <v>144</v>
      </c>
      <c r="ER5" s="5">
        <v>16</v>
      </c>
      <c r="ES5" s="5">
        <v>-45</v>
      </c>
      <c r="ET5" s="5">
        <v>41.12</v>
      </c>
      <c r="EU5" s="5"/>
      <c r="EV5" s="5">
        <v>24</v>
      </c>
      <c r="EW5" s="5">
        <v>0.25</v>
      </c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>
        <v>144</v>
      </c>
      <c r="FO5" s="5">
        <v>10</v>
      </c>
      <c r="FP5" s="5">
        <v>40.32</v>
      </c>
      <c r="FQ5" s="5">
        <v>75.55</v>
      </c>
      <c r="FR5" s="5" t="s">
        <v>470</v>
      </c>
      <c r="FS5" s="5">
        <v>24</v>
      </c>
      <c r="FT5" s="5">
        <v>76</v>
      </c>
      <c r="FU5" s="5">
        <v>48</v>
      </c>
      <c r="FV5" s="5">
        <v>14</v>
      </c>
      <c r="FW5" s="5">
        <v>0.5</v>
      </c>
      <c r="FX5" s="5">
        <v>4</v>
      </c>
      <c r="FY5" s="5">
        <v>68</v>
      </c>
      <c r="FZ5" s="5">
        <v>88</v>
      </c>
      <c r="GA5" s="5">
        <v>1</v>
      </c>
      <c r="GB5" s="5"/>
      <c r="GC5" s="5">
        <v>2</v>
      </c>
      <c r="GD5" s="5">
        <v>46</v>
      </c>
      <c r="GE5" s="5">
        <v>54</v>
      </c>
      <c r="GF5" s="5">
        <v>1</v>
      </c>
      <c r="GG5" s="5">
        <f>4*12</f>
        <v>48</v>
      </c>
      <c r="GH5" s="5">
        <f>26.75*12</f>
        <v>321</v>
      </c>
      <c r="GI5" s="5">
        <v>0.375</v>
      </c>
      <c r="GJ5" s="5">
        <v>0.375</v>
      </c>
      <c r="GK5" s="5">
        <v>0.375</v>
      </c>
      <c r="GL5" s="5">
        <v>0.375</v>
      </c>
      <c r="GM5" s="5"/>
      <c r="GN5" s="5"/>
      <c r="GO5" s="5"/>
      <c r="GP5" s="5"/>
      <c r="GQ5" s="5"/>
      <c r="GR5" s="5"/>
      <c r="GS5" s="5"/>
    </row>
    <row r="6" spans="1:201" s="1" customFormat="1" ht="15.75" customHeight="1" x14ac:dyDescent="0.25">
      <c r="A6" s="4" t="s">
        <v>474</v>
      </c>
      <c r="B6" s="5"/>
      <c r="C6" s="5">
        <v>50</v>
      </c>
      <c r="D6" s="5">
        <v>23</v>
      </c>
      <c r="E6" s="6">
        <v>22.333333333300001</v>
      </c>
      <c r="F6" s="5" t="s">
        <v>469</v>
      </c>
      <c r="G6" s="5">
        <v>0</v>
      </c>
      <c r="H6" s="5">
        <f t="shared" si="0"/>
        <v>276</v>
      </c>
      <c r="I6" s="5">
        <f t="shared" ref="I6:I37" si="1">D6*12/2+7</f>
        <v>145</v>
      </c>
      <c r="J6" s="5">
        <f t="shared" ref="J6:J66" si="2">I6-12</f>
        <v>133</v>
      </c>
      <c r="K6" s="5">
        <v>45</v>
      </c>
      <c r="L6" s="5">
        <v>1</v>
      </c>
      <c r="M6" s="5">
        <v>8</v>
      </c>
      <c r="N6" s="5">
        <v>12</v>
      </c>
      <c r="O6" s="5">
        <v>15</v>
      </c>
      <c r="P6" s="5">
        <v>12</v>
      </c>
      <c r="Q6" s="5">
        <v>24</v>
      </c>
      <c r="R6" s="5" t="s">
        <v>470</v>
      </c>
      <c r="S6" s="5">
        <v>24</v>
      </c>
      <c r="T6" s="5">
        <f t="shared" ref="T6:T37" si="3">I6-7</f>
        <v>138</v>
      </c>
      <c r="U6" s="5">
        <v>106.640625</v>
      </c>
      <c r="V6" s="5">
        <v>84</v>
      </c>
      <c r="W6" s="5">
        <v>0.25</v>
      </c>
      <c r="X6" s="5">
        <v>45</v>
      </c>
      <c r="Y6" s="5">
        <v>8</v>
      </c>
      <c r="Z6" s="5">
        <v>106.640625</v>
      </c>
      <c r="AA6" s="5">
        <v>75.28125</v>
      </c>
      <c r="AB6" s="5">
        <v>84</v>
      </c>
      <c r="AC6" s="5">
        <v>0.25</v>
      </c>
      <c r="AD6" s="5">
        <v>60</v>
      </c>
      <c r="AE6" s="5">
        <v>6</v>
      </c>
      <c r="AF6" s="5">
        <v>0</v>
      </c>
      <c r="AG6" s="5">
        <v>75.28125</v>
      </c>
      <c r="AH6" s="5">
        <v>45.78125</v>
      </c>
      <c r="AI6" s="5">
        <v>79</v>
      </c>
      <c r="AJ6" s="5">
        <v>0.3125</v>
      </c>
      <c r="AK6" s="5">
        <v>90</v>
      </c>
      <c r="AL6" s="5">
        <v>4</v>
      </c>
      <c r="AM6" s="5">
        <v>60</v>
      </c>
      <c r="AN6" s="5">
        <v>45.78125</v>
      </c>
      <c r="AO6" s="5">
        <v>42</v>
      </c>
      <c r="AP6" s="5">
        <v>21</v>
      </c>
      <c r="AQ6" s="5">
        <v>0.3125</v>
      </c>
      <c r="AR6" s="5">
        <v>36</v>
      </c>
      <c r="AS6" s="5">
        <v>10</v>
      </c>
      <c r="AT6" s="5" t="s">
        <v>470</v>
      </c>
      <c r="AU6" s="5" t="s">
        <v>470</v>
      </c>
      <c r="AV6" s="5" t="s">
        <v>470</v>
      </c>
      <c r="AW6" s="5" t="s">
        <v>470</v>
      </c>
      <c r="AX6" s="5" t="s">
        <v>470</v>
      </c>
      <c r="AY6" s="5" t="s">
        <v>470</v>
      </c>
      <c r="AZ6" s="5" t="s">
        <v>470</v>
      </c>
      <c r="BA6" s="5">
        <v>84</v>
      </c>
      <c r="BB6" s="5">
        <v>96</v>
      </c>
      <c r="BC6" s="5">
        <v>84</v>
      </c>
      <c r="BD6" s="5">
        <v>96</v>
      </c>
      <c r="BE6" s="5">
        <v>0.375</v>
      </c>
      <c r="BF6" s="5">
        <v>84</v>
      </c>
      <c r="BG6" s="5">
        <v>96</v>
      </c>
      <c r="BH6" s="5">
        <v>0.375</v>
      </c>
      <c r="BI6" s="5">
        <v>84</v>
      </c>
      <c r="BJ6" s="5">
        <v>96</v>
      </c>
      <c r="BK6" s="5">
        <v>0.375</v>
      </c>
      <c r="BL6" s="5">
        <v>84</v>
      </c>
      <c r="BM6" s="5">
        <v>96</v>
      </c>
      <c r="BN6" s="5">
        <v>0.375</v>
      </c>
      <c r="BO6" s="5">
        <v>84</v>
      </c>
      <c r="BP6" s="5">
        <v>96</v>
      </c>
      <c r="BQ6" s="5">
        <v>0.375</v>
      </c>
      <c r="BR6" s="5">
        <v>84</v>
      </c>
      <c r="BS6" s="5">
        <v>96</v>
      </c>
      <c r="BT6" s="5">
        <v>0.375</v>
      </c>
      <c r="BU6" s="5">
        <v>84</v>
      </c>
      <c r="BV6" s="5">
        <v>96</v>
      </c>
      <c r="BW6" s="5">
        <v>0.375</v>
      </c>
      <c r="BX6" s="5">
        <v>84</v>
      </c>
      <c r="BY6" s="5">
        <v>96</v>
      </c>
      <c r="BZ6" s="5">
        <v>0.375</v>
      </c>
      <c r="CA6" s="5" t="s">
        <v>470</v>
      </c>
      <c r="CB6" s="5" t="s">
        <v>470</v>
      </c>
      <c r="CC6" s="5"/>
      <c r="CD6" s="5" t="s">
        <v>470</v>
      </c>
      <c r="CE6" s="5" t="s">
        <v>470</v>
      </c>
      <c r="CF6" s="5"/>
      <c r="CG6" s="5" t="s">
        <v>470</v>
      </c>
      <c r="CH6" s="5" t="s">
        <v>470</v>
      </c>
      <c r="CI6" s="5"/>
      <c r="CJ6" s="5" t="s">
        <v>470</v>
      </c>
      <c r="CK6" s="5" t="s">
        <v>470</v>
      </c>
      <c r="CL6" s="5"/>
      <c r="CM6" s="5" t="s">
        <v>470</v>
      </c>
      <c r="CN6" s="5" t="s">
        <v>470</v>
      </c>
      <c r="CO6" s="5"/>
      <c r="CP6" s="5" t="s">
        <v>470</v>
      </c>
      <c r="CQ6" s="5" t="s">
        <v>470</v>
      </c>
      <c r="CR6" s="5"/>
      <c r="CS6" s="5" t="s">
        <v>470</v>
      </c>
      <c r="CT6" s="5" t="s">
        <v>470</v>
      </c>
      <c r="CU6" s="5"/>
      <c r="CV6" s="5" t="s">
        <v>470</v>
      </c>
      <c r="CW6" s="5" t="s">
        <v>470</v>
      </c>
      <c r="CX6" s="5"/>
      <c r="CY6" s="5" t="s">
        <v>470</v>
      </c>
      <c r="CZ6" s="5" t="s">
        <v>470</v>
      </c>
      <c r="DA6" s="5"/>
      <c r="DB6" s="5" t="s">
        <v>470</v>
      </c>
      <c r="DC6" s="5" t="s">
        <v>470</v>
      </c>
      <c r="DD6" s="5"/>
      <c r="DE6" s="5">
        <v>60</v>
      </c>
      <c r="DF6" s="5">
        <v>42</v>
      </c>
      <c r="DG6" s="5">
        <v>59.564999999999998</v>
      </c>
      <c r="DH6" s="5">
        <v>42.4375</v>
      </c>
      <c r="DI6" s="5">
        <v>0.5</v>
      </c>
      <c r="DJ6" s="5">
        <v>45</v>
      </c>
      <c r="DK6" s="5">
        <v>8</v>
      </c>
      <c r="DL6" s="5">
        <v>101.8125</v>
      </c>
      <c r="DM6" s="5">
        <v>59.564999999999998</v>
      </c>
      <c r="DN6" s="5">
        <v>42.25</v>
      </c>
      <c r="DO6" s="5">
        <v>0.25</v>
      </c>
      <c r="DP6" s="12">
        <v>90</v>
      </c>
      <c r="DQ6" s="5">
        <v>4</v>
      </c>
      <c r="DR6" s="13" t="s">
        <v>470</v>
      </c>
      <c r="DS6" s="5" t="s">
        <v>470</v>
      </c>
      <c r="DT6" s="5" t="s">
        <v>470</v>
      </c>
      <c r="DU6" s="5" t="s">
        <v>470</v>
      </c>
      <c r="DV6" s="5" t="s">
        <v>470</v>
      </c>
      <c r="DW6" s="5" t="s">
        <v>470</v>
      </c>
      <c r="DX6" s="5" t="s">
        <v>470</v>
      </c>
      <c r="DY6" s="5" t="s">
        <v>470</v>
      </c>
      <c r="DZ6" s="5" t="s">
        <v>470</v>
      </c>
      <c r="EA6" s="5" t="s">
        <v>470</v>
      </c>
      <c r="EB6" s="5" t="s">
        <v>470</v>
      </c>
      <c r="EC6" s="5" t="s">
        <v>470</v>
      </c>
      <c r="ED6" s="5" t="s">
        <v>470</v>
      </c>
      <c r="EE6" s="5" t="s">
        <v>470</v>
      </c>
      <c r="EF6" s="5" t="s">
        <v>470</v>
      </c>
      <c r="EG6" s="5" t="s">
        <v>470</v>
      </c>
      <c r="EH6" s="5" t="s">
        <v>470</v>
      </c>
      <c r="EI6" s="5" t="s">
        <v>470</v>
      </c>
      <c r="EJ6" s="5" t="s">
        <v>470</v>
      </c>
      <c r="EK6" s="5" t="s">
        <v>470</v>
      </c>
      <c r="EL6" s="5" t="s">
        <v>470</v>
      </c>
      <c r="EM6" s="5" t="s">
        <v>470</v>
      </c>
      <c r="EN6" s="5" t="s">
        <v>470</v>
      </c>
      <c r="EO6" s="5" t="s">
        <v>470</v>
      </c>
      <c r="EP6" s="5">
        <v>0.25</v>
      </c>
      <c r="EQ6" s="5">
        <v>101.75</v>
      </c>
      <c r="ER6" s="5">
        <v>101.75</v>
      </c>
      <c r="ES6" s="5">
        <v>45</v>
      </c>
      <c r="ET6" s="5"/>
      <c r="EU6" s="5"/>
      <c r="EV6" s="5"/>
      <c r="EW6" s="5">
        <v>41.12</v>
      </c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>
        <v>0.25</v>
      </c>
      <c r="FN6" s="5">
        <v>144</v>
      </c>
      <c r="FO6" s="5">
        <v>10</v>
      </c>
      <c r="FP6" s="5">
        <v>36</v>
      </c>
      <c r="FQ6" s="5">
        <v>75.55</v>
      </c>
      <c r="FR6" s="5">
        <v>0</v>
      </c>
      <c r="FS6" s="5">
        <v>24</v>
      </c>
      <c r="FT6" s="5">
        <v>38</v>
      </c>
      <c r="FU6" s="5">
        <v>21</v>
      </c>
      <c r="FV6" s="5">
        <v>17</v>
      </c>
      <c r="FW6" s="5">
        <v>0.5</v>
      </c>
      <c r="FX6" s="5">
        <v>4</v>
      </c>
      <c r="FY6" s="5">
        <v>34</v>
      </c>
      <c r="FZ6" s="5">
        <v>44</v>
      </c>
      <c r="GA6" s="5">
        <v>1</v>
      </c>
      <c r="GB6" s="5">
        <v>120</v>
      </c>
      <c r="GC6" s="5">
        <v>3</v>
      </c>
      <c r="GD6" s="5">
        <v>20</v>
      </c>
      <c r="GE6" s="5">
        <v>24</v>
      </c>
      <c r="GF6" s="5">
        <v>1</v>
      </c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</row>
    <row r="7" spans="1:201" s="1" customFormat="1" ht="15.75" customHeight="1" x14ac:dyDescent="0.25">
      <c r="A7" s="4" t="s">
        <v>475</v>
      </c>
      <c r="B7" s="5"/>
      <c r="C7" s="5">
        <v>75</v>
      </c>
      <c r="D7" s="5">
        <v>21</v>
      </c>
      <c r="E7" s="6">
        <v>22.333333333300001</v>
      </c>
      <c r="F7" s="5" t="s">
        <v>469</v>
      </c>
      <c r="G7" s="5">
        <v>0</v>
      </c>
      <c r="H7" s="5">
        <f>D7*12</f>
        <v>252</v>
      </c>
      <c r="I7" s="5">
        <f>D7*12/2+7</f>
        <v>133</v>
      </c>
      <c r="J7" s="5">
        <f>I7-12</f>
        <v>121</v>
      </c>
      <c r="K7" s="5">
        <v>45</v>
      </c>
      <c r="L7" s="5">
        <v>1</v>
      </c>
      <c r="M7" s="5">
        <v>8</v>
      </c>
      <c r="N7" s="5">
        <v>8</v>
      </c>
      <c r="O7" s="5">
        <v>22.5</v>
      </c>
      <c r="P7" s="5">
        <v>8</v>
      </c>
      <c r="Q7" s="5">
        <v>16</v>
      </c>
      <c r="R7" s="5" t="s">
        <v>470</v>
      </c>
      <c r="S7" s="5">
        <v>16</v>
      </c>
      <c r="T7" s="5">
        <f t="shared" si="3"/>
        <v>126</v>
      </c>
      <c r="U7" s="5">
        <v>97.734375</v>
      </c>
      <c r="V7" s="5">
        <v>84</v>
      </c>
      <c r="W7" s="5">
        <v>0.3125</v>
      </c>
      <c r="X7" s="5">
        <v>45</v>
      </c>
      <c r="Y7" s="5">
        <v>8</v>
      </c>
      <c r="Z7" s="5">
        <v>97.734375</v>
      </c>
      <c r="AA7" s="5">
        <v>70.4375</v>
      </c>
      <c r="AB7" s="5">
        <v>84</v>
      </c>
      <c r="AC7" s="5">
        <v>0.3125</v>
      </c>
      <c r="AD7" s="5">
        <v>60</v>
      </c>
      <c r="AE7" s="5">
        <v>6</v>
      </c>
      <c r="AF7" s="5">
        <v>0</v>
      </c>
      <c r="AG7" s="5">
        <v>70.4375</v>
      </c>
      <c r="AH7" s="5">
        <v>44.9375</v>
      </c>
      <c r="AI7" s="5">
        <v>78.4375</v>
      </c>
      <c r="AJ7" s="5">
        <v>0.375</v>
      </c>
      <c r="AK7" s="5">
        <v>90</v>
      </c>
      <c r="AL7" s="5">
        <v>4</v>
      </c>
      <c r="AM7" s="5"/>
      <c r="AN7" s="5">
        <v>44.9375</v>
      </c>
      <c r="AO7" s="5">
        <v>42</v>
      </c>
      <c r="AP7" s="5">
        <v>18.5625</v>
      </c>
      <c r="AQ7" s="5">
        <v>0.5</v>
      </c>
      <c r="AR7" s="5">
        <v>36</v>
      </c>
      <c r="AS7" s="5">
        <v>10</v>
      </c>
      <c r="AT7" s="5" t="s">
        <v>470</v>
      </c>
      <c r="AU7" s="5" t="s">
        <v>470</v>
      </c>
      <c r="AV7" s="5" t="s">
        <v>470</v>
      </c>
      <c r="AW7" s="5" t="s">
        <v>470</v>
      </c>
      <c r="AX7" s="5" t="s">
        <v>470</v>
      </c>
      <c r="AY7" s="5" t="s">
        <v>470</v>
      </c>
      <c r="AZ7" s="5" t="s">
        <v>470</v>
      </c>
      <c r="BA7" s="5">
        <v>84</v>
      </c>
      <c r="BB7" s="5">
        <v>96</v>
      </c>
      <c r="BC7" s="5">
        <v>84</v>
      </c>
      <c r="BD7" s="5">
        <v>96</v>
      </c>
      <c r="BE7" s="5">
        <v>0.375</v>
      </c>
      <c r="BF7" s="5">
        <v>84</v>
      </c>
      <c r="BG7" s="5">
        <v>96</v>
      </c>
      <c r="BH7" s="5">
        <v>0.375</v>
      </c>
      <c r="BI7" s="5">
        <v>84</v>
      </c>
      <c r="BJ7" s="5">
        <v>96</v>
      </c>
      <c r="BK7" s="5">
        <v>0.375</v>
      </c>
      <c r="BL7" s="5">
        <v>84</v>
      </c>
      <c r="BM7" s="5">
        <v>96</v>
      </c>
      <c r="BN7" s="5">
        <v>0.375</v>
      </c>
      <c r="BO7" s="5">
        <v>84</v>
      </c>
      <c r="BP7" s="5">
        <v>96</v>
      </c>
      <c r="BQ7" s="5">
        <v>0.375</v>
      </c>
      <c r="BR7" s="5">
        <v>84</v>
      </c>
      <c r="BS7" s="5">
        <v>96</v>
      </c>
      <c r="BT7" s="5">
        <v>0.375</v>
      </c>
      <c r="BU7" s="5">
        <v>84</v>
      </c>
      <c r="BV7" s="5">
        <v>96</v>
      </c>
      <c r="BW7" s="5">
        <v>0.375</v>
      </c>
      <c r="BX7" s="5">
        <v>84</v>
      </c>
      <c r="BY7" s="5">
        <v>96</v>
      </c>
      <c r="BZ7" s="5">
        <v>0.375</v>
      </c>
      <c r="CA7" s="5" t="s">
        <v>470</v>
      </c>
      <c r="CB7" s="5" t="s">
        <v>470</v>
      </c>
      <c r="CC7" s="5"/>
      <c r="CD7" s="5" t="s">
        <v>470</v>
      </c>
      <c r="CE7" s="5" t="s">
        <v>470</v>
      </c>
      <c r="CF7" s="5"/>
      <c r="CG7" s="5" t="s">
        <v>470</v>
      </c>
      <c r="CH7" s="5" t="s">
        <v>470</v>
      </c>
      <c r="CI7" s="5"/>
      <c r="CJ7" s="5" t="s">
        <v>470</v>
      </c>
      <c r="CK7" s="5" t="s">
        <v>470</v>
      </c>
      <c r="CL7" s="5"/>
      <c r="CM7" s="5" t="s">
        <v>470</v>
      </c>
      <c r="CN7" s="5" t="s">
        <v>470</v>
      </c>
      <c r="CO7" s="5"/>
      <c r="CP7" s="5" t="s">
        <v>470</v>
      </c>
      <c r="CQ7" s="5" t="s">
        <v>470</v>
      </c>
      <c r="CR7" s="5"/>
      <c r="CS7" s="5" t="s">
        <v>470</v>
      </c>
      <c r="CT7" s="5" t="s">
        <v>470</v>
      </c>
      <c r="CU7" s="5"/>
      <c r="CV7" s="5" t="s">
        <v>470</v>
      </c>
      <c r="CW7" s="5" t="s">
        <v>470</v>
      </c>
      <c r="CX7" s="5"/>
      <c r="CY7" s="5" t="s">
        <v>470</v>
      </c>
      <c r="CZ7" s="5" t="s">
        <v>470</v>
      </c>
      <c r="DA7" s="5"/>
      <c r="DB7" s="5" t="s">
        <v>470</v>
      </c>
      <c r="DC7" s="5" t="s">
        <v>470</v>
      </c>
      <c r="DD7" s="5"/>
      <c r="DE7" s="5">
        <v>60</v>
      </c>
      <c r="DF7" s="5">
        <v>42</v>
      </c>
      <c r="DG7" s="5">
        <v>59.5625</v>
      </c>
      <c r="DH7" s="5">
        <v>42.4375</v>
      </c>
      <c r="DI7" s="5">
        <v>0.5</v>
      </c>
      <c r="DJ7" s="5">
        <v>45</v>
      </c>
      <c r="DK7" s="5">
        <v>8</v>
      </c>
      <c r="DL7" s="5">
        <v>114.5625</v>
      </c>
      <c r="DM7" s="5">
        <v>59.5625</v>
      </c>
      <c r="DN7" s="5">
        <v>55</v>
      </c>
      <c r="DO7" s="5">
        <v>0.375</v>
      </c>
      <c r="DP7" s="12">
        <v>90</v>
      </c>
      <c r="DQ7" s="5">
        <v>4</v>
      </c>
      <c r="DR7" s="13" t="s">
        <v>470</v>
      </c>
      <c r="DS7" s="5" t="s">
        <v>470</v>
      </c>
      <c r="DT7" s="5" t="s">
        <v>470</v>
      </c>
      <c r="DU7" s="5" t="s">
        <v>470</v>
      </c>
      <c r="DV7" s="5" t="s">
        <v>470</v>
      </c>
      <c r="DW7" s="5" t="s">
        <v>470</v>
      </c>
      <c r="DX7" s="5" t="s">
        <v>470</v>
      </c>
      <c r="DY7" s="5" t="s">
        <v>470</v>
      </c>
      <c r="DZ7" s="5" t="s">
        <v>470</v>
      </c>
      <c r="EA7" s="5" t="s">
        <v>470</v>
      </c>
      <c r="EB7" s="5" t="s">
        <v>470</v>
      </c>
      <c r="EC7" s="5" t="s">
        <v>470</v>
      </c>
      <c r="ED7" s="5" t="s">
        <v>470</v>
      </c>
      <c r="EE7" s="5" t="s">
        <v>470</v>
      </c>
      <c r="EF7" s="5" t="s">
        <v>470</v>
      </c>
      <c r="EG7" s="5" t="s">
        <v>470</v>
      </c>
      <c r="EH7" s="5" t="s">
        <v>470</v>
      </c>
      <c r="EI7" s="5" t="s">
        <v>470</v>
      </c>
      <c r="EJ7" s="5" t="s">
        <v>470</v>
      </c>
      <c r="EK7" s="5" t="s">
        <v>470</v>
      </c>
      <c r="EL7" s="5" t="s">
        <v>470</v>
      </c>
      <c r="EM7" s="5" t="s">
        <v>470</v>
      </c>
      <c r="EN7" s="5" t="s">
        <v>470</v>
      </c>
      <c r="EO7" s="5" t="s">
        <v>470</v>
      </c>
      <c r="EP7" s="5">
        <v>0.25</v>
      </c>
      <c r="EQ7" s="5">
        <v>114.5</v>
      </c>
      <c r="ER7" s="5">
        <v>114.5</v>
      </c>
      <c r="ES7" s="5">
        <v>141.3125</v>
      </c>
      <c r="ET7" s="5"/>
      <c r="EU7" s="5"/>
      <c r="EV7" s="5">
        <v>45</v>
      </c>
      <c r="EW7" s="5">
        <v>30</v>
      </c>
      <c r="EX7" s="5">
        <v>162</v>
      </c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>
        <v>0.25</v>
      </c>
      <c r="FN7" s="5">
        <v>162.25</v>
      </c>
      <c r="FO7" s="5">
        <v>14</v>
      </c>
      <c r="FP7" s="5">
        <v>29.292999999999999</v>
      </c>
      <c r="FQ7" s="5">
        <v>78.245999999999995</v>
      </c>
      <c r="FR7" s="5">
        <v>0</v>
      </c>
      <c r="FS7" s="5" t="s">
        <v>476</v>
      </c>
      <c r="FT7" s="5">
        <v>38</v>
      </c>
      <c r="FU7" s="5">
        <v>21</v>
      </c>
      <c r="FV7" s="5">
        <v>17</v>
      </c>
      <c r="FW7" s="5">
        <v>0.5</v>
      </c>
      <c r="FX7" s="5">
        <v>4</v>
      </c>
      <c r="FY7" s="5">
        <v>34</v>
      </c>
      <c r="FZ7" s="5">
        <v>44</v>
      </c>
      <c r="GA7" s="5">
        <v>1</v>
      </c>
      <c r="GB7" s="5">
        <v>120</v>
      </c>
      <c r="GC7" s="5">
        <v>3</v>
      </c>
      <c r="GD7" s="5">
        <v>20</v>
      </c>
      <c r="GE7" s="5">
        <v>24</v>
      </c>
      <c r="GF7" s="5">
        <v>1</v>
      </c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</row>
    <row r="8" spans="1:201" s="1" customFormat="1" ht="15.75" customHeight="1" x14ac:dyDescent="0.25">
      <c r="A8" s="4" t="s">
        <v>477</v>
      </c>
      <c r="B8" s="5"/>
      <c r="C8" s="5">
        <v>75</v>
      </c>
      <c r="D8" s="5">
        <v>28</v>
      </c>
      <c r="E8" s="6">
        <v>25</v>
      </c>
      <c r="F8" s="5" t="s">
        <v>469</v>
      </c>
      <c r="G8" s="5">
        <v>0</v>
      </c>
      <c r="H8" s="5">
        <f>D8*12</f>
        <v>336</v>
      </c>
      <c r="I8" s="5">
        <f>D8*12/2+7</f>
        <v>175</v>
      </c>
      <c r="J8" s="5">
        <f>I8-12</f>
        <v>163</v>
      </c>
      <c r="K8" s="5">
        <v>40</v>
      </c>
      <c r="L8" s="5">
        <v>0.875</v>
      </c>
      <c r="M8" s="5">
        <v>9</v>
      </c>
      <c r="N8" s="5">
        <v>12</v>
      </c>
      <c r="O8" s="5">
        <v>15</v>
      </c>
      <c r="P8" s="5">
        <v>12</v>
      </c>
      <c r="Q8" s="5">
        <v>24</v>
      </c>
      <c r="R8" s="5" t="s">
        <v>470</v>
      </c>
      <c r="S8" s="5">
        <v>24</v>
      </c>
      <c r="T8" s="5">
        <f t="shared" si="3"/>
        <v>168</v>
      </c>
      <c r="U8" s="5">
        <v>131.17670000000001</v>
      </c>
      <c r="V8" s="5">
        <v>84</v>
      </c>
      <c r="W8" s="5">
        <v>0.3125</v>
      </c>
      <c r="X8" s="5">
        <v>40</v>
      </c>
      <c r="Y8" s="5">
        <v>9</v>
      </c>
      <c r="Z8" s="5">
        <v>131.17670000000001</v>
      </c>
      <c r="AA8" s="5">
        <v>94.353300000000004</v>
      </c>
      <c r="AB8" s="5">
        <v>84</v>
      </c>
      <c r="AC8" s="5">
        <v>0.3125</v>
      </c>
      <c r="AD8" s="5">
        <v>45</v>
      </c>
      <c r="AE8" s="5">
        <v>8</v>
      </c>
      <c r="AF8" s="5">
        <v>0</v>
      </c>
      <c r="AG8" s="5">
        <v>94.353300000000004</v>
      </c>
      <c r="AH8" s="5">
        <v>57.53</v>
      </c>
      <c r="AI8" s="5">
        <v>84</v>
      </c>
      <c r="AJ8" s="5">
        <v>0.375</v>
      </c>
      <c r="AK8" s="5">
        <v>60</v>
      </c>
      <c r="AL8" s="5">
        <v>6</v>
      </c>
      <c r="AM8" s="5">
        <v>0</v>
      </c>
      <c r="AN8" s="5">
        <v>57.53</v>
      </c>
      <c r="AO8" s="5">
        <v>47.048200000000001</v>
      </c>
      <c r="AP8" s="5">
        <v>23.9375</v>
      </c>
      <c r="AQ8" s="5">
        <v>0.5</v>
      </c>
      <c r="AR8" s="5">
        <v>90</v>
      </c>
      <c r="AS8" s="5">
        <v>4</v>
      </c>
      <c r="AT8" s="5"/>
      <c r="AU8" s="5">
        <v>47.048200000000001</v>
      </c>
      <c r="AV8" s="5">
        <v>42</v>
      </c>
      <c r="AW8" s="5">
        <v>24.0625</v>
      </c>
      <c r="AX8" s="5">
        <v>0.5</v>
      </c>
      <c r="AY8" s="5">
        <v>36</v>
      </c>
      <c r="AZ8" s="5">
        <v>10</v>
      </c>
      <c r="BA8" s="5">
        <v>84</v>
      </c>
      <c r="BB8" s="5">
        <v>96</v>
      </c>
      <c r="BC8" s="5">
        <v>84</v>
      </c>
      <c r="BD8" s="5">
        <v>96</v>
      </c>
      <c r="BE8" s="5">
        <v>0.375</v>
      </c>
      <c r="BF8" s="5">
        <v>84</v>
      </c>
      <c r="BG8" s="5">
        <v>96</v>
      </c>
      <c r="BH8" s="5">
        <v>0.375</v>
      </c>
      <c r="BI8" s="5">
        <v>84</v>
      </c>
      <c r="BJ8" s="5">
        <v>96</v>
      </c>
      <c r="BK8" s="5">
        <v>0.375</v>
      </c>
      <c r="BL8" s="5">
        <v>84</v>
      </c>
      <c r="BM8" s="5">
        <v>96</v>
      </c>
      <c r="BN8" s="5">
        <v>0.375</v>
      </c>
      <c r="BO8" s="5">
        <v>84</v>
      </c>
      <c r="BP8" s="5">
        <v>96</v>
      </c>
      <c r="BQ8" s="5">
        <v>0.375</v>
      </c>
      <c r="BR8" s="5">
        <v>84</v>
      </c>
      <c r="BS8" s="5">
        <v>96</v>
      </c>
      <c r="BT8" s="5">
        <v>0.375</v>
      </c>
      <c r="BU8" s="5">
        <v>84</v>
      </c>
      <c r="BV8" s="5">
        <v>96</v>
      </c>
      <c r="BW8" s="5">
        <v>0.375</v>
      </c>
      <c r="BX8" s="5">
        <v>84</v>
      </c>
      <c r="BY8" s="5">
        <v>96</v>
      </c>
      <c r="BZ8" s="5">
        <v>0.375</v>
      </c>
      <c r="CA8" s="5" t="s">
        <v>470</v>
      </c>
      <c r="CB8" s="5" t="s">
        <v>470</v>
      </c>
      <c r="CC8" s="5"/>
      <c r="CD8" s="5" t="s">
        <v>470</v>
      </c>
      <c r="CE8" s="5" t="s">
        <v>470</v>
      </c>
      <c r="CF8" s="5"/>
      <c r="CG8" s="5" t="s">
        <v>470</v>
      </c>
      <c r="CH8" s="5" t="s">
        <v>470</v>
      </c>
      <c r="CI8" s="5"/>
      <c r="CJ8" s="5" t="s">
        <v>470</v>
      </c>
      <c r="CK8" s="5" t="s">
        <v>470</v>
      </c>
      <c r="CL8" s="5"/>
      <c r="CM8" s="5" t="s">
        <v>470</v>
      </c>
      <c r="CN8" s="5" t="s">
        <v>470</v>
      </c>
      <c r="CO8" s="5"/>
      <c r="CP8" s="5" t="s">
        <v>470</v>
      </c>
      <c r="CQ8" s="5" t="s">
        <v>470</v>
      </c>
      <c r="CR8" s="5"/>
      <c r="CS8" s="5" t="s">
        <v>470</v>
      </c>
      <c r="CT8" s="5" t="s">
        <v>470</v>
      </c>
      <c r="CU8" s="5"/>
      <c r="CV8" s="5" t="s">
        <v>470</v>
      </c>
      <c r="CW8" s="5" t="s">
        <v>470</v>
      </c>
      <c r="CX8" s="5"/>
      <c r="CY8" s="5" t="s">
        <v>470</v>
      </c>
      <c r="CZ8" s="5" t="s">
        <v>470</v>
      </c>
      <c r="DA8" s="5"/>
      <c r="DB8" s="5" t="s">
        <v>470</v>
      </c>
      <c r="DC8" s="5" t="s">
        <v>470</v>
      </c>
      <c r="DD8" s="5"/>
      <c r="DE8" s="5">
        <v>60</v>
      </c>
      <c r="DF8" s="5">
        <v>42</v>
      </c>
      <c r="DG8" s="5">
        <v>59.5625</v>
      </c>
      <c r="DH8" s="5">
        <v>42.4375</v>
      </c>
      <c r="DI8" s="5">
        <v>0.5</v>
      </c>
      <c r="DJ8" s="5">
        <v>45</v>
      </c>
      <c r="DK8" s="5">
        <v>8</v>
      </c>
      <c r="DL8" s="5">
        <v>114.5625</v>
      </c>
      <c r="DM8" s="5">
        <v>59.5625</v>
      </c>
      <c r="DN8" s="5">
        <v>55</v>
      </c>
      <c r="DO8" s="5">
        <v>0.375</v>
      </c>
      <c r="DP8" s="12">
        <v>90</v>
      </c>
      <c r="DQ8" s="5">
        <v>4</v>
      </c>
      <c r="DR8" s="13" t="s">
        <v>470</v>
      </c>
      <c r="DS8" s="5" t="s">
        <v>470</v>
      </c>
      <c r="DT8" s="5" t="s">
        <v>470</v>
      </c>
      <c r="DU8" s="5" t="s">
        <v>470</v>
      </c>
      <c r="DV8" s="5" t="s">
        <v>470</v>
      </c>
      <c r="DW8" s="5" t="s">
        <v>470</v>
      </c>
      <c r="DX8" s="5" t="s">
        <v>470</v>
      </c>
      <c r="DY8" s="5" t="s">
        <v>470</v>
      </c>
      <c r="DZ8" s="5" t="s">
        <v>470</v>
      </c>
      <c r="EA8" s="5" t="s">
        <v>470</v>
      </c>
      <c r="EB8" s="5" t="s">
        <v>470</v>
      </c>
      <c r="EC8" s="5" t="s">
        <v>470</v>
      </c>
      <c r="ED8" s="5" t="s">
        <v>470</v>
      </c>
      <c r="EE8" s="5" t="s">
        <v>470</v>
      </c>
      <c r="EF8" s="5" t="s">
        <v>470</v>
      </c>
      <c r="EG8" s="5" t="s">
        <v>470</v>
      </c>
      <c r="EH8" s="5" t="s">
        <v>470</v>
      </c>
      <c r="EI8" s="5" t="s">
        <v>470</v>
      </c>
      <c r="EJ8" s="5" t="s">
        <v>470</v>
      </c>
      <c r="EK8" s="5" t="s">
        <v>470</v>
      </c>
      <c r="EL8" s="5" t="s">
        <v>470</v>
      </c>
      <c r="EM8" s="5" t="s">
        <v>470</v>
      </c>
      <c r="EN8" s="5" t="s">
        <v>470</v>
      </c>
      <c r="EO8" s="5" t="s">
        <v>470</v>
      </c>
      <c r="EP8" s="5">
        <v>0.25</v>
      </c>
      <c r="EQ8" s="5">
        <v>114.5</v>
      </c>
      <c r="ER8" s="5">
        <v>114.5</v>
      </c>
      <c r="ES8" s="5">
        <v>141.3125</v>
      </c>
      <c r="ET8" s="5"/>
      <c r="EU8" s="5"/>
      <c r="EV8" s="5">
        <v>45</v>
      </c>
      <c r="EW8" s="5">
        <v>30</v>
      </c>
      <c r="EX8" s="5">
        <v>162</v>
      </c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>
        <v>0.25</v>
      </c>
      <c r="FN8" s="5">
        <v>162.25</v>
      </c>
      <c r="FO8" s="5">
        <v>14</v>
      </c>
      <c r="FP8" s="5">
        <v>29.292999999999999</v>
      </c>
      <c r="FQ8" s="5">
        <v>78.245999999999995</v>
      </c>
      <c r="FR8" s="5">
        <v>0</v>
      </c>
      <c r="FS8" s="5" t="s">
        <v>476</v>
      </c>
      <c r="FT8" s="5">
        <v>38</v>
      </c>
      <c r="FU8" s="5">
        <v>21</v>
      </c>
      <c r="FV8" s="5">
        <v>17</v>
      </c>
      <c r="FW8" s="5">
        <v>0.5</v>
      </c>
      <c r="FX8" s="5">
        <v>4</v>
      </c>
      <c r="FY8" s="5">
        <v>34</v>
      </c>
      <c r="FZ8" s="5">
        <v>44</v>
      </c>
      <c r="GA8" s="5">
        <v>1</v>
      </c>
      <c r="GB8" s="5">
        <v>120</v>
      </c>
      <c r="GC8" s="5">
        <v>3</v>
      </c>
      <c r="GD8" s="5">
        <v>20</v>
      </c>
      <c r="GE8" s="5">
        <v>24</v>
      </c>
      <c r="GF8" s="5">
        <v>1</v>
      </c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</row>
    <row r="9" spans="1:201" s="1" customFormat="1" ht="15.75" customHeight="1" x14ac:dyDescent="0.25">
      <c r="A9" s="4" t="s">
        <v>478</v>
      </c>
      <c r="B9" s="5" t="s">
        <v>479</v>
      </c>
      <c r="C9" s="5">
        <v>100</v>
      </c>
      <c r="D9" s="5">
        <v>21</v>
      </c>
      <c r="E9" s="6">
        <v>22.333333333300001</v>
      </c>
      <c r="F9" s="5" t="s">
        <v>469</v>
      </c>
      <c r="G9" s="5">
        <v>0</v>
      </c>
      <c r="H9" s="5">
        <f>D9*12</f>
        <v>252</v>
      </c>
      <c r="I9" s="5">
        <f>D9*12/2+7</f>
        <v>133</v>
      </c>
      <c r="J9" s="5">
        <f>I9-12</f>
        <v>121</v>
      </c>
      <c r="K9" s="5">
        <v>0</v>
      </c>
      <c r="L9" s="5">
        <v>0.75</v>
      </c>
      <c r="M9" s="5">
        <v>8</v>
      </c>
      <c r="N9" s="5">
        <v>12</v>
      </c>
      <c r="O9" s="5">
        <v>15</v>
      </c>
      <c r="P9" s="5">
        <v>12</v>
      </c>
      <c r="Q9" s="5">
        <v>24</v>
      </c>
      <c r="R9" s="5" t="s">
        <v>470</v>
      </c>
      <c r="S9" s="5">
        <v>24</v>
      </c>
      <c r="T9" s="5">
        <f t="shared" si="3"/>
        <v>126</v>
      </c>
      <c r="U9" s="5">
        <v>97.728800000000007</v>
      </c>
      <c r="V9" s="5">
        <v>87</v>
      </c>
      <c r="W9" s="5">
        <v>0.3125</v>
      </c>
      <c r="X9" s="5">
        <v>45</v>
      </c>
      <c r="Y9" s="5">
        <v>8</v>
      </c>
      <c r="Z9" s="5">
        <v>97.728800000000007</v>
      </c>
      <c r="AA9" s="5">
        <v>70.432400000000001</v>
      </c>
      <c r="AB9" s="5">
        <v>84</v>
      </c>
      <c r="AC9" s="5">
        <v>0.375</v>
      </c>
      <c r="AD9" s="5">
        <v>60</v>
      </c>
      <c r="AE9" s="5">
        <v>6</v>
      </c>
      <c r="AF9" s="5">
        <v>0</v>
      </c>
      <c r="AG9" s="5">
        <v>70.432400000000001</v>
      </c>
      <c r="AH9" s="5">
        <v>44.937199999999997</v>
      </c>
      <c r="AI9" s="5">
        <v>78.4375</v>
      </c>
      <c r="AJ9" s="5">
        <v>0.5</v>
      </c>
      <c r="AK9" s="5">
        <v>90</v>
      </c>
      <c r="AL9" s="5">
        <v>4</v>
      </c>
      <c r="AM9" s="5"/>
      <c r="AN9" s="5">
        <v>44.937199999999997</v>
      </c>
      <c r="AO9" s="5">
        <v>42</v>
      </c>
      <c r="AP9" s="5">
        <v>18.5625</v>
      </c>
      <c r="AQ9" s="5">
        <v>0.5</v>
      </c>
      <c r="AR9" s="5">
        <v>36</v>
      </c>
      <c r="AS9" s="5">
        <v>10</v>
      </c>
      <c r="AT9" s="5"/>
      <c r="AU9" s="5"/>
      <c r="AV9" s="5"/>
      <c r="AW9" s="5"/>
      <c r="AX9" s="5"/>
      <c r="AY9" s="5"/>
      <c r="AZ9" s="5"/>
      <c r="BA9" s="5">
        <v>84</v>
      </c>
      <c r="BB9" s="5">
        <v>96</v>
      </c>
      <c r="BC9" s="5">
        <v>84</v>
      </c>
      <c r="BD9" s="5">
        <v>96</v>
      </c>
      <c r="BE9" s="5">
        <v>0.375</v>
      </c>
      <c r="BF9" s="5">
        <v>84</v>
      </c>
      <c r="BG9" s="5">
        <v>96</v>
      </c>
      <c r="BH9" s="5">
        <v>0.375</v>
      </c>
      <c r="BI9" s="5">
        <v>84</v>
      </c>
      <c r="BJ9" s="5">
        <v>96</v>
      </c>
      <c r="BK9" s="5">
        <v>0.375</v>
      </c>
      <c r="BL9" s="5">
        <v>84</v>
      </c>
      <c r="BM9" s="5">
        <v>96</v>
      </c>
      <c r="BN9" s="5">
        <v>0.375</v>
      </c>
      <c r="BO9" s="5">
        <v>84</v>
      </c>
      <c r="BP9" s="5">
        <v>96</v>
      </c>
      <c r="BQ9" s="5">
        <v>0.375</v>
      </c>
      <c r="BR9" s="5">
        <v>84</v>
      </c>
      <c r="BS9" s="5">
        <v>96</v>
      </c>
      <c r="BT9" s="5">
        <v>0.375</v>
      </c>
      <c r="BU9" s="5">
        <v>84</v>
      </c>
      <c r="BV9" s="5">
        <v>96</v>
      </c>
      <c r="BW9" s="5">
        <v>0.375</v>
      </c>
      <c r="BX9" s="5">
        <v>84</v>
      </c>
      <c r="BY9" s="5">
        <v>96</v>
      </c>
      <c r="BZ9" s="5">
        <v>0.375</v>
      </c>
      <c r="CA9" s="5" t="s">
        <v>470</v>
      </c>
      <c r="CB9" s="5" t="s">
        <v>470</v>
      </c>
      <c r="CC9" s="5"/>
      <c r="CD9" s="5" t="s">
        <v>470</v>
      </c>
      <c r="CE9" s="5" t="s">
        <v>470</v>
      </c>
      <c r="CF9" s="5"/>
      <c r="CG9" s="5" t="s">
        <v>470</v>
      </c>
      <c r="CH9" s="5" t="s">
        <v>470</v>
      </c>
      <c r="CI9" s="5"/>
      <c r="CJ9" s="5" t="s">
        <v>470</v>
      </c>
      <c r="CK9" s="5" t="s">
        <v>470</v>
      </c>
      <c r="CL9" s="5"/>
      <c r="CM9" s="5" t="s">
        <v>470</v>
      </c>
      <c r="CN9" s="5" t="s">
        <v>470</v>
      </c>
      <c r="CO9" s="5"/>
      <c r="CP9" s="5" t="s">
        <v>470</v>
      </c>
      <c r="CQ9" s="5" t="s">
        <v>470</v>
      </c>
      <c r="CR9" s="5"/>
      <c r="CS9" s="5" t="s">
        <v>470</v>
      </c>
      <c r="CT9" s="5" t="s">
        <v>470</v>
      </c>
      <c r="CU9" s="5"/>
      <c r="CV9" s="5" t="s">
        <v>470</v>
      </c>
      <c r="CW9" s="5" t="s">
        <v>470</v>
      </c>
      <c r="CX9" s="5"/>
      <c r="CY9" s="5" t="s">
        <v>470</v>
      </c>
      <c r="CZ9" s="5" t="s">
        <v>470</v>
      </c>
      <c r="DA9" s="5"/>
      <c r="DB9" s="5" t="s">
        <v>470</v>
      </c>
      <c r="DC9" s="5" t="s">
        <v>470</v>
      </c>
      <c r="DD9" s="5"/>
      <c r="DE9" s="5">
        <v>60</v>
      </c>
      <c r="DF9" s="5">
        <v>42</v>
      </c>
      <c r="DG9" s="5"/>
      <c r="DH9" s="5"/>
      <c r="DI9" s="5">
        <v>0.5</v>
      </c>
      <c r="DJ9" s="5">
        <v>45</v>
      </c>
      <c r="DK9" s="5">
        <v>8</v>
      </c>
      <c r="DL9" s="5">
        <v>93.4375</v>
      </c>
      <c r="DM9" s="5">
        <v>59.5625</v>
      </c>
      <c r="DN9" s="5">
        <v>33.84375</v>
      </c>
      <c r="DO9" s="5">
        <v>0.3125</v>
      </c>
      <c r="DP9" s="12">
        <v>90</v>
      </c>
      <c r="DQ9" s="5">
        <v>4</v>
      </c>
      <c r="DR9" s="13">
        <v>127.28125</v>
      </c>
      <c r="DS9" s="5">
        <v>93.4375</v>
      </c>
      <c r="DT9" s="5">
        <v>33.84375</v>
      </c>
      <c r="DU9" s="5">
        <v>0.3125</v>
      </c>
      <c r="DV9" s="5">
        <v>60</v>
      </c>
      <c r="DW9" s="5">
        <v>6</v>
      </c>
      <c r="DX9" s="5" t="s">
        <v>470</v>
      </c>
      <c r="DY9" s="5" t="s">
        <v>470</v>
      </c>
      <c r="DZ9" s="5" t="s">
        <v>470</v>
      </c>
      <c r="EA9" s="5" t="s">
        <v>470</v>
      </c>
      <c r="EB9" s="5" t="s">
        <v>470</v>
      </c>
      <c r="EC9" s="5" t="s">
        <v>470</v>
      </c>
      <c r="ED9" s="5" t="s">
        <v>470</v>
      </c>
      <c r="EE9" s="5" t="s">
        <v>470</v>
      </c>
      <c r="EF9" s="5" t="s">
        <v>470</v>
      </c>
      <c r="EG9" s="5" t="s">
        <v>470</v>
      </c>
      <c r="EH9" s="5" t="s">
        <v>470</v>
      </c>
      <c r="EI9" s="5" t="s">
        <v>470</v>
      </c>
      <c r="EJ9" s="5" t="s">
        <v>470</v>
      </c>
      <c r="EK9" s="5" t="s">
        <v>470</v>
      </c>
      <c r="EL9" s="5" t="s">
        <v>470</v>
      </c>
      <c r="EM9" s="5" t="s">
        <v>470</v>
      </c>
      <c r="EN9" s="5" t="s">
        <v>470</v>
      </c>
      <c r="EO9" s="5" t="s">
        <v>470</v>
      </c>
      <c r="EP9" s="5">
        <v>0.3125</v>
      </c>
      <c r="EQ9" s="5">
        <v>127.1875</v>
      </c>
      <c r="ER9" s="5">
        <v>127.1875</v>
      </c>
      <c r="ES9" s="5">
        <v>155.875</v>
      </c>
      <c r="ET9" s="5"/>
      <c r="EU9" s="5"/>
      <c r="EV9" s="5">
        <v>-45</v>
      </c>
      <c r="EW9" s="5">
        <v>30</v>
      </c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>
        <v>0.25</v>
      </c>
      <c r="FN9" s="5">
        <v>180.125</v>
      </c>
      <c r="FO9" s="5">
        <v>14</v>
      </c>
      <c r="FP9" s="5">
        <v>25.714300000000001</v>
      </c>
      <c r="FQ9" s="5">
        <v>79.450999999999993</v>
      </c>
      <c r="FR9" s="5"/>
      <c r="FS9" s="5"/>
      <c r="FT9" s="5">
        <v>38</v>
      </c>
      <c r="FU9" s="5">
        <v>24</v>
      </c>
      <c r="FV9" s="5">
        <v>14</v>
      </c>
      <c r="FW9" s="5">
        <v>0.5</v>
      </c>
      <c r="FX9" s="5">
        <v>4</v>
      </c>
      <c r="FY9" s="5">
        <v>34</v>
      </c>
      <c r="FZ9" s="5">
        <v>44</v>
      </c>
      <c r="GA9" s="5">
        <v>1</v>
      </c>
      <c r="GB9" s="5">
        <v>120</v>
      </c>
      <c r="GC9" s="5">
        <v>3</v>
      </c>
      <c r="GD9" s="5">
        <v>23</v>
      </c>
      <c r="GE9" s="5">
        <v>27</v>
      </c>
      <c r="GF9" s="5">
        <v>1</v>
      </c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</row>
    <row r="10" spans="1:201" s="1" customFormat="1" ht="15.75" customHeight="1" x14ac:dyDescent="0.25">
      <c r="A10" s="4" t="s">
        <v>478</v>
      </c>
      <c r="B10" s="5" t="s">
        <v>480</v>
      </c>
      <c r="C10" s="5">
        <v>100</v>
      </c>
      <c r="D10" s="5">
        <v>21</v>
      </c>
      <c r="E10" s="6">
        <v>22.333333333300001</v>
      </c>
      <c r="F10" s="5" t="s">
        <v>469</v>
      </c>
      <c r="G10" s="5">
        <v>0</v>
      </c>
      <c r="H10" s="5">
        <f>D10*12</f>
        <v>252</v>
      </c>
      <c r="I10" s="5">
        <f>D10*12/2+7</f>
        <v>133</v>
      </c>
      <c r="J10" s="5">
        <f>I10-12</f>
        <v>121</v>
      </c>
      <c r="K10" s="5">
        <v>0</v>
      </c>
      <c r="L10" s="5">
        <v>0.75</v>
      </c>
      <c r="M10" s="5">
        <v>8</v>
      </c>
      <c r="N10" s="5">
        <v>12</v>
      </c>
      <c r="O10" s="5">
        <v>15</v>
      </c>
      <c r="P10" s="5">
        <v>12</v>
      </c>
      <c r="Q10" s="5">
        <v>24</v>
      </c>
      <c r="R10" s="5" t="s">
        <v>470</v>
      </c>
      <c r="S10" s="5">
        <v>24</v>
      </c>
      <c r="T10" s="5">
        <f t="shared" si="3"/>
        <v>126</v>
      </c>
      <c r="U10" s="5">
        <v>97.728800000000007</v>
      </c>
      <c r="V10" s="5">
        <v>87</v>
      </c>
      <c r="W10" s="5">
        <v>0.3125</v>
      </c>
      <c r="X10" s="5">
        <v>45</v>
      </c>
      <c r="Y10" s="5">
        <v>8</v>
      </c>
      <c r="Z10" s="5">
        <v>97.728800000000007</v>
      </c>
      <c r="AA10" s="5">
        <v>70.432400000000001</v>
      </c>
      <c r="AB10" s="5">
        <v>84</v>
      </c>
      <c r="AC10" s="5">
        <v>0.375</v>
      </c>
      <c r="AD10" s="5">
        <v>60</v>
      </c>
      <c r="AE10" s="5">
        <v>6</v>
      </c>
      <c r="AF10" s="5">
        <v>0</v>
      </c>
      <c r="AG10" s="5">
        <v>70.432400000000001</v>
      </c>
      <c r="AH10" s="5">
        <v>44.937199999999997</v>
      </c>
      <c r="AI10" s="5">
        <v>78.4375</v>
      </c>
      <c r="AJ10" s="5">
        <v>0.5</v>
      </c>
      <c r="AK10" s="5">
        <v>90</v>
      </c>
      <c r="AL10" s="5">
        <v>4</v>
      </c>
      <c r="AM10" s="5"/>
      <c r="AN10" s="5">
        <v>44.937199999999997</v>
      </c>
      <c r="AO10" s="5">
        <v>42</v>
      </c>
      <c r="AP10" s="5">
        <v>18.5625</v>
      </c>
      <c r="AQ10" s="5">
        <v>0.5</v>
      </c>
      <c r="AR10" s="5">
        <v>36</v>
      </c>
      <c r="AS10" s="5">
        <v>10</v>
      </c>
      <c r="AT10" s="5"/>
      <c r="AU10" s="5"/>
      <c r="AV10" s="5"/>
      <c r="AW10" s="5"/>
      <c r="AX10" s="5"/>
      <c r="AY10" s="5"/>
      <c r="AZ10" s="5"/>
      <c r="BA10" s="5">
        <v>84</v>
      </c>
      <c r="BB10" s="5">
        <v>96</v>
      </c>
      <c r="BC10" s="5">
        <v>84</v>
      </c>
      <c r="BD10" s="5">
        <v>96</v>
      </c>
      <c r="BE10" s="5">
        <v>0.375</v>
      </c>
      <c r="BF10" s="5">
        <v>84</v>
      </c>
      <c r="BG10" s="5">
        <v>96</v>
      </c>
      <c r="BH10" s="5">
        <v>0.375</v>
      </c>
      <c r="BI10" s="5">
        <v>84</v>
      </c>
      <c r="BJ10" s="5">
        <v>96</v>
      </c>
      <c r="BK10" s="5">
        <v>0.375</v>
      </c>
      <c r="BL10" s="5">
        <v>84</v>
      </c>
      <c r="BM10" s="5">
        <v>96</v>
      </c>
      <c r="BN10" s="5">
        <v>0.375</v>
      </c>
      <c r="BO10" s="5">
        <v>84</v>
      </c>
      <c r="BP10" s="5">
        <v>96</v>
      </c>
      <c r="BQ10" s="5">
        <v>0.375</v>
      </c>
      <c r="BR10" s="5">
        <v>84</v>
      </c>
      <c r="BS10" s="5">
        <v>96</v>
      </c>
      <c r="BT10" s="5">
        <v>0.375</v>
      </c>
      <c r="BU10" s="5">
        <v>84</v>
      </c>
      <c r="BV10" s="5">
        <v>96</v>
      </c>
      <c r="BW10" s="5">
        <v>0.375</v>
      </c>
      <c r="BX10" s="5">
        <v>84</v>
      </c>
      <c r="BY10" s="5">
        <v>96</v>
      </c>
      <c r="BZ10" s="5">
        <v>0.375</v>
      </c>
      <c r="CA10" s="5" t="s">
        <v>470</v>
      </c>
      <c r="CB10" s="5" t="s">
        <v>470</v>
      </c>
      <c r="CC10" s="5"/>
      <c r="CD10" s="5" t="s">
        <v>470</v>
      </c>
      <c r="CE10" s="5" t="s">
        <v>470</v>
      </c>
      <c r="CF10" s="5"/>
      <c r="CG10" s="5" t="s">
        <v>470</v>
      </c>
      <c r="CH10" s="5" t="s">
        <v>470</v>
      </c>
      <c r="CI10" s="5"/>
      <c r="CJ10" s="5" t="s">
        <v>470</v>
      </c>
      <c r="CK10" s="5" t="s">
        <v>470</v>
      </c>
      <c r="CL10" s="5"/>
      <c r="CM10" s="5" t="s">
        <v>470</v>
      </c>
      <c r="CN10" s="5" t="s">
        <v>470</v>
      </c>
      <c r="CO10" s="5"/>
      <c r="CP10" s="5" t="s">
        <v>470</v>
      </c>
      <c r="CQ10" s="5" t="s">
        <v>470</v>
      </c>
      <c r="CR10" s="5"/>
      <c r="CS10" s="5" t="s">
        <v>470</v>
      </c>
      <c r="CT10" s="5" t="s">
        <v>470</v>
      </c>
      <c r="CU10" s="5"/>
      <c r="CV10" s="5" t="s">
        <v>470</v>
      </c>
      <c r="CW10" s="5" t="s">
        <v>470</v>
      </c>
      <c r="CX10" s="5"/>
      <c r="CY10" s="5" t="s">
        <v>470</v>
      </c>
      <c r="CZ10" s="5" t="s">
        <v>470</v>
      </c>
      <c r="DA10" s="5"/>
      <c r="DB10" s="5" t="s">
        <v>470</v>
      </c>
      <c r="DC10" s="5" t="s">
        <v>470</v>
      </c>
      <c r="DD10" s="5"/>
      <c r="DE10" s="5">
        <v>60</v>
      </c>
      <c r="DF10" s="5">
        <v>42</v>
      </c>
      <c r="DG10" s="5"/>
      <c r="DH10" s="5"/>
      <c r="DI10" s="5">
        <v>0.5</v>
      </c>
      <c r="DJ10" s="5">
        <v>45</v>
      </c>
      <c r="DK10" s="5">
        <v>8</v>
      </c>
      <c r="DL10" s="5">
        <v>93.4375</v>
      </c>
      <c r="DM10" s="5">
        <v>59.5625</v>
      </c>
      <c r="DN10" s="5">
        <v>33.84375</v>
      </c>
      <c r="DO10" s="5">
        <v>0.3125</v>
      </c>
      <c r="DP10" s="12">
        <v>90</v>
      </c>
      <c r="DQ10" s="5">
        <v>4</v>
      </c>
      <c r="DR10" s="13">
        <v>127.28125</v>
      </c>
      <c r="DS10" s="5">
        <v>93.4375</v>
      </c>
      <c r="DT10" s="5">
        <v>33.84375</v>
      </c>
      <c r="DU10" s="5">
        <v>0.3125</v>
      </c>
      <c r="DV10" s="5">
        <v>60</v>
      </c>
      <c r="DW10" s="5">
        <v>6</v>
      </c>
      <c r="DX10" s="5" t="s">
        <v>470</v>
      </c>
      <c r="DY10" s="5" t="s">
        <v>470</v>
      </c>
      <c r="DZ10" s="5" t="s">
        <v>470</v>
      </c>
      <c r="EA10" s="5" t="s">
        <v>470</v>
      </c>
      <c r="EB10" s="5" t="s">
        <v>470</v>
      </c>
      <c r="EC10" s="5" t="s">
        <v>470</v>
      </c>
      <c r="ED10" s="5" t="s">
        <v>470</v>
      </c>
      <c r="EE10" s="5" t="s">
        <v>470</v>
      </c>
      <c r="EF10" s="5" t="s">
        <v>470</v>
      </c>
      <c r="EG10" s="5" t="s">
        <v>470</v>
      </c>
      <c r="EH10" s="5" t="s">
        <v>470</v>
      </c>
      <c r="EI10" s="5" t="s">
        <v>470</v>
      </c>
      <c r="EJ10" s="5" t="s">
        <v>470</v>
      </c>
      <c r="EK10" s="5" t="s">
        <v>470</v>
      </c>
      <c r="EL10" s="5" t="s">
        <v>470</v>
      </c>
      <c r="EM10" s="5" t="s">
        <v>470</v>
      </c>
      <c r="EN10" s="5" t="s">
        <v>470</v>
      </c>
      <c r="EO10" s="5" t="s">
        <v>470</v>
      </c>
      <c r="EP10" s="5">
        <v>0.3125</v>
      </c>
      <c r="EQ10" s="5">
        <v>127.1875</v>
      </c>
      <c r="ER10" s="5">
        <v>127.1875</v>
      </c>
      <c r="ES10" s="5">
        <v>155.875</v>
      </c>
      <c r="ET10" s="5"/>
      <c r="EU10" s="5"/>
      <c r="EV10" s="5">
        <v>-45</v>
      </c>
      <c r="EW10" s="5">
        <v>30</v>
      </c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>
        <v>0.25</v>
      </c>
      <c r="FN10" s="5">
        <v>180.125</v>
      </c>
      <c r="FO10" s="5">
        <v>14</v>
      </c>
      <c r="FP10" s="5">
        <v>25.714300000000001</v>
      </c>
      <c r="FQ10" s="5">
        <v>79.450999999999993</v>
      </c>
      <c r="FR10" s="5"/>
      <c r="FS10" s="5"/>
      <c r="FT10" s="5">
        <v>38</v>
      </c>
      <c r="FU10" s="5">
        <v>24</v>
      </c>
      <c r="FV10" s="5">
        <v>14</v>
      </c>
      <c r="FW10" s="5">
        <v>0.5</v>
      </c>
      <c r="FX10" s="5">
        <v>4</v>
      </c>
      <c r="FY10" s="5">
        <v>34</v>
      </c>
      <c r="FZ10" s="5">
        <v>44</v>
      </c>
      <c r="GA10" s="5">
        <v>1</v>
      </c>
      <c r="GB10" s="5">
        <v>120</v>
      </c>
      <c r="GC10" s="5">
        <v>3</v>
      </c>
      <c r="GD10" s="5">
        <v>23</v>
      </c>
      <c r="GE10" s="5">
        <v>27</v>
      </c>
      <c r="GF10" s="5">
        <v>1</v>
      </c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</row>
    <row r="11" spans="1:201" s="1" customFormat="1" ht="15.75" customHeight="1" x14ac:dyDescent="0.25">
      <c r="A11" s="4" t="s">
        <v>481</v>
      </c>
      <c r="B11" s="5" t="s">
        <v>482</v>
      </c>
      <c r="C11" s="5">
        <v>100</v>
      </c>
      <c r="D11" s="5">
        <v>23</v>
      </c>
      <c r="E11" s="6">
        <v>22.333333333300001</v>
      </c>
      <c r="F11" s="5" t="s">
        <v>469</v>
      </c>
      <c r="G11" s="5">
        <v>0</v>
      </c>
      <c r="H11" s="5">
        <f t="shared" si="0"/>
        <v>276</v>
      </c>
      <c r="I11" s="5">
        <f t="shared" si="1"/>
        <v>145</v>
      </c>
      <c r="J11" s="5">
        <f t="shared" si="2"/>
        <v>133</v>
      </c>
      <c r="K11" s="5">
        <v>0</v>
      </c>
      <c r="L11" s="5">
        <v>0.8125</v>
      </c>
      <c r="M11" s="5">
        <v>8</v>
      </c>
      <c r="N11" s="5">
        <v>12</v>
      </c>
      <c r="O11" s="5">
        <v>15</v>
      </c>
      <c r="P11" s="5">
        <v>12</v>
      </c>
      <c r="Q11" s="5">
        <v>24</v>
      </c>
      <c r="R11" s="5" t="s">
        <v>470</v>
      </c>
      <c r="S11" s="5">
        <v>24</v>
      </c>
      <c r="T11" s="5">
        <f t="shared" si="3"/>
        <v>138</v>
      </c>
      <c r="U11" s="5">
        <v>106.640625</v>
      </c>
      <c r="V11" s="5">
        <v>84</v>
      </c>
      <c r="W11" s="5">
        <v>0.3125</v>
      </c>
      <c r="X11" s="5">
        <v>45</v>
      </c>
      <c r="Y11" s="5">
        <v>8</v>
      </c>
      <c r="Z11" s="5">
        <v>106.640625</v>
      </c>
      <c r="AA11" s="5">
        <v>75.28125</v>
      </c>
      <c r="AB11" s="5">
        <v>84</v>
      </c>
      <c r="AC11" s="5">
        <v>0.3125</v>
      </c>
      <c r="AD11" s="5">
        <v>60</v>
      </c>
      <c r="AE11" s="5">
        <v>6</v>
      </c>
      <c r="AF11" s="5">
        <v>0</v>
      </c>
      <c r="AG11" s="5">
        <v>75.28125</v>
      </c>
      <c r="AH11" s="5">
        <v>45.78125</v>
      </c>
      <c r="AI11" s="5">
        <v>79</v>
      </c>
      <c r="AJ11" s="5">
        <v>0.5</v>
      </c>
      <c r="AK11" s="5">
        <v>90</v>
      </c>
      <c r="AL11" s="5">
        <v>4</v>
      </c>
      <c r="AM11" s="5"/>
      <c r="AN11" s="5">
        <v>45.78125</v>
      </c>
      <c r="AO11" s="5">
        <v>42</v>
      </c>
      <c r="AP11" s="5">
        <v>21</v>
      </c>
      <c r="AQ11" s="5">
        <v>0.5</v>
      </c>
      <c r="AR11" s="5">
        <v>36</v>
      </c>
      <c r="AS11" s="5">
        <v>10</v>
      </c>
      <c r="AT11" s="5"/>
      <c r="AU11" s="5"/>
      <c r="AV11" s="5"/>
      <c r="AW11" s="5"/>
      <c r="AX11" s="5"/>
      <c r="AY11" s="5"/>
      <c r="AZ11" s="5"/>
      <c r="BA11" s="5">
        <v>84</v>
      </c>
      <c r="BB11" s="5">
        <v>96</v>
      </c>
      <c r="BC11" s="5">
        <v>84</v>
      </c>
      <c r="BD11" s="5">
        <v>96</v>
      </c>
      <c r="BE11" s="5">
        <v>0.375</v>
      </c>
      <c r="BF11" s="5">
        <v>84</v>
      </c>
      <c r="BG11" s="5">
        <v>96</v>
      </c>
      <c r="BH11" s="5">
        <v>0.375</v>
      </c>
      <c r="BI11" s="5">
        <v>84</v>
      </c>
      <c r="BJ11" s="5">
        <v>96</v>
      </c>
      <c r="BK11" s="5">
        <v>0.375</v>
      </c>
      <c r="BL11" s="5">
        <v>84</v>
      </c>
      <c r="BM11" s="5">
        <v>96</v>
      </c>
      <c r="BN11" s="5">
        <v>0.375</v>
      </c>
      <c r="BO11" s="5">
        <v>84</v>
      </c>
      <c r="BP11" s="5">
        <v>96</v>
      </c>
      <c r="BQ11" s="5">
        <v>0.375</v>
      </c>
      <c r="BR11" s="5">
        <v>84</v>
      </c>
      <c r="BS11" s="5">
        <v>96</v>
      </c>
      <c r="BT11" s="5">
        <v>0.375</v>
      </c>
      <c r="BU11" s="5">
        <v>84</v>
      </c>
      <c r="BV11" s="5">
        <v>96</v>
      </c>
      <c r="BW11" s="5">
        <v>0.375</v>
      </c>
      <c r="BX11" s="5">
        <v>84</v>
      </c>
      <c r="BY11" s="5">
        <v>96</v>
      </c>
      <c r="BZ11" s="5">
        <v>0.375</v>
      </c>
      <c r="CA11" s="5" t="s">
        <v>470</v>
      </c>
      <c r="CB11" s="5" t="s">
        <v>470</v>
      </c>
      <c r="CC11" s="5"/>
      <c r="CD11" s="5" t="s">
        <v>470</v>
      </c>
      <c r="CE11" s="5" t="s">
        <v>470</v>
      </c>
      <c r="CF11" s="5"/>
      <c r="CG11" s="5" t="s">
        <v>470</v>
      </c>
      <c r="CH11" s="5" t="s">
        <v>470</v>
      </c>
      <c r="CI11" s="5"/>
      <c r="CJ11" s="5" t="s">
        <v>470</v>
      </c>
      <c r="CK11" s="5" t="s">
        <v>470</v>
      </c>
      <c r="CL11" s="5"/>
      <c r="CM11" s="5" t="s">
        <v>470</v>
      </c>
      <c r="CN11" s="5" t="s">
        <v>470</v>
      </c>
      <c r="CO11" s="5"/>
      <c r="CP11" s="5" t="s">
        <v>470</v>
      </c>
      <c r="CQ11" s="5" t="s">
        <v>470</v>
      </c>
      <c r="CR11" s="5"/>
      <c r="CS11" s="5" t="s">
        <v>470</v>
      </c>
      <c r="CT11" s="5" t="s">
        <v>470</v>
      </c>
      <c r="CU11" s="5"/>
      <c r="CV11" s="5" t="s">
        <v>470</v>
      </c>
      <c r="CW11" s="5" t="s">
        <v>470</v>
      </c>
      <c r="CX11" s="5"/>
      <c r="CY11" s="5" t="s">
        <v>470</v>
      </c>
      <c r="CZ11" s="5" t="s">
        <v>470</v>
      </c>
      <c r="DA11" s="5"/>
      <c r="DB11" s="5" t="s">
        <v>470</v>
      </c>
      <c r="DC11" s="5" t="s">
        <v>470</v>
      </c>
      <c r="DD11" s="5"/>
      <c r="DE11" s="5">
        <v>60</v>
      </c>
      <c r="DF11" s="5">
        <v>42</v>
      </c>
      <c r="DG11" s="5"/>
      <c r="DH11" s="5"/>
      <c r="DI11" s="5">
        <v>0.5</v>
      </c>
      <c r="DJ11" s="5">
        <v>45</v>
      </c>
      <c r="DK11" s="5">
        <v>8</v>
      </c>
      <c r="DL11" s="5">
        <v>93.4375</v>
      </c>
      <c r="DM11" s="5">
        <v>59.5625</v>
      </c>
      <c r="DN11" s="5">
        <v>33.84375</v>
      </c>
      <c r="DO11" s="5">
        <v>0.3125</v>
      </c>
      <c r="DP11" s="12">
        <v>90</v>
      </c>
      <c r="DQ11" s="5">
        <v>4</v>
      </c>
      <c r="DR11" s="13">
        <v>127.28125</v>
      </c>
      <c r="DS11" s="5">
        <v>93.4375</v>
      </c>
      <c r="DT11" s="5">
        <v>33.84375</v>
      </c>
      <c r="DU11" s="5">
        <v>0.3125</v>
      </c>
      <c r="DV11" s="5">
        <v>60</v>
      </c>
      <c r="DW11" s="5">
        <v>6</v>
      </c>
      <c r="DX11" s="5" t="s">
        <v>470</v>
      </c>
      <c r="DY11" s="5" t="s">
        <v>470</v>
      </c>
      <c r="DZ11" s="5" t="s">
        <v>470</v>
      </c>
      <c r="EA11" s="5" t="s">
        <v>470</v>
      </c>
      <c r="EB11" s="5" t="s">
        <v>470</v>
      </c>
      <c r="EC11" s="5" t="s">
        <v>470</v>
      </c>
      <c r="ED11" s="5" t="s">
        <v>470</v>
      </c>
      <c r="EE11" s="5" t="s">
        <v>470</v>
      </c>
      <c r="EF11" s="5" t="s">
        <v>470</v>
      </c>
      <c r="EG11" s="5" t="s">
        <v>470</v>
      </c>
      <c r="EH11" s="5" t="s">
        <v>470</v>
      </c>
      <c r="EI11" s="5" t="s">
        <v>470</v>
      </c>
      <c r="EJ11" s="5" t="s">
        <v>470</v>
      </c>
      <c r="EK11" s="5" t="s">
        <v>470</v>
      </c>
      <c r="EL11" s="5" t="s">
        <v>470</v>
      </c>
      <c r="EM11" s="5" t="s">
        <v>470</v>
      </c>
      <c r="EN11" s="5" t="s">
        <v>470</v>
      </c>
      <c r="EO11" s="5" t="s">
        <v>470</v>
      </c>
      <c r="EP11" s="5">
        <v>0.25</v>
      </c>
      <c r="EQ11" s="5">
        <v>127.1875</v>
      </c>
      <c r="ER11" s="5">
        <v>127.1875</v>
      </c>
      <c r="ES11" s="5">
        <v>155.875</v>
      </c>
      <c r="ET11" s="5"/>
      <c r="EU11" s="5"/>
      <c r="EV11" s="5">
        <v>-45</v>
      </c>
      <c r="EW11" s="5">
        <v>30</v>
      </c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>
        <v>0.25</v>
      </c>
      <c r="FN11" s="5">
        <v>180.125</v>
      </c>
      <c r="FO11" s="5">
        <v>14</v>
      </c>
      <c r="FP11" s="5">
        <v>25.714300000000001</v>
      </c>
      <c r="FQ11" s="5">
        <v>72.542000000000002</v>
      </c>
      <c r="FR11" s="5"/>
      <c r="FS11" s="5"/>
      <c r="FT11" s="5">
        <v>38</v>
      </c>
      <c r="FU11" s="5">
        <v>27</v>
      </c>
      <c r="FV11" s="5">
        <v>19.0625</v>
      </c>
      <c r="FW11" s="5">
        <v>0.5</v>
      </c>
      <c r="FX11" s="5">
        <v>4</v>
      </c>
      <c r="FY11" s="5">
        <v>34</v>
      </c>
      <c r="FZ11" s="5">
        <v>44</v>
      </c>
      <c r="GA11" s="5">
        <v>1</v>
      </c>
      <c r="GB11" s="5">
        <v>120</v>
      </c>
      <c r="GC11" s="5">
        <v>3</v>
      </c>
      <c r="GD11" s="5">
        <v>26</v>
      </c>
      <c r="GE11" s="5">
        <v>30</v>
      </c>
      <c r="GF11" s="5">
        <v>1</v>
      </c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</row>
    <row r="12" spans="1:201" s="1" customFormat="1" ht="15.75" customHeight="1" x14ac:dyDescent="0.25">
      <c r="A12" s="4" t="s">
        <v>481</v>
      </c>
      <c r="B12" s="5" t="s">
        <v>479</v>
      </c>
      <c r="C12" s="5">
        <v>100</v>
      </c>
      <c r="D12" s="5">
        <v>23</v>
      </c>
      <c r="E12" s="6">
        <v>22.333333333300001</v>
      </c>
      <c r="F12" s="5" t="s">
        <v>469</v>
      </c>
      <c r="G12" s="5">
        <v>0</v>
      </c>
      <c r="H12" s="5">
        <f t="shared" si="0"/>
        <v>276</v>
      </c>
      <c r="I12" s="5" t="s">
        <v>469</v>
      </c>
      <c r="J12" s="5">
        <v>0</v>
      </c>
      <c r="K12" s="5">
        <f>G12*12</f>
        <v>0</v>
      </c>
      <c r="L12" s="5">
        <v>0.8125</v>
      </c>
      <c r="M12" s="5">
        <v>8</v>
      </c>
      <c r="N12" s="5">
        <v>12</v>
      </c>
      <c r="O12" s="5">
        <v>15</v>
      </c>
      <c r="P12" s="5">
        <v>12</v>
      </c>
      <c r="Q12" s="5">
        <v>24</v>
      </c>
      <c r="R12" s="5" t="s">
        <v>470</v>
      </c>
      <c r="S12" s="5">
        <v>24</v>
      </c>
      <c r="T12" s="5">
        <v>138</v>
      </c>
      <c r="U12" s="5">
        <v>106.640625</v>
      </c>
      <c r="V12" s="5">
        <v>84</v>
      </c>
      <c r="W12" s="5">
        <v>0.3125</v>
      </c>
      <c r="X12" s="5">
        <v>45</v>
      </c>
      <c r="Y12" s="5">
        <v>8</v>
      </c>
      <c r="Z12" s="5">
        <v>106.640625</v>
      </c>
      <c r="AA12" s="5">
        <v>75.28125</v>
      </c>
      <c r="AB12" s="5">
        <v>84</v>
      </c>
      <c r="AC12" s="5">
        <v>0.3125</v>
      </c>
      <c r="AD12" s="5">
        <v>60</v>
      </c>
      <c r="AE12" s="5">
        <v>6</v>
      </c>
      <c r="AF12" s="5">
        <v>0</v>
      </c>
      <c r="AG12" s="5">
        <v>75.28125</v>
      </c>
      <c r="AH12" s="5">
        <v>45.78125</v>
      </c>
      <c r="AI12" s="5">
        <v>79</v>
      </c>
      <c r="AJ12" s="5">
        <v>0.5</v>
      </c>
      <c r="AK12" s="5">
        <v>90</v>
      </c>
      <c r="AL12" s="5">
        <v>4</v>
      </c>
      <c r="AM12" s="5"/>
      <c r="AN12" s="5">
        <v>45.78125</v>
      </c>
      <c r="AO12" s="5">
        <v>42</v>
      </c>
      <c r="AP12" s="5">
        <v>21</v>
      </c>
      <c r="AQ12" s="5">
        <v>0.5</v>
      </c>
      <c r="AR12" s="5">
        <v>36</v>
      </c>
      <c r="AS12" s="5">
        <v>10</v>
      </c>
      <c r="AT12" s="5"/>
      <c r="AU12" s="5"/>
      <c r="AV12" s="5"/>
      <c r="AW12" s="5"/>
      <c r="AX12" s="5"/>
      <c r="AY12" s="5"/>
      <c r="AZ12" s="5"/>
      <c r="BA12" s="5">
        <v>84</v>
      </c>
      <c r="BB12" s="5">
        <v>96</v>
      </c>
      <c r="BC12" s="5">
        <v>84</v>
      </c>
      <c r="BD12" s="5">
        <v>96</v>
      </c>
      <c r="BE12" s="5">
        <v>0.375</v>
      </c>
      <c r="BF12" s="5">
        <v>84</v>
      </c>
      <c r="BG12" s="5">
        <v>96</v>
      </c>
      <c r="BH12" s="5">
        <v>0.375</v>
      </c>
      <c r="BI12" s="5">
        <v>84</v>
      </c>
      <c r="BJ12" s="5">
        <v>96</v>
      </c>
      <c r="BK12" s="5">
        <v>0.375</v>
      </c>
      <c r="BL12" s="5">
        <v>84</v>
      </c>
      <c r="BM12" s="5">
        <v>96</v>
      </c>
      <c r="BN12" s="5">
        <v>0.375</v>
      </c>
      <c r="BO12" s="5">
        <v>84</v>
      </c>
      <c r="BP12" s="5">
        <v>96</v>
      </c>
      <c r="BQ12" s="5">
        <v>0.375</v>
      </c>
      <c r="BR12" s="5">
        <v>84</v>
      </c>
      <c r="BS12" s="5">
        <v>96</v>
      </c>
      <c r="BT12" s="5">
        <v>0.375</v>
      </c>
      <c r="BU12" s="5">
        <v>84</v>
      </c>
      <c r="BV12" s="5">
        <v>96</v>
      </c>
      <c r="BW12" s="5">
        <v>0.375</v>
      </c>
      <c r="BX12" s="5">
        <v>84</v>
      </c>
      <c r="BY12" s="5">
        <v>96</v>
      </c>
      <c r="BZ12" s="5">
        <v>0.375</v>
      </c>
      <c r="CA12" s="5" t="s">
        <v>470</v>
      </c>
      <c r="CB12" s="5" t="s">
        <v>470</v>
      </c>
      <c r="CC12" s="5"/>
      <c r="CD12" s="5" t="s">
        <v>470</v>
      </c>
      <c r="CE12" s="5" t="s">
        <v>470</v>
      </c>
      <c r="CF12" s="5"/>
      <c r="CG12" s="5" t="s">
        <v>470</v>
      </c>
      <c r="CH12" s="5" t="s">
        <v>470</v>
      </c>
      <c r="CI12" s="5"/>
      <c r="CJ12" s="5" t="s">
        <v>470</v>
      </c>
      <c r="CK12" s="5" t="s">
        <v>470</v>
      </c>
      <c r="CL12" s="5"/>
      <c r="CM12" s="5" t="s">
        <v>470</v>
      </c>
      <c r="CN12" s="5" t="s">
        <v>470</v>
      </c>
      <c r="CO12" s="5"/>
      <c r="CP12" s="5" t="s">
        <v>470</v>
      </c>
      <c r="CQ12" s="5" t="s">
        <v>470</v>
      </c>
      <c r="CR12" s="5"/>
      <c r="CS12" s="5" t="s">
        <v>470</v>
      </c>
      <c r="CT12" s="5" t="s">
        <v>470</v>
      </c>
      <c r="CU12" s="5"/>
      <c r="CV12" s="5" t="s">
        <v>470</v>
      </c>
      <c r="CW12" s="5" t="s">
        <v>470</v>
      </c>
      <c r="CX12" s="5"/>
      <c r="CY12" s="5" t="s">
        <v>470</v>
      </c>
      <c r="CZ12" s="5" t="s">
        <v>470</v>
      </c>
      <c r="DA12" s="5"/>
      <c r="DB12" s="5" t="s">
        <v>470</v>
      </c>
      <c r="DC12" s="5" t="s">
        <v>470</v>
      </c>
      <c r="DD12" s="5"/>
      <c r="DE12" s="5">
        <v>60</v>
      </c>
      <c r="DF12" s="5">
        <v>42</v>
      </c>
      <c r="DG12" s="5"/>
      <c r="DH12" s="5"/>
      <c r="DI12" s="5">
        <v>0.5</v>
      </c>
      <c r="DJ12" s="5">
        <v>30</v>
      </c>
      <c r="DK12" s="5">
        <v>12</v>
      </c>
      <c r="DL12" s="5">
        <v>93.4375</v>
      </c>
      <c r="DM12" s="5">
        <v>59.5625</v>
      </c>
      <c r="DN12" s="5">
        <v>33.84375</v>
      </c>
      <c r="DO12" s="5">
        <v>0.3125</v>
      </c>
      <c r="DP12" s="12">
        <v>90</v>
      </c>
      <c r="DQ12" s="5">
        <v>4</v>
      </c>
      <c r="DR12" s="13">
        <v>127.28125</v>
      </c>
      <c r="DS12" s="5">
        <v>93.4375</v>
      </c>
      <c r="DT12" s="5">
        <v>33.84375</v>
      </c>
      <c r="DU12" s="5">
        <v>0.3125</v>
      </c>
      <c r="DV12" s="5">
        <v>60</v>
      </c>
      <c r="DW12" s="5">
        <v>6</v>
      </c>
      <c r="DX12" s="5" t="s">
        <v>470</v>
      </c>
      <c r="DY12" s="5" t="s">
        <v>470</v>
      </c>
      <c r="DZ12" s="5" t="s">
        <v>470</v>
      </c>
      <c r="EA12" s="5" t="s">
        <v>470</v>
      </c>
      <c r="EB12" s="5" t="s">
        <v>470</v>
      </c>
      <c r="EC12" s="5" t="s">
        <v>470</v>
      </c>
      <c r="ED12" s="5" t="s">
        <v>470</v>
      </c>
      <c r="EE12" s="5" t="s">
        <v>470</v>
      </c>
      <c r="EF12" s="5" t="s">
        <v>470</v>
      </c>
      <c r="EG12" s="5" t="s">
        <v>470</v>
      </c>
      <c r="EH12" s="5" t="s">
        <v>470</v>
      </c>
      <c r="EI12" s="5" t="s">
        <v>470</v>
      </c>
      <c r="EJ12" s="5" t="s">
        <v>470</v>
      </c>
      <c r="EK12" s="5" t="s">
        <v>470</v>
      </c>
      <c r="EL12" s="5" t="s">
        <v>470</v>
      </c>
      <c r="EM12" s="5" t="s">
        <v>470</v>
      </c>
      <c r="EN12" s="5" t="s">
        <v>470</v>
      </c>
      <c r="EO12" s="5" t="s">
        <v>470</v>
      </c>
      <c r="EP12" s="5">
        <v>0.25</v>
      </c>
      <c r="EQ12" s="5">
        <v>127.1875</v>
      </c>
      <c r="ER12" s="5">
        <v>127.1875</v>
      </c>
      <c r="ES12" s="5">
        <v>155.875</v>
      </c>
      <c r="ET12" s="5"/>
      <c r="EU12" s="5"/>
      <c r="EV12" s="5">
        <v>-45</v>
      </c>
      <c r="EW12" s="5">
        <v>30</v>
      </c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>
        <v>0.25</v>
      </c>
      <c r="FN12" s="5">
        <v>180.125</v>
      </c>
      <c r="FO12" s="5">
        <v>14</v>
      </c>
      <c r="FP12" s="5">
        <v>25.714300000000001</v>
      </c>
      <c r="FQ12" s="5">
        <v>72.542000000000002</v>
      </c>
      <c r="FR12" s="5"/>
      <c r="FS12" s="5"/>
      <c r="FT12" s="5">
        <v>38</v>
      </c>
      <c r="FU12" s="5">
        <v>18</v>
      </c>
      <c r="FV12" s="5">
        <v>20</v>
      </c>
      <c r="FW12" s="5">
        <v>0.5</v>
      </c>
      <c r="FX12" s="5">
        <v>4</v>
      </c>
      <c r="FY12" s="5">
        <v>34</v>
      </c>
      <c r="FZ12" s="5">
        <v>44</v>
      </c>
      <c r="GA12" s="5">
        <v>1</v>
      </c>
      <c r="GB12" s="5">
        <v>120</v>
      </c>
      <c r="GC12" s="5">
        <v>3</v>
      </c>
      <c r="GD12" s="5">
        <v>17</v>
      </c>
      <c r="GE12" s="5">
        <v>21</v>
      </c>
      <c r="GF12" s="5">
        <v>1</v>
      </c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</row>
    <row r="13" spans="1:201" s="1" customFormat="1" ht="15.75" customHeight="1" x14ac:dyDescent="0.25">
      <c r="A13" s="4" t="s">
        <v>481</v>
      </c>
      <c r="B13" s="5" t="s">
        <v>480</v>
      </c>
      <c r="C13" s="5">
        <v>100</v>
      </c>
      <c r="D13" s="5">
        <v>23</v>
      </c>
      <c r="E13" s="6">
        <v>22.333333333300001</v>
      </c>
      <c r="F13" s="5" t="s">
        <v>469</v>
      </c>
      <c r="G13" s="5">
        <v>0</v>
      </c>
      <c r="H13" s="5">
        <f t="shared" si="0"/>
        <v>276</v>
      </c>
      <c r="I13" s="5">
        <f t="shared" si="1"/>
        <v>145</v>
      </c>
      <c r="J13" s="5">
        <f t="shared" si="2"/>
        <v>133</v>
      </c>
      <c r="K13" s="5">
        <v>0</v>
      </c>
      <c r="L13" s="5">
        <v>0.8125</v>
      </c>
      <c r="M13" s="5">
        <v>8</v>
      </c>
      <c r="N13" s="5">
        <v>12</v>
      </c>
      <c r="O13" s="5">
        <v>15</v>
      </c>
      <c r="P13" s="5">
        <v>12</v>
      </c>
      <c r="Q13" s="5">
        <v>24</v>
      </c>
      <c r="R13" s="5" t="s">
        <v>470</v>
      </c>
      <c r="S13" s="5">
        <v>24</v>
      </c>
      <c r="T13" s="5">
        <v>138</v>
      </c>
      <c r="U13" s="5">
        <v>106.640625</v>
      </c>
      <c r="V13" s="5">
        <v>84</v>
      </c>
      <c r="W13" s="5">
        <v>0.3125</v>
      </c>
      <c r="X13" s="5">
        <v>45</v>
      </c>
      <c r="Y13" s="5">
        <v>8</v>
      </c>
      <c r="Z13" s="5">
        <v>106.640625</v>
      </c>
      <c r="AA13" s="5">
        <v>75.28125</v>
      </c>
      <c r="AB13" s="5">
        <v>84</v>
      </c>
      <c r="AC13" s="5">
        <v>0.3125</v>
      </c>
      <c r="AD13" s="5">
        <v>60</v>
      </c>
      <c r="AE13" s="5">
        <v>6</v>
      </c>
      <c r="AF13" s="5">
        <v>0</v>
      </c>
      <c r="AG13" s="5">
        <v>75.28125</v>
      </c>
      <c r="AH13" s="5">
        <v>45.78125</v>
      </c>
      <c r="AI13" s="5">
        <v>79</v>
      </c>
      <c r="AJ13" s="5">
        <v>0.5</v>
      </c>
      <c r="AK13" s="5">
        <v>90</v>
      </c>
      <c r="AL13" s="5">
        <v>4</v>
      </c>
      <c r="AM13" s="5"/>
      <c r="AN13" s="5">
        <v>45.78125</v>
      </c>
      <c r="AO13" s="5">
        <v>42</v>
      </c>
      <c r="AP13" s="5">
        <v>21</v>
      </c>
      <c r="AQ13" s="5">
        <v>0.5</v>
      </c>
      <c r="AR13" s="5">
        <v>36</v>
      </c>
      <c r="AS13" s="5">
        <v>10</v>
      </c>
      <c r="AT13" s="5"/>
      <c r="AU13" s="5"/>
      <c r="AV13" s="5"/>
      <c r="AW13" s="5"/>
      <c r="AX13" s="5"/>
      <c r="AY13" s="5"/>
      <c r="AZ13" s="5"/>
      <c r="BA13" s="5">
        <v>84</v>
      </c>
      <c r="BB13" s="5">
        <v>96</v>
      </c>
      <c r="BC13" s="5">
        <v>84</v>
      </c>
      <c r="BD13" s="5">
        <v>96</v>
      </c>
      <c r="BE13" s="5">
        <v>0.375</v>
      </c>
      <c r="BF13" s="5">
        <v>84</v>
      </c>
      <c r="BG13" s="5">
        <v>96</v>
      </c>
      <c r="BH13" s="5">
        <v>0.375</v>
      </c>
      <c r="BI13" s="5">
        <v>84</v>
      </c>
      <c r="BJ13" s="5">
        <v>96</v>
      </c>
      <c r="BK13" s="5">
        <v>0.375</v>
      </c>
      <c r="BL13" s="5">
        <v>84</v>
      </c>
      <c r="BM13" s="5">
        <v>96</v>
      </c>
      <c r="BN13" s="5">
        <v>0.375</v>
      </c>
      <c r="BO13" s="5">
        <v>84</v>
      </c>
      <c r="BP13" s="5">
        <v>96</v>
      </c>
      <c r="BQ13" s="5">
        <v>0.375</v>
      </c>
      <c r="BR13" s="5">
        <v>84</v>
      </c>
      <c r="BS13" s="5">
        <v>96</v>
      </c>
      <c r="BT13" s="5">
        <v>0.375</v>
      </c>
      <c r="BU13" s="5">
        <v>84</v>
      </c>
      <c r="BV13" s="5">
        <v>96</v>
      </c>
      <c r="BW13" s="5">
        <v>0.375</v>
      </c>
      <c r="BX13" s="5">
        <v>84</v>
      </c>
      <c r="BY13" s="5">
        <v>96</v>
      </c>
      <c r="BZ13" s="5">
        <v>0.375</v>
      </c>
      <c r="CA13" s="5" t="s">
        <v>470</v>
      </c>
      <c r="CB13" s="5" t="s">
        <v>470</v>
      </c>
      <c r="CC13" s="5"/>
      <c r="CD13" s="5" t="s">
        <v>470</v>
      </c>
      <c r="CE13" s="5" t="s">
        <v>470</v>
      </c>
      <c r="CF13" s="5"/>
      <c r="CG13" s="5" t="s">
        <v>470</v>
      </c>
      <c r="CH13" s="5" t="s">
        <v>470</v>
      </c>
      <c r="CI13" s="5"/>
      <c r="CJ13" s="5" t="s">
        <v>470</v>
      </c>
      <c r="CK13" s="5" t="s">
        <v>470</v>
      </c>
      <c r="CL13" s="5"/>
      <c r="CM13" s="5" t="s">
        <v>470</v>
      </c>
      <c r="CN13" s="5" t="s">
        <v>470</v>
      </c>
      <c r="CO13" s="5"/>
      <c r="CP13" s="5" t="s">
        <v>470</v>
      </c>
      <c r="CQ13" s="5" t="s">
        <v>470</v>
      </c>
      <c r="CR13" s="5"/>
      <c r="CS13" s="5" t="s">
        <v>470</v>
      </c>
      <c r="CT13" s="5" t="s">
        <v>470</v>
      </c>
      <c r="CU13" s="5"/>
      <c r="CV13" s="5" t="s">
        <v>470</v>
      </c>
      <c r="CW13" s="5" t="s">
        <v>470</v>
      </c>
      <c r="CX13" s="5"/>
      <c r="CY13" s="5" t="s">
        <v>470</v>
      </c>
      <c r="CZ13" s="5" t="s">
        <v>470</v>
      </c>
      <c r="DA13" s="5"/>
      <c r="DB13" s="5" t="s">
        <v>470</v>
      </c>
      <c r="DC13" s="5" t="s">
        <v>470</v>
      </c>
      <c r="DD13" s="5"/>
      <c r="DE13" s="5">
        <v>60</v>
      </c>
      <c r="DF13" s="5">
        <v>42</v>
      </c>
      <c r="DG13" s="5"/>
      <c r="DH13" s="5"/>
      <c r="DI13" s="5">
        <v>0.5</v>
      </c>
      <c r="DJ13" s="5">
        <v>45</v>
      </c>
      <c r="DK13" s="5">
        <v>8</v>
      </c>
      <c r="DL13" s="5">
        <v>93.4375</v>
      </c>
      <c r="DM13" s="5">
        <v>59.5625</v>
      </c>
      <c r="DN13" s="5">
        <v>33.84375</v>
      </c>
      <c r="DO13" s="5">
        <v>0.3125</v>
      </c>
      <c r="DP13" s="12">
        <v>90</v>
      </c>
      <c r="DQ13" s="5">
        <v>4</v>
      </c>
      <c r="DR13" s="13">
        <v>127.28125</v>
      </c>
      <c r="DS13" s="5">
        <v>93.4375</v>
      </c>
      <c r="DT13" s="5">
        <v>33.84375</v>
      </c>
      <c r="DU13" s="5">
        <v>0.3125</v>
      </c>
      <c r="DV13" s="5">
        <v>60</v>
      </c>
      <c r="DW13" s="5">
        <v>6</v>
      </c>
      <c r="DX13" s="5" t="s">
        <v>470</v>
      </c>
      <c r="DY13" s="5" t="s">
        <v>470</v>
      </c>
      <c r="DZ13" s="5" t="s">
        <v>470</v>
      </c>
      <c r="EA13" s="5" t="s">
        <v>470</v>
      </c>
      <c r="EB13" s="5" t="s">
        <v>470</v>
      </c>
      <c r="EC13" s="5" t="s">
        <v>470</v>
      </c>
      <c r="ED13" s="5" t="s">
        <v>470</v>
      </c>
      <c r="EE13" s="5" t="s">
        <v>470</v>
      </c>
      <c r="EF13" s="5" t="s">
        <v>470</v>
      </c>
      <c r="EG13" s="5" t="s">
        <v>470</v>
      </c>
      <c r="EH13" s="5" t="s">
        <v>470</v>
      </c>
      <c r="EI13" s="5" t="s">
        <v>470</v>
      </c>
      <c r="EJ13" s="5" t="s">
        <v>470</v>
      </c>
      <c r="EK13" s="5" t="s">
        <v>470</v>
      </c>
      <c r="EL13" s="5" t="s">
        <v>470</v>
      </c>
      <c r="EM13" s="5" t="s">
        <v>470</v>
      </c>
      <c r="EN13" s="5" t="s">
        <v>470</v>
      </c>
      <c r="EO13" s="5" t="s">
        <v>470</v>
      </c>
      <c r="EP13" s="5">
        <v>0.25</v>
      </c>
      <c r="EQ13" s="5">
        <v>127.1875</v>
      </c>
      <c r="ER13" s="5">
        <v>127.1875</v>
      </c>
      <c r="ES13" s="5">
        <v>155.875</v>
      </c>
      <c r="ET13" s="5"/>
      <c r="EU13" s="5"/>
      <c r="EV13" s="5">
        <v>-45</v>
      </c>
      <c r="EW13" s="5">
        <v>30</v>
      </c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>
        <v>0.25</v>
      </c>
      <c r="FN13" s="5">
        <v>180.125</v>
      </c>
      <c r="FO13" s="5">
        <v>14</v>
      </c>
      <c r="FP13" s="5">
        <v>25.714300000000001</v>
      </c>
      <c r="FQ13" s="5">
        <v>72.542000000000002</v>
      </c>
      <c r="FR13" s="5"/>
      <c r="FS13" s="5"/>
      <c r="FT13" s="5">
        <v>38</v>
      </c>
      <c r="FU13" s="5">
        <v>27</v>
      </c>
      <c r="FV13" s="5">
        <v>19.0625</v>
      </c>
      <c r="FW13" s="5">
        <v>0.5</v>
      </c>
      <c r="FX13" s="5">
        <v>4</v>
      </c>
      <c r="FY13" s="5">
        <v>34</v>
      </c>
      <c r="FZ13" s="5">
        <v>44</v>
      </c>
      <c r="GA13" s="5">
        <v>1</v>
      </c>
      <c r="GB13" s="5">
        <v>120</v>
      </c>
      <c r="GC13" s="5">
        <v>3</v>
      </c>
      <c r="GD13" s="5">
        <v>26</v>
      </c>
      <c r="GE13" s="5">
        <v>30</v>
      </c>
      <c r="GF13" s="5">
        <v>1</v>
      </c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</row>
    <row r="14" spans="1:201" s="1" customFormat="1" ht="15.75" customHeight="1" x14ac:dyDescent="0.25">
      <c r="A14" s="4" t="s">
        <v>483</v>
      </c>
      <c r="B14" s="5" t="s">
        <v>480</v>
      </c>
      <c r="C14" s="5">
        <v>100</v>
      </c>
      <c r="D14" s="5">
        <v>25</v>
      </c>
      <c r="E14" s="6">
        <v>25</v>
      </c>
      <c r="F14" s="5" t="s">
        <v>469</v>
      </c>
      <c r="G14" s="5">
        <v>0</v>
      </c>
      <c r="H14" s="5">
        <f t="shared" si="0"/>
        <v>300</v>
      </c>
      <c r="I14" s="5">
        <f t="shared" si="1"/>
        <v>157</v>
      </c>
      <c r="J14" s="5">
        <f t="shared" si="2"/>
        <v>145</v>
      </c>
      <c r="K14" s="5">
        <v>0</v>
      </c>
      <c r="L14" s="5">
        <v>0.875</v>
      </c>
      <c r="M14" s="5">
        <v>9</v>
      </c>
      <c r="N14" s="5">
        <v>16</v>
      </c>
      <c r="O14" s="5">
        <v>11.25</v>
      </c>
      <c r="P14" s="5">
        <v>16</v>
      </c>
      <c r="Q14" s="5">
        <v>32</v>
      </c>
      <c r="R14" s="5" t="s">
        <v>470</v>
      </c>
      <c r="S14" s="5">
        <v>32</v>
      </c>
      <c r="T14" s="5">
        <f t="shared" si="3"/>
        <v>150</v>
      </c>
      <c r="U14" s="5">
        <v>118.625</v>
      </c>
      <c r="V14" s="5">
        <v>84</v>
      </c>
      <c r="W14" s="5">
        <v>0.375</v>
      </c>
      <c r="X14" s="5">
        <v>40</v>
      </c>
      <c r="Y14" s="5">
        <v>9</v>
      </c>
      <c r="Z14" s="5">
        <v>118.625</v>
      </c>
      <c r="AA14" s="5">
        <v>87.25</v>
      </c>
      <c r="AB14" s="5">
        <v>84</v>
      </c>
      <c r="AC14" s="5">
        <v>0.375</v>
      </c>
      <c r="AD14" s="5">
        <v>60</v>
      </c>
      <c r="AE14" s="5">
        <v>6</v>
      </c>
      <c r="AF14" s="5">
        <v>0</v>
      </c>
      <c r="AG14" s="5">
        <v>87.25</v>
      </c>
      <c r="AH14" s="5">
        <v>55.875</v>
      </c>
      <c r="AI14" s="5">
        <v>84</v>
      </c>
      <c r="AJ14" s="5">
        <v>0.4375</v>
      </c>
      <c r="AK14" s="5">
        <v>60</v>
      </c>
      <c r="AL14" s="5">
        <v>6</v>
      </c>
      <c r="AM14" s="5">
        <v>0</v>
      </c>
      <c r="AN14" s="5">
        <v>55.875</v>
      </c>
      <c r="AO14" s="5">
        <v>45.78125</v>
      </c>
      <c r="AP14" s="5">
        <v>27</v>
      </c>
      <c r="AQ14" s="5">
        <v>0.5</v>
      </c>
      <c r="AR14" s="5">
        <v>90</v>
      </c>
      <c r="AS14" s="5">
        <v>4</v>
      </c>
      <c r="AT14" s="5"/>
      <c r="AU14" s="5">
        <v>45.78125</v>
      </c>
      <c r="AV14" s="5">
        <v>42</v>
      </c>
      <c r="AW14" s="5">
        <v>21</v>
      </c>
      <c r="AX14" s="5">
        <v>0.5</v>
      </c>
      <c r="AY14" s="5">
        <v>36</v>
      </c>
      <c r="AZ14" s="5">
        <v>10</v>
      </c>
      <c r="BA14" s="5">
        <v>84</v>
      </c>
      <c r="BB14" s="5">
        <v>96</v>
      </c>
      <c r="BC14" s="5">
        <v>84</v>
      </c>
      <c r="BD14" s="5">
        <v>96</v>
      </c>
      <c r="BE14" s="5">
        <v>0.375</v>
      </c>
      <c r="BF14" s="5">
        <v>84</v>
      </c>
      <c r="BG14" s="5">
        <v>96</v>
      </c>
      <c r="BH14" s="5">
        <v>0.375</v>
      </c>
      <c r="BI14" s="5">
        <v>84</v>
      </c>
      <c r="BJ14" s="5">
        <v>96</v>
      </c>
      <c r="BK14" s="5">
        <v>0.375</v>
      </c>
      <c r="BL14" s="5">
        <v>84</v>
      </c>
      <c r="BM14" s="5">
        <v>96</v>
      </c>
      <c r="BN14" s="5">
        <v>0.375</v>
      </c>
      <c r="BO14" s="5">
        <v>84</v>
      </c>
      <c r="BP14" s="5">
        <v>96</v>
      </c>
      <c r="BQ14" s="5">
        <v>0.375</v>
      </c>
      <c r="BR14" s="5">
        <v>84</v>
      </c>
      <c r="BS14" s="5">
        <v>96</v>
      </c>
      <c r="BT14" s="5">
        <v>0.375</v>
      </c>
      <c r="BU14" s="5">
        <v>84</v>
      </c>
      <c r="BV14" s="5">
        <v>96</v>
      </c>
      <c r="BW14" s="5">
        <v>0.375</v>
      </c>
      <c r="BX14" s="5">
        <v>84</v>
      </c>
      <c r="BY14" s="5">
        <v>96</v>
      </c>
      <c r="BZ14" s="5">
        <v>0.375</v>
      </c>
      <c r="CA14" s="5" t="s">
        <v>470</v>
      </c>
      <c r="CB14" s="5" t="s">
        <v>470</v>
      </c>
      <c r="CC14" s="5"/>
      <c r="CD14" s="5" t="s">
        <v>470</v>
      </c>
      <c r="CE14" s="5" t="s">
        <v>470</v>
      </c>
      <c r="CF14" s="5"/>
      <c r="CG14" s="5" t="s">
        <v>470</v>
      </c>
      <c r="CH14" s="5" t="s">
        <v>470</v>
      </c>
      <c r="CI14" s="5"/>
      <c r="CJ14" s="5" t="s">
        <v>470</v>
      </c>
      <c r="CK14" s="5" t="s">
        <v>470</v>
      </c>
      <c r="CL14" s="5"/>
      <c r="CM14" s="5" t="s">
        <v>470</v>
      </c>
      <c r="CN14" s="5" t="s">
        <v>470</v>
      </c>
      <c r="CO14" s="5"/>
      <c r="CP14" s="5" t="s">
        <v>470</v>
      </c>
      <c r="CQ14" s="5" t="s">
        <v>470</v>
      </c>
      <c r="CR14" s="5"/>
      <c r="CS14" s="5" t="s">
        <v>470</v>
      </c>
      <c r="CT14" s="5" t="s">
        <v>470</v>
      </c>
      <c r="CU14" s="5"/>
      <c r="CV14" s="5" t="s">
        <v>470</v>
      </c>
      <c r="CW14" s="5" t="s">
        <v>470</v>
      </c>
      <c r="CX14" s="5"/>
      <c r="CY14" s="5" t="s">
        <v>470</v>
      </c>
      <c r="CZ14" s="5" t="s">
        <v>470</v>
      </c>
      <c r="DA14" s="5"/>
      <c r="DB14" s="5" t="s">
        <v>470</v>
      </c>
      <c r="DC14" s="5" t="s">
        <v>470</v>
      </c>
      <c r="DD14" s="5"/>
      <c r="DE14" s="5">
        <v>60</v>
      </c>
      <c r="DF14" s="5">
        <v>42</v>
      </c>
      <c r="DG14" s="5"/>
      <c r="DH14" s="5"/>
      <c r="DI14" s="5">
        <v>0.375</v>
      </c>
      <c r="DJ14" s="5">
        <v>30</v>
      </c>
      <c r="DK14" s="5">
        <v>12</v>
      </c>
      <c r="DL14" s="5">
        <v>93.4375</v>
      </c>
      <c r="DM14" s="5">
        <v>59.5625</v>
      </c>
      <c r="DN14" s="5">
        <v>33.84375</v>
      </c>
      <c r="DO14" s="5">
        <v>0.3125</v>
      </c>
      <c r="DP14" s="12">
        <v>90</v>
      </c>
      <c r="DQ14" s="5">
        <v>4</v>
      </c>
      <c r="DR14" s="13">
        <v>127.28125</v>
      </c>
      <c r="DS14" s="5">
        <v>93.4375</v>
      </c>
      <c r="DT14" s="5">
        <v>33.84375</v>
      </c>
      <c r="DU14" s="5">
        <v>0.3125</v>
      </c>
      <c r="DV14" s="5">
        <v>60</v>
      </c>
      <c r="DW14" s="5">
        <v>6</v>
      </c>
      <c r="DX14" s="5" t="s">
        <v>470</v>
      </c>
      <c r="DY14" s="5" t="s">
        <v>470</v>
      </c>
      <c r="DZ14" s="5" t="s">
        <v>470</v>
      </c>
      <c r="EA14" s="5" t="s">
        <v>470</v>
      </c>
      <c r="EB14" s="5" t="s">
        <v>470</v>
      </c>
      <c r="EC14" s="5" t="s">
        <v>470</v>
      </c>
      <c r="ED14" s="5" t="s">
        <v>470</v>
      </c>
      <c r="EE14" s="5" t="s">
        <v>470</v>
      </c>
      <c r="EF14" s="5" t="s">
        <v>470</v>
      </c>
      <c r="EG14" s="5" t="s">
        <v>470</v>
      </c>
      <c r="EH14" s="5" t="s">
        <v>470</v>
      </c>
      <c r="EI14" s="5" t="s">
        <v>470</v>
      </c>
      <c r="EJ14" s="5" t="s">
        <v>470</v>
      </c>
      <c r="EK14" s="5" t="s">
        <v>470</v>
      </c>
      <c r="EL14" s="5" t="s">
        <v>470</v>
      </c>
      <c r="EM14" s="5" t="s">
        <v>470</v>
      </c>
      <c r="EN14" s="5" t="s">
        <v>470</v>
      </c>
      <c r="EO14" s="5" t="s">
        <v>470</v>
      </c>
      <c r="EP14" s="5">
        <v>0.25</v>
      </c>
      <c r="EQ14" s="5">
        <v>127.1875</v>
      </c>
      <c r="ER14" s="5">
        <v>127.1875</v>
      </c>
      <c r="ES14" s="5">
        <v>155.875</v>
      </c>
      <c r="ET14" s="5"/>
      <c r="EU14" s="5"/>
      <c r="EV14" s="5">
        <v>-45</v>
      </c>
      <c r="EW14" s="5">
        <v>30</v>
      </c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>
        <v>0.25</v>
      </c>
      <c r="FN14" s="5">
        <v>180.125</v>
      </c>
      <c r="FO14" s="5">
        <v>14</v>
      </c>
      <c r="FP14" s="5">
        <v>25.714300000000001</v>
      </c>
      <c r="FQ14" s="5">
        <v>72.542000000000002</v>
      </c>
      <c r="FR14" s="5"/>
      <c r="FS14" s="5"/>
      <c r="FT14" s="5">
        <v>38</v>
      </c>
      <c r="FU14" s="5">
        <v>21</v>
      </c>
      <c r="FV14" s="5">
        <v>17</v>
      </c>
      <c r="FW14" s="5">
        <v>0.5</v>
      </c>
      <c r="FX14" s="5">
        <v>4</v>
      </c>
      <c r="FY14" s="5">
        <v>34</v>
      </c>
      <c r="FZ14" s="5">
        <v>44</v>
      </c>
      <c r="GA14" s="5">
        <v>1</v>
      </c>
      <c r="GB14" s="5">
        <v>120</v>
      </c>
      <c r="GC14" s="5">
        <v>3</v>
      </c>
      <c r="GD14" s="5">
        <v>20</v>
      </c>
      <c r="GE14" s="5">
        <v>24</v>
      </c>
      <c r="GF14" s="5">
        <v>1</v>
      </c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</row>
    <row r="15" spans="1:201" s="1" customFormat="1" ht="15.75" customHeight="1" x14ac:dyDescent="0.25">
      <c r="A15" s="4" t="s">
        <v>484</v>
      </c>
      <c r="B15" s="5" t="s">
        <v>482</v>
      </c>
      <c r="C15" s="5">
        <v>100</v>
      </c>
      <c r="D15" s="5">
        <v>28</v>
      </c>
      <c r="E15" s="6">
        <v>25</v>
      </c>
      <c r="F15" s="5" t="s">
        <v>469</v>
      </c>
      <c r="G15" s="5">
        <v>0</v>
      </c>
      <c r="H15" s="5">
        <f t="shared" si="0"/>
        <v>336</v>
      </c>
      <c r="I15" s="5">
        <f t="shared" si="1"/>
        <v>175</v>
      </c>
      <c r="J15" s="5">
        <f t="shared" si="2"/>
        <v>163</v>
      </c>
      <c r="K15" s="5">
        <v>0</v>
      </c>
      <c r="L15" s="5">
        <v>0.6875</v>
      </c>
      <c r="M15" s="5">
        <v>9</v>
      </c>
      <c r="N15" s="5">
        <v>16</v>
      </c>
      <c r="O15" s="5">
        <v>11.25</v>
      </c>
      <c r="P15" s="5">
        <v>16</v>
      </c>
      <c r="Q15" s="5">
        <v>32</v>
      </c>
      <c r="R15" s="5" t="s">
        <v>470</v>
      </c>
      <c r="S15" s="5">
        <v>32</v>
      </c>
      <c r="T15" s="5">
        <f t="shared" si="3"/>
        <v>168</v>
      </c>
      <c r="U15" s="5">
        <v>131.17670000000001</v>
      </c>
      <c r="V15" s="5">
        <v>84</v>
      </c>
      <c r="W15" s="5">
        <v>0.3125</v>
      </c>
      <c r="X15" s="5">
        <v>40</v>
      </c>
      <c r="Y15" s="5">
        <v>9</v>
      </c>
      <c r="Z15" s="5">
        <v>131.17670000000001</v>
      </c>
      <c r="AA15" s="5">
        <v>94.353300000000004</v>
      </c>
      <c r="AB15" s="5">
        <v>84</v>
      </c>
      <c r="AC15" s="5">
        <v>0.3125</v>
      </c>
      <c r="AD15" s="5">
        <v>45</v>
      </c>
      <c r="AE15" s="5">
        <v>8</v>
      </c>
      <c r="AF15" s="5">
        <v>0</v>
      </c>
      <c r="AG15" s="5">
        <v>94.353300000000004</v>
      </c>
      <c r="AH15" s="5">
        <v>57.53</v>
      </c>
      <c r="AI15" s="5">
        <v>84</v>
      </c>
      <c r="AJ15" s="5">
        <v>0.375</v>
      </c>
      <c r="AK15" s="5">
        <v>60</v>
      </c>
      <c r="AL15" s="5">
        <v>6</v>
      </c>
      <c r="AM15" s="5">
        <v>0</v>
      </c>
      <c r="AN15" s="5">
        <v>57.53</v>
      </c>
      <c r="AO15" s="5">
        <v>47.048200000000001</v>
      </c>
      <c r="AP15" s="5">
        <v>23.9375</v>
      </c>
      <c r="AQ15" s="5">
        <v>0.4375</v>
      </c>
      <c r="AR15" s="5">
        <v>90</v>
      </c>
      <c r="AS15" s="5">
        <v>4</v>
      </c>
      <c r="AT15" s="5"/>
      <c r="AU15" s="5">
        <v>47.048200000000001</v>
      </c>
      <c r="AV15" s="5">
        <v>42</v>
      </c>
      <c r="AW15" s="5">
        <v>24.0625</v>
      </c>
      <c r="AX15" s="5">
        <v>0.4375</v>
      </c>
      <c r="AY15" s="5">
        <v>36</v>
      </c>
      <c r="AZ15" s="5">
        <v>10</v>
      </c>
      <c r="BA15" s="5">
        <v>84</v>
      </c>
      <c r="BB15" s="5">
        <v>96</v>
      </c>
      <c r="BC15" s="5">
        <v>84</v>
      </c>
      <c r="BD15" s="5">
        <v>96</v>
      </c>
      <c r="BE15" s="5">
        <v>0.375</v>
      </c>
      <c r="BF15" s="5">
        <v>84</v>
      </c>
      <c r="BG15" s="5">
        <v>96</v>
      </c>
      <c r="BH15" s="5">
        <v>0.375</v>
      </c>
      <c r="BI15" s="5">
        <v>84</v>
      </c>
      <c r="BJ15" s="5">
        <v>96</v>
      </c>
      <c r="BK15" s="5">
        <v>0.375</v>
      </c>
      <c r="BL15" s="5">
        <v>84</v>
      </c>
      <c r="BM15" s="5">
        <v>96</v>
      </c>
      <c r="BN15" s="5">
        <v>0.375</v>
      </c>
      <c r="BO15" s="5">
        <v>84</v>
      </c>
      <c r="BP15" s="5">
        <v>96</v>
      </c>
      <c r="BQ15" s="5">
        <v>0.375</v>
      </c>
      <c r="BR15" s="5">
        <v>84</v>
      </c>
      <c r="BS15" s="5">
        <v>96</v>
      </c>
      <c r="BT15" s="5">
        <v>0.375</v>
      </c>
      <c r="BU15" s="5">
        <v>84</v>
      </c>
      <c r="BV15" s="5">
        <v>96</v>
      </c>
      <c r="BW15" s="5">
        <v>0.375</v>
      </c>
      <c r="BX15" s="5">
        <v>84</v>
      </c>
      <c r="BY15" s="5">
        <v>96</v>
      </c>
      <c r="BZ15" s="5">
        <v>0.375</v>
      </c>
      <c r="CA15" s="5" t="s">
        <v>470</v>
      </c>
      <c r="CB15" s="5" t="s">
        <v>470</v>
      </c>
      <c r="CC15" s="5"/>
      <c r="CD15" s="5" t="s">
        <v>470</v>
      </c>
      <c r="CE15" s="5" t="s">
        <v>470</v>
      </c>
      <c r="CF15" s="5"/>
      <c r="CG15" s="5" t="s">
        <v>470</v>
      </c>
      <c r="CH15" s="5" t="s">
        <v>470</v>
      </c>
      <c r="CI15" s="5"/>
      <c r="CJ15" s="5" t="s">
        <v>470</v>
      </c>
      <c r="CK15" s="5" t="s">
        <v>470</v>
      </c>
      <c r="CL15" s="5"/>
      <c r="CM15" s="5" t="s">
        <v>470</v>
      </c>
      <c r="CN15" s="5" t="s">
        <v>470</v>
      </c>
      <c r="CO15" s="5"/>
      <c r="CP15" s="5" t="s">
        <v>470</v>
      </c>
      <c r="CQ15" s="5" t="s">
        <v>470</v>
      </c>
      <c r="CR15" s="5"/>
      <c r="CS15" s="5" t="s">
        <v>470</v>
      </c>
      <c r="CT15" s="5" t="s">
        <v>470</v>
      </c>
      <c r="CU15" s="5"/>
      <c r="CV15" s="5" t="s">
        <v>470</v>
      </c>
      <c r="CW15" s="5" t="s">
        <v>470</v>
      </c>
      <c r="CX15" s="5"/>
      <c r="CY15" s="5" t="s">
        <v>470</v>
      </c>
      <c r="CZ15" s="5" t="s">
        <v>470</v>
      </c>
      <c r="DA15" s="5"/>
      <c r="DB15" s="5" t="s">
        <v>470</v>
      </c>
      <c r="DC15" s="5" t="s">
        <v>470</v>
      </c>
      <c r="DD15" s="5"/>
      <c r="DE15" s="5">
        <v>60</v>
      </c>
      <c r="DF15" s="5">
        <v>42</v>
      </c>
      <c r="DG15" s="5"/>
      <c r="DH15" s="5"/>
      <c r="DI15" s="5">
        <v>0.375</v>
      </c>
      <c r="DJ15" s="5">
        <v>45</v>
      </c>
      <c r="DK15" s="5">
        <v>8</v>
      </c>
      <c r="DL15" s="5">
        <v>93.4375</v>
      </c>
      <c r="DM15" s="5">
        <v>59.5625</v>
      </c>
      <c r="DN15" s="5">
        <v>33.84375</v>
      </c>
      <c r="DO15" s="5">
        <v>0.3125</v>
      </c>
      <c r="DP15" s="12">
        <v>90</v>
      </c>
      <c r="DQ15" s="5">
        <v>4</v>
      </c>
      <c r="DR15" s="13">
        <v>127.28125</v>
      </c>
      <c r="DS15" s="5">
        <v>93.4375</v>
      </c>
      <c r="DT15" s="5">
        <v>33.84375</v>
      </c>
      <c r="DU15" s="5">
        <v>0.3125</v>
      </c>
      <c r="DV15" s="5">
        <v>60</v>
      </c>
      <c r="DW15" s="5">
        <v>6</v>
      </c>
      <c r="DX15" s="5" t="s">
        <v>470</v>
      </c>
      <c r="DY15" s="5" t="s">
        <v>470</v>
      </c>
      <c r="DZ15" s="5" t="s">
        <v>470</v>
      </c>
      <c r="EA15" s="5" t="s">
        <v>470</v>
      </c>
      <c r="EB15" s="5" t="s">
        <v>470</v>
      </c>
      <c r="EC15" s="5" t="s">
        <v>470</v>
      </c>
      <c r="ED15" s="5" t="s">
        <v>470</v>
      </c>
      <c r="EE15" s="5" t="s">
        <v>470</v>
      </c>
      <c r="EF15" s="5" t="s">
        <v>470</v>
      </c>
      <c r="EG15" s="5" t="s">
        <v>470</v>
      </c>
      <c r="EH15" s="5" t="s">
        <v>470</v>
      </c>
      <c r="EI15" s="5" t="s">
        <v>470</v>
      </c>
      <c r="EJ15" s="5" t="s">
        <v>470</v>
      </c>
      <c r="EK15" s="5" t="s">
        <v>470</v>
      </c>
      <c r="EL15" s="5" t="s">
        <v>470</v>
      </c>
      <c r="EM15" s="5" t="s">
        <v>470</v>
      </c>
      <c r="EN15" s="5" t="s">
        <v>470</v>
      </c>
      <c r="EO15" s="5" t="s">
        <v>470</v>
      </c>
      <c r="EP15" s="5">
        <v>0.25</v>
      </c>
      <c r="EQ15" s="5">
        <v>127.1875</v>
      </c>
      <c r="ER15" s="5">
        <v>127.1875</v>
      </c>
      <c r="ES15" s="5">
        <v>155.875</v>
      </c>
      <c r="ET15" s="5"/>
      <c r="EU15" s="5"/>
      <c r="EV15" s="5">
        <v>-45</v>
      </c>
      <c r="EW15" s="5">
        <v>30</v>
      </c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>
        <v>0.25</v>
      </c>
      <c r="FN15" s="5">
        <v>180.125</v>
      </c>
      <c r="FO15" s="5">
        <v>14</v>
      </c>
      <c r="FP15" s="5">
        <v>25.714300000000001</v>
      </c>
      <c r="FQ15" s="5">
        <v>72.542000000000002</v>
      </c>
      <c r="FR15" s="5"/>
      <c r="FS15" s="5"/>
      <c r="FT15" s="5">
        <v>38</v>
      </c>
      <c r="FU15" s="5">
        <v>21</v>
      </c>
      <c r="FV15" s="5">
        <v>17</v>
      </c>
      <c r="FW15" s="5">
        <v>0.5</v>
      </c>
      <c r="FX15" s="5">
        <v>4</v>
      </c>
      <c r="FY15" s="5">
        <v>34</v>
      </c>
      <c r="FZ15" s="5">
        <v>44</v>
      </c>
      <c r="GA15" s="5">
        <v>1</v>
      </c>
      <c r="GB15" s="5">
        <v>120</v>
      </c>
      <c r="GC15" s="5">
        <v>3</v>
      </c>
      <c r="GD15" s="5">
        <v>20</v>
      </c>
      <c r="GE15" s="5">
        <v>24</v>
      </c>
      <c r="GF15" s="5">
        <v>1</v>
      </c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</row>
    <row r="16" spans="1:201" s="1" customFormat="1" ht="15.75" customHeight="1" x14ac:dyDescent="0.25">
      <c r="A16" s="4" t="s">
        <v>485</v>
      </c>
      <c r="B16" s="5" t="s">
        <v>482</v>
      </c>
      <c r="C16" s="5">
        <v>125</v>
      </c>
      <c r="D16" s="5">
        <v>21</v>
      </c>
      <c r="E16" s="6">
        <v>22.333333333300001</v>
      </c>
      <c r="F16" s="5" t="s">
        <v>469</v>
      </c>
      <c r="G16" s="5">
        <v>0</v>
      </c>
      <c r="H16" s="5">
        <f>D16*12</f>
        <v>252</v>
      </c>
      <c r="I16" s="5">
        <f>D16*12/2+7</f>
        <v>133</v>
      </c>
      <c r="J16" s="5">
        <f>I16-12</f>
        <v>121</v>
      </c>
      <c r="K16" s="5">
        <v>45</v>
      </c>
      <c r="L16" s="5">
        <v>0.9375</v>
      </c>
      <c r="M16" s="5">
        <v>8</v>
      </c>
      <c r="N16" s="5">
        <v>16</v>
      </c>
      <c r="O16" s="5">
        <v>11.25</v>
      </c>
      <c r="P16" s="5">
        <v>16</v>
      </c>
      <c r="Q16" s="5">
        <v>32</v>
      </c>
      <c r="R16" s="5" t="s">
        <v>470</v>
      </c>
      <c r="S16" s="5">
        <v>32</v>
      </c>
      <c r="T16" s="5">
        <f t="shared" si="3"/>
        <v>126</v>
      </c>
      <c r="U16" s="5">
        <v>99.816100000000006</v>
      </c>
      <c r="V16" s="5">
        <v>87</v>
      </c>
      <c r="W16" s="5">
        <v>0.3125</v>
      </c>
      <c r="X16" s="5">
        <v>45</v>
      </c>
      <c r="Y16" s="5">
        <v>8</v>
      </c>
      <c r="Z16" s="5">
        <v>99.816100000000006</v>
      </c>
      <c r="AA16" s="5">
        <v>74.5351</v>
      </c>
      <c r="AB16" s="5">
        <v>84</v>
      </c>
      <c r="AC16" s="5">
        <v>0.3125</v>
      </c>
      <c r="AD16" s="5">
        <v>60</v>
      </c>
      <c r="AE16" s="5">
        <v>6</v>
      </c>
      <c r="AF16" s="5">
        <v>0</v>
      </c>
      <c r="AG16" s="5">
        <v>74.5351</v>
      </c>
      <c r="AH16" s="5">
        <v>50.545699999999997</v>
      </c>
      <c r="AI16" s="5">
        <v>79.6875</v>
      </c>
      <c r="AJ16" s="5">
        <v>0.375</v>
      </c>
      <c r="AK16" s="5">
        <v>90</v>
      </c>
      <c r="AL16" s="5">
        <v>4</v>
      </c>
      <c r="AM16" s="5">
        <v>60</v>
      </c>
      <c r="AN16" s="5">
        <v>50.545699999999997</v>
      </c>
      <c r="AO16" s="5">
        <v>48</v>
      </c>
      <c r="AP16" s="5">
        <v>17.3125</v>
      </c>
      <c r="AQ16" s="5">
        <v>0.4375</v>
      </c>
      <c r="AR16" s="5">
        <v>36</v>
      </c>
      <c r="AS16" s="5">
        <v>10</v>
      </c>
      <c r="AT16" s="5" t="s">
        <v>470</v>
      </c>
      <c r="AU16" s="5" t="s">
        <v>470</v>
      </c>
      <c r="AV16" s="5" t="s">
        <v>470</v>
      </c>
      <c r="AW16" s="5" t="s">
        <v>470</v>
      </c>
      <c r="AX16" s="5" t="s">
        <v>470</v>
      </c>
      <c r="AY16" s="5" t="s">
        <v>470</v>
      </c>
      <c r="AZ16" s="5" t="s">
        <v>470</v>
      </c>
      <c r="BA16" s="5">
        <v>96</v>
      </c>
      <c r="BB16" s="5">
        <v>96</v>
      </c>
      <c r="BC16" s="5">
        <v>96</v>
      </c>
      <c r="BD16" s="5">
        <v>96</v>
      </c>
      <c r="BE16" s="5">
        <v>0.375</v>
      </c>
      <c r="BF16" s="5">
        <v>96</v>
      </c>
      <c r="BG16" s="5">
        <v>96</v>
      </c>
      <c r="BH16" s="5">
        <v>0.375</v>
      </c>
      <c r="BI16" s="5">
        <v>96</v>
      </c>
      <c r="BJ16" s="5">
        <v>96</v>
      </c>
      <c r="BK16" s="5">
        <v>0.375</v>
      </c>
      <c r="BL16" s="5">
        <v>96</v>
      </c>
      <c r="BM16" s="5">
        <v>96</v>
      </c>
      <c r="BN16" s="5">
        <v>0.375</v>
      </c>
      <c r="BO16" s="5">
        <v>96</v>
      </c>
      <c r="BP16" s="5">
        <v>96</v>
      </c>
      <c r="BQ16" s="5">
        <v>0.375</v>
      </c>
      <c r="BR16" s="5">
        <v>96</v>
      </c>
      <c r="BS16" s="5">
        <v>96</v>
      </c>
      <c r="BT16" s="5">
        <v>0.375</v>
      </c>
      <c r="BU16" s="5">
        <v>96</v>
      </c>
      <c r="BV16" s="5">
        <v>96</v>
      </c>
      <c r="BW16" s="5">
        <v>0.375</v>
      </c>
      <c r="BX16" s="5">
        <v>96</v>
      </c>
      <c r="BY16" s="5">
        <v>96</v>
      </c>
      <c r="BZ16" s="5">
        <v>0.375</v>
      </c>
      <c r="CA16" s="5" t="s">
        <v>470</v>
      </c>
      <c r="CB16" s="5" t="s">
        <v>470</v>
      </c>
      <c r="CC16" s="5"/>
      <c r="CD16" s="5" t="s">
        <v>470</v>
      </c>
      <c r="CE16" s="5" t="s">
        <v>470</v>
      </c>
      <c r="CF16" s="5"/>
      <c r="CG16" s="5" t="s">
        <v>470</v>
      </c>
      <c r="CH16" s="5" t="s">
        <v>470</v>
      </c>
      <c r="CI16" s="5"/>
      <c r="CJ16" s="5" t="s">
        <v>470</v>
      </c>
      <c r="CK16" s="5" t="s">
        <v>470</v>
      </c>
      <c r="CL16" s="5"/>
      <c r="CM16" s="5" t="s">
        <v>470</v>
      </c>
      <c r="CN16" s="5" t="s">
        <v>470</v>
      </c>
      <c r="CO16" s="5"/>
      <c r="CP16" s="5" t="s">
        <v>470</v>
      </c>
      <c r="CQ16" s="5" t="s">
        <v>470</v>
      </c>
      <c r="CR16" s="5"/>
      <c r="CS16" s="5" t="s">
        <v>470</v>
      </c>
      <c r="CT16" s="5" t="s">
        <v>470</v>
      </c>
      <c r="CU16" s="5"/>
      <c r="CV16" s="5" t="s">
        <v>470</v>
      </c>
      <c r="CW16" s="5" t="s">
        <v>470</v>
      </c>
      <c r="CX16" s="5"/>
      <c r="CY16" s="5" t="s">
        <v>470</v>
      </c>
      <c r="CZ16" s="5" t="s">
        <v>470</v>
      </c>
      <c r="DA16" s="5"/>
      <c r="DB16" s="5" t="s">
        <v>470</v>
      </c>
      <c r="DC16" s="5" t="s">
        <v>470</v>
      </c>
      <c r="DD16" s="5"/>
      <c r="DE16" s="5">
        <v>60</v>
      </c>
      <c r="DF16" s="5">
        <v>48</v>
      </c>
      <c r="DG16" s="5">
        <v>65.5625</v>
      </c>
      <c r="DH16" s="5">
        <v>42.4375</v>
      </c>
      <c r="DI16" s="5">
        <v>0.4375</v>
      </c>
      <c r="DJ16" s="5">
        <v>45</v>
      </c>
      <c r="DK16" s="5">
        <v>8</v>
      </c>
      <c r="DL16" s="5">
        <v>101.375</v>
      </c>
      <c r="DM16" s="5">
        <v>65.578149999999994</v>
      </c>
      <c r="DN16" s="5">
        <v>35.8125</v>
      </c>
      <c r="DO16" s="5">
        <v>0.375</v>
      </c>
      <c r="DP16" s="12">
        <v>90</v>
      </c>
      <c r="DQ16" s="5">
        <v>4</v>
      </c>
      <c r="DR16" s="13">
        <v>137.171875</v>
      </c>
      <c r="DS16" s="5">
        <v>101.375</v>
      </c>
      <c r="DT16" s="5">
        <v>35.8125</v>
      </c>
      <c r="DU16" s="5">
        <v>0.375</v>
      </c>
      <c r="DV16" s="5">
        <v>60</v>
      </c>
      <c r="DW16" s="5">
        <v>6</v>
      </c>
      <c r="DX16" s="5" t="s">
        <v>470</v>
      </c>
      <c r="DY16" s="5" t="s">
        <v>470</v>
      </c>
      <c r="DZ16" s="5" t="s">
        <v>470</v>
      </c>
      <c r="EA16" s="5" t="s">
        <v>470</v>
      </c>
      <c r="EB16" s="5" t="s">
        <v>470</v>
      </c>
      <c r="EC16" s="5" t="s">
        <v>470</v>
      </c>
      <c r="ED16" s="5" t="s">
        <v>470</v>
      </c>
      <c r="EE16" s="5" t="s">
        <v>470</v>
      </c>
      <c r="EF16" s="5" t="s">
        <v>470</v>
      </c>
      <c r="EG16" s="5" t="s">
        <v>470</v>
      </c>
      <c r="EH16" s="5" t="s">
        <v>470</v>
      </c>
      <c r="EI16" s="5" t="s">
        <v>470</v>
      </c>
      <c r="EJ16" s="5" t="s">
        <v>470</v>
      </c>
      <c r="EK16" s="5" t="s">
        <v>470</v>
      </c>
      <c r="EL16" s="5" t="s">
        <v>470</v>
      </c>
      <c r="EM16" s="5" t="s">
        <v>470</v>
      </c>
      <c r="EN16" s="5" t="s">
        <v>470</v>
      </c>
      <c r="EO16" s="5" t="s">
        <v>470</v>
      </c>
      <c r="EP16" s="5">
        <v>0.3125</v>
      </c>
      <c r="EQ16" s="5">
        <v>137.0625</v>
      </c>
      <c r="ER16" s="5">
        <v>137.0625</v>
      </c>
      <c r="ES16" s="5">
        <v>169.1875</v>
      </c>
      <c r="ET16" s="5"/>
      <c r="EU16" s="5"/>
      <c r="EV16" s="5">
        <v>45</v>
      </c>
      <c r="EW16" s="5">
        <v>30</v>
      </c>
      <c r="EX16" s="5">
        <v>194</v>
      </c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>
        <v>0.25</v>
      </c>
      <c r="FN16" s="5">
        <v>194.125</v>
      </c>
      <c r="FO16" s="5">
        <v>16</v>
      </c>
      <c r="FP16" s="5">
        <v>22.5</v>
      </c>
      <c r="FQ16" s="5">
        <v>80.218900000000005</v>
      </c>
      <c r="FR16" s="5">
        <v>0</v>
      </c>
      <c r="FS16" s="5" t="s">
        <v>486</v>
      </c>
      <c r="FT16" s="5">
        <v>44</v>
      </c>
      <c r="FU16" s="5">
        <v>21</v>
      </c>
      <c r="FV16" s="5">
        <v>23</v>
      </c>
      <c r="FW16" s="5">
        <v>0.5</v>
      </c>
      <c r="FX16" s="5">
        <v>4</v>
      </c>
      <c r="FY16" s="5">
        <v>40</v>
      </c>
      <c r="FZ16" s="5">
        <v>50</v>
      </c>
      <c r="GA16" s="5">
        <v>1.125</v>
      </c>
      <c r="GB16" s="5">
        <v>120</v>
      </c>
      <c r="GC16" s="5">
        <v>3</v>
      </c>
      <c r="GD16" s="5">
        <v>20</v>
      </c>
      <c r="GE16" s="5">
        <v>24</v>
      </c>
      <c r="GF16" s="5">
        <v>1</v>
      </c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</row>
    <row r="17" spans="1:201" s="1" customFormat="1" ht="15.75" customHeight="1" x14ac:dyDescent="0.25">
      <c r="A17" s="4" t="s">
        <v>487</v>
      </c>
      <c r="B17" s="5" t="s">
        <v>482</v>
      </c>
      <c r="C17" s="5">
        <v>125</v>
      </c>
      <c r="D17" s="5">
        <v>23</v>
      </c>
      <c r="E17" s="6">
        <v>22.333333333300001</v>
      </c>
      <c r="F17" s="5" t="s">
        <v>469</v>
      </c>
      <c r="G17" s="5">
        <v>0</v>
      </c>
      <c r="H17" s="5">
        <f t="shared" si="0"/>
        <v>276</v>
      </c>
      <c r="I17" s="5">
        <f t="shared" si="1"/>
        <v>145</v>
      </c>
      <c r="J17" s="5">
        <f t="shared" si="2"/>
        <v>133</v>
      </c>
      <c r="K17" s="5">
        <v>45</v>
      </c>
      <c r="L17" s="5">
        <v>0.9375</v>
      </c>
      <c r="M17" s="5">
        <v>8</v>
      </c>
      <c r="N17" s="5">
        <v>16</v>
      </c>
      <c r="O17" s="5">
        <v>11.25</v>
      </c>
      <c r="P17" s="5">
        <v>16</v>
      </c>
      <c r="Q17" s="5">
        <v>32</v>
      </c>
      <c r="R17" s="5" t="s">
        <v>470</v>
      </c>
      <c r="S17" s="5">
        <v>32</v>
      </c>
      <c r="T17" s="5">
        <f t="shared" si="3"/>
        <v>138</v>
      </c>
      <c r="U17" s="5">
        <v>107.631</v>
      </c>
      <c r="V17" s="5">
        <v>87</v>
      </c>
      <c r="W17" s="5">
        <v>0.375</v>
      </c>
      <c r="X17" s="5">
        <v>45</v>
      </c>
      <c r="Y17" s="5">
        <v>8</v>
      </c>
      <c r="Z17" s="5">
        <v>107.631</v>
      </c>
      <c r="AA17" s="5">
        <v>78.309200000000004</v>
      </c>
      <c r="AB17" s="5">
        <v>84</v>
      </c>
      <c r="AC17" s="5">
        <v>0.375</v>
      </c>
      <c r="AD17" s="5">
        <v>60</v>
      </c>
      <c r="AE17" s="5">
        <v>6</v>
      </c>
      <c r="AF17" s="5">
        <v>0</v>
      </c>
      <c r="AG17" s="5">
        <v>78.309200000000004</v>
      </c>
      <c r="AH17" s="5">
        <v>51.34375</v>
      </c>
      <c r="AI17" s="5">
        <v>77.25</v>
      </c>
      <c r="AJ17" s="5">
        <v>0.5</v>
      </c>
      <c r="AK17" s="5">
        <v>90</v>
      </c>
      <c r="AL17" s="5">
        <v>4</v>
      </c>
      <c r="AM17" s="5">
        <v>60</v>
      </c>
      <c r="AN17" s="5">
        <v>51.34375</v>
      </c>
      <c r="AO17" s="5">
        <v>48</v>
      </c>
      <c r="AP17" s="5">
        <v>19.75</v>
      </c>
      <c r="AQ17" s="5">
        <v>0.5</v>
      </c>
      <c r="AR17" s="5">
        <v>36</v>
      </c>
      <c r="AS17" s="5">
        <v>10</v>
      </c>
      <c r="AT17" s="5" t="s">
        <v>470</v>
      </c>
      <c r="AU17" s="5" t="s">
        <v>470</v>
      </c>
      <c r="AV17" s="5" t="s">
        <v>470</v>
      </c>
      <c r="AW17" s="5" t="s">
        <v>470</v>
      </c>
      <c r="AX17" s="5" t="s">
        <v>470</v>
      </c>
      <c r="AY17" s="5" t="s">
        <v>470</v>
      </c>
      <c r="AZ17" s="5" t="s">
        <v>470</v>
      </c>
      <c r="BA17" s="5">
        <v>96</v>
      </c>
      <c r="BB17" s="5">
        <v>96</v>
      </c>
      <c r="BC17" s="5">
        <v>96</v>
      </c>
      <c r="BD17" s="5">
        <v>96</v>
      </c>
      <c r="BE17" s="5">
        <v>0.375</v>
      </c>
      <c r="BF17" s="5">
        <v>96</v>
      </c>
      <c r="BG17" s="5">
        <v>96</v>
      </c>
      <c r="BH17" s="5">
        <v>0.375</v>
      </c>
      <c r="BI17" s="5">
        <v>96</v>
      </c>
      <c r="BJ17" s="5">
        <v>96</v>
      </c>
      <c r="BK17" s="5">
        <v>0.375</v>
      </c>
      <c r="BL17" s="5">
        <v>96</v>
      </c>
      <c r="BM17" s="5">
        <v>96</v>
      </c>
      <c r="BN17" s="5">
        <v>0.375</v>
      </c>
      <c r="BO17" s="5">
        <v>96</v>
      </c>
      <c r="BP17" s="5">
        <v>96</v>
      </c>
      <c r="BQ17" s="5">
        <v>0.375</v>
      </c>
      <c r="BR17" s="5">
        <v>96</v>
      </c>
      <c r="BS17" s="5">
        <v>96</v>
      </c>
      <c r="BT17" s="5">
        <v>0.375</v>
      </c>
      <c r="BU17" s="5">
        <v>96</v>
      </c>
      <c r="BV17" s="5">
        <v>96</v>
      </c>
      <c r="BW17" s="5">
        <v>0.375</v>
      </c>
      <c r="BX17" s="5">
        <v>96</v>
      </c>
      <c r="BY17" s="5">
        <v>96</v>
      </c>
      <c r="BZ17" s="5">
        <v>0.375</v>
      </c>
      <c r="CA17" s="5" t="s">
        <v>470</v>
      </c>
      <c r="CB17" s="5" t="s">
        <v>470</v>
      </c>
      <c r="CC17" s="5"/>
      <c r="CD17" s="5" t="s">
        <v>470</v>
      </c>
      <c r="CE17" s="5" t="s">
        <v>470</v>
      </c>
      <c r="CF17" s="5"/>
      <c r="CG17" s="5" t="s">
        <v>470</v>
      </c>
      <c r="CH17" s="5" t="s">
        <v>470</v>
      </c>
      <c r="CI17" s="5"/>
      <c r="CJ17" s="5" t="s">
        <v>470</v>
      </c>
      <c r="CK17" s="5" t="s">
        <v>470</v>
      </c>
      <c r="CL17" s="5"/>
      <c r="CM17" s="5" t="s">
        <v>470</v>
      </c>
      <c r="CN17" s="5" t="s">
        <v>470</v>
      </c>
      <c r="CO17" s="5"/>
      <c r="CP17" s="5" t="s">
        <v>470</v>
      </c>
      <c r="CQ17" s="5" t="s">
        <v>470</v>
      </c>
      <c r="CR17" s="5"/>
      <c r="CS17" s="5" t="s">
        <v>470</v>
      </c>
      <c r="CT17" s="5" t="s">
        <v>470</v>
      </c>
      <c r="CU17" s="5"/>
      <c r="CV17" s="5" t="s">
        <v>470</v>
      </c>
      <c r="CW17" s="5" t="s">
        <v>470</v>
      </c>
      <c r="CX17" s="5"/>
      <c r="CY17" s="5" t="s">
        <v>470</v>
      </c>
      <c r="CZ17" s="5" t="s">
        <v>470</v>
      </c>
      <c r="DA17" s="5"/>
      <c r="DB17" s="5" t="s">
        <v>470</v>
      </c>
      <c r="DC17" s="5" t="s">
        <v>470</v>
      </c>
      <c r="DD17" s="5"/>
      <c r="DE17" s="5">
        <v>60</v>
      </c>
      <c r="DF17" s="5">
        <v>48</v>
      </c>
      <c r="DG17" s="5">
        <v>65.5625</v>
      </c>
      <c r="DH17" s="5">
        <v>42.4375</v>
      </c>
      <c r="DI17" s="5">
        <v>0.4375</v>
      </c>
      <c r="DJ17" s="5">
        <v>45</v>
      </c>
      <c r="DK17" s="5">
        <v>8</v>
      </c>
      <c r="DL17" s="5">
        <v>101.375</v>
      </c>
      <c r="DM17" s="5">
        <v>65.578149999999994</v>
      </c>
      <c r="DN17" s="5">
        <v>35.8125</v>
      </c>
      <c r="DO17" s="5">
        <v>0.375</v>
      </c>
      <c r="DP17" s="12">
        <v>90</v>
      </c>
      <c r="DQ17" s="5">
        <v>4</v>
      </c>
      <c r="DR17" s="13">
        <v>137.171875</v>
      </c>
      <c r="DS17" s="5">
        <v>101.375</v>
      </c>
      <c r="DT17" s="5">
        <v>35.8125</v>
      </c>
      <c r="DU17" s="5">
        <v>0.375</v>
      </c>
      <c r="DV17" s="5">
        <v>60</v>
      </c>
      <c r="DW17" s="5">
        <v>6</v>
      </c>
      <c r="DX17" s="5" t="s">
        <v>470</v>
      </c>
      <c r="DY17" s="5" t="s">
        <v>470</v>
      </c>
      <c r="DZ17" s="5" t="s">
        <v>470</v>
      </c>
      <c r="EA17" s="5" t="s">
        <v>470</v>
      </c>
      <c r="EB17" s="5" t="s">
        <v>470</v>
      </c>
      <c r="EC17" s="5" t="s">
        <v>470</v>
      </c>
      <c r="ED17" s="5" t="s">
        <v>470</v>
      </c>
      <c r="EE17" s="5" t="s">
        <v>470</v>
      </c>
      <c r="EF17" s="5" t="s">
        <v>470</v>
      </c>
      <c r="EG17" s="5" t="s">
        <v>470</v>
      </c>
      <c r="EH17" s="5" t="s">
        <v>470</v>
      </c>
      <c r="EI17" s="5" t="s">
        <v>470</v>
      </c>
      <c r="EJ17" s="5" t="s">
        <v>470</v>
      </c>
      <c r="EK17" s="5" t="s">
        <v>470</v>
      </c>
      <c r="EL17" s="5" t="s">
        <v>470</v>
      </c>
      <c r="EM17" s="5" t="s">
        <v>470</v>
      </c>
      <c r="EN17" s="5" t="s">
        <v>470</v>
      </c>
      <c r="EO17" s="5" t="s">
        <v>470</v>
      </c>
      <c r="EP17" s="5">
        <v>0.3125</v>
      </c>
      <c r="EQ17" s="5">
        <v>137.0625</v>
      </c>
      <c r="ER17" s="5">
        <v>137.0625</v>
      </c>
      <c r="ES17" s="5">
        <v>169.1875</v>
      </c>
      <c r="ET17" s="5"/>
      <c r="EU17" s="5"/>
      <c r="EV17" s="5">
        <v>45</v>
      </c>
      <c r="EW17" s="5">
        <v>30</v>
      </c>
      <c r="EX17" s="5">
        <v>194</v>
      </c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>
        <v>0.25</v>
      </c>
      <c r="FN17" s="5">
        <v>194.125</v>
      </c>
      <c r="FO17" s="5">
        <v>16</v>
      </c>
      <c r="FP17" s="5">
        <v>22.5</v>
      </c>
      <c r="FQ17" s="5">
        <v>80.218900000000005</v>
      </c>
      <c r="FR17" s="5">
        <v>0</v>
      </c>
      <c r="FS17" s="5" t="s">
        <v>486</v>
      </c>
      <c r="FT17" s="5">
        <v>44</v>
      </c>
      <c r="FU17" s="5">
        <v>21</v>
      </c>
      <c r="FV17" s="5">
        <v>23</v>
      </c>
      <c r="FW17" s="5">
        <v>0.5</v>
      </c>
      <c r="FX17" s="5">
        <v>4</v>
      </c>
      <c r="FY17" s="5">
        <v>40</v>
      </c>
      <c r="FZ17" s="5">
        <v>50</v>
      </c>
      <c r="GA17" s="5">
        <v>1.125</v>
      </c>
      <c r="GB17" s="5">
        <v>120</v>
      </c>
      <c r="GC17" s="5">
        <v>3</v>
      </c>
      <c r="GD17" s="5">
        <v>20</v>
      </c>
      <c r="GE17" s="5">
        <v>24</v>
      </c>
      <c r="GF17" s="5">
        <v>1</v>
      </c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</row>
    <row r="18" spans="1:201" s="1" customFormat="1" ht="15.75" customHeight="1" x14ac:dyDescent="0.25">
      <c r="A18" s="4" t="s">
        <v>488</v>
      </c>
      <c r="B18" s="5" t="s">
        <v>482</v>
      </c>
      <c r="C18" s="5">
        <v>125</v>
      </c>
      <c r="D18" s="5">
        <v>28</v>
      </c>
      <c r="E18" s="6">
        <v>25</v>
      </c>
      <c r="F18" s="5" t="s">
        <v>469</v>
      </c>
      <c r="G18" s="5">
        <v>0</v>
      </c>
      <c r="H18" s="5">
        <f t="shared" si="0"/>
        <v>336</v>
      </c>
      <c r="I18" s="5">
        <f t="shared" si="1"/>
        <v>175</v>
      </c>
      <c r="J18" s="5">
        <f t="shared" si="2"/>
        <v>163</v>
      </c>
      <c r="K18" s="5">
        <v>40</v>
      </c>
      <c r="L18" s="5">
        <v>0.875</v>
      </c>
      <c r="M18" s="5">
        <v>9</v>
      </c>
      <c r="N18" s="5">
        <v>20</v>
      </c>
      <c r="O18" s="5">
        <v>9</v>
      </c>
      <c r="P18" s="5">
        <v>20</v>
      </c>
      <c r="Q18" s="5">
        <v>40</v>
      </c>
      <c r="R18" s="5" t="s">
        <v>470</v>
      </c>
      <c r="S18" s="5">
        <v>40</v>
      </c>
      <c r="T18" s="5">
        <f t="shared" si="3"/>
        <v>168</v>
      </c>
      <c r="U18" s="5">
        <v>133.0008</v>
      </c>
      <c r="V18" s="5">
        <v>84</v>
      </c>
      <c r="W18" s="5">
        <v>0.4375</v>
      </c>
      <c r="X18" s="5">
        <v>40</v>
      </c>
      <c r="Y18" s="5">
        <v>9</v>
      </c>
      <c r="Z18" s="5">
        <v>133.0008</v>
      </c>
      <c r="AA18" s="5">
        <v>98.001599999999996</v>
      </c>
      <c r="AB18" s="5">
        <v>84</v>
      </c>
      <c r="AC18" s="5">
        <v>0.4375</v>
      </c>
      <c r="AD18" s="5">
        <v>45</v>
      </c>
      <c r="AE18" s="5">
        <v>8</v>
      </c>
      <c r="AF18" s="5">
        <v>0</v>
      </c>
      <c r="AG18" s="5">
        <v>98.001599999999996</v>
      </c>
      <c r="AH18" s="5">
        <v>63.002499999999998</v>
      </c>
      <c r="AI18" s="5">
        <v>84</v>
      </c>
      <c r="AJ18" s="5">
        <v>0.5625</v>
      </c>
      <c r="AK18" s="5">
        <v>60</v>
      </c>
      <c r="AL18" s="5">
        <v>6</v>
      </c>
      <c r="AM18" s="5">
        <v>0</v>
      </c>
      <c r="AN18" s="5">
        <v>63.002499999999998</v>
      </c>
      <c r="AO18" s="5">
        <v>52.615400000000001</v>
      </c>
      <c r="AP18" s="5">
        <v>24.9375</v>
      </c>
      <c r="AQ18" s="5">
        <v>0.6875</v>
      </c>
      <c r="AR18" s="5">
        <v>90</v>
      </c>
      <c r="AS18" s="5">
        <v>4</v>
      </c>
      <c r="AT18" s="5">
        <v>60</v>
      </c>
      <c r="AU18" s="5">
        <v>52.615400000000001</v>
      </c>
      <c r="AV18" s="5">
        <v>48</v>
      </c>
      <c r="AW18" s="5">
        <v>23.0625</v>
      </c>
      <c r="AX18" s="5">
        <v>0.6875</v>
      </c>
      <c r="AY18" s="5">
        <v>36</v>
      </c>
      <c r="AZ18" s="5">
        <v>10</v>
      </c>
      <c r="BA18" s="5">
        <v>96</v>
      </c>
      <c r="BB18" s="5">
        <v>96</v>
      </c>
      <c r="BC18" s="5">
        <v>96</v>
      </c>
      <c r="BD18" s="5">
        <v>96</v>
      </c>
      <c r="BE18" s="5">
        <v>0.375</v>
      </c>
      <c r="BF18" s="5">
        <v>96</v>
      </c>
      <c r="BG18" s="5">
        <v>96</v>
      </c>
      <c r="BH18" s="5">
        <v>0.375</v>
      </c>
      <c r="BI18" s="5">
        <v>96</v>
      </c>
      <c r="BJ18" s="5">
        <v>96</v>
      </c>
      <c r="BK18" s="5">
        <v>0.375</v>
      </c>
      <c r="BL18" s="5">
        <v>96</v>
      </c>
      <c r="BM18" s="5">
        <v>96</v>
      </c>
      <c r="BN18" s="5">
        <v>0.375</v>
      </c>
      <c r="BO18" s="5">
        <v>96</v>
      </c>
      <c r="BP18" s="5">
        <v>96</v>
      </c>
      <c r="BQ18" s="5">
        <v>0.375</v>
      </c>
      <c r="BR18" s="5">
        <v>96</v>
      </c>
      <c r="BS18" s="5">
        <v>96</v>
      </c>
      <c r="BT18" s="5">
        <v>0.375</v>
      </c>
      <c r="BU18" s="5">
        <v>96</v>
      </c>
      <c r="BV18" s="5">
        <v>96</v>
      </c>
      <c r="BW18" s="5">
        <v>0.375</v>
      </c>
      <c r="BX18" s="5">
        <v>96</v>
      </c>
      <c r="BY18" s="5">
        <v>96</v>
      </c>
      <c r="BZ18" s="5">
        <v>0.375</v>
      </c>
      <c r="CA18" s="5" t="s">
        <v>470</v>
      </c>
      <c r="CB18" s="5" t="s">
        <v>470</v>
      </c>
      <c r="CC18" s="5"/>
      <c r="CD18" s="5" t="s">
        <v>470</v>
      </c>
      <c r="CE18" s="5" t="s">
        <v>470</v>
      </c>
      <c r="CF18" s="5"/>
      <c r="CG18" s="5" t="s">
        <v>470</v>
      </c>
      <c r="CH18" s="5" t="s">
        <v>470</v>
      </c>
      <c r="CI18" s="5"/>
      <c r="CJ18" s="5" t="s">
        <v>470</v>
      </c>
      <c r="CK18" s="5" t="s">
        <v>470</v>
      </c>
      <c r="CL18" s="5"/>
      <c r="CM18" s="5" t="s">
        <v>470</v>
      </c>
      <c r="CN18" s="5" t="s">
        <v>470</v>
      </c>
      <c r="CO18" s="5"/>
      <c r="CP18" s="5" t="s">
        <v>470</v>
      </c>
      <c r="CQ18" s="5" t="s">
        <v>470</v>
      </c>
      <c r="CR18" s="5"/>
      <c r="CS18" s="5" t="s">
        <v>470</v>
      </c>
      <c r="CT18" s="5" t="s">
        <v>470</v>
      </c>
      <c r="CU18" s="5"/>
      <c r="CV18" s="5" t="s">
        <v>470</v>
      </c>
      <c r="CW18" s="5" t="s">
        <v>470</v>
      </c>
      <c r="CX18" s="5"/>
      <c r="CY18" s="5" t="s">
        <v>470</v>
      </c>
      <c r="CZ18" s="5" t="s">
        <v>470</v>
      </c>
      <c r="DA18" s="5"/>
      <c r="DB18" s="5" t="s">
        <v>470</v>
      </c>
      <c r="DC18" s="5" t="s">
        <v>470</v>
      </c>
      <c r="DD18" s="5"/>
      <c r="DE18" s="5">
        <v>60</v>
      </c>
      <c r="DF18" s="5">
        <v>48</v>
      </c>
      <c r="DG18" s="5">
        <v>65.5625</v>
      </c>
      <c r="DH18" s="5">
        <v>42.4375</v>
      </c>
      <c r="DI18" s="5">
        <v>0.4375</v>
      </c>
      <c r="DJ18" s="5">
        <v>45</v>
      </c>
      <c r="DK18" s="5">
        <v>8</v>
      </c>
      <c r="DL18" s="5">
        <v>101.375</v>
      </c>
      <c r="DM18" s="5">
        <v>65.578149999999994</v>
      </c>
      <c r="DN18" s="5">
        <v>35.8125</v>
      </c>
      <c r="DO18" s="5">
        <v>0.375</v>
      </c>
      <c r="DP18" s="12">
        <v>90</v>
      </c>
      <c r="DQ18" s="5">
        <v>4</v>
      </c>
      <c r="DR18" s="13">
        <v>137.171875</v>
      </c>
      <c r="DS18" s="5">
        <v>101.375</v>
      </c>
      <c r="DT18" s="5">
        <v>35.8125</v>
      </c>
      <c r="DU18" s="5">
        <v>0.375</v>
      </c>
      <c r="DV18" s="5">
        <v>60</v>
      </c>
      <c r="DW18" s="5">
        <v>6</v>
      </c>
      <c r="DX18" s="5" t="s">
        <v>470</v>
      </c>
      <c r="DY18" s="5" t="s">
        <v>470</v>
      </c>
      <c r="DZ18" s="5" t="s">
        <v>470</v>
      </c>
      <c r="EA18" s="5" t="s">
        <v>470</v>
      </c>
      <c r="EB18" s="5" t="s">
        <v>470</v>
      </c>
      <c r="EC18" s="5" t="s">
        <v>470</v>
      </c>
      <c r="ED18" s="5" t="s">
        <v>470</v>
      </c>
      <c r="EE18" s="5" t="s">
        <v>470</v>
      </c>
      <c r="EF18" s="5" t="s">
        <v>470</v>
      </c>
      <c r="EG18" s="5" t="s">
        <v>470</v>
      </c>
      <c r="EH18" s="5" t="s">
        <v>470</v>
      </c>
      <c r="EI18" s="5" t="s">
        <v>470</v>
      </c>
      <c r="EJ18" s="5" t="s">
        <v>470</v>
      </c>
      <c r="EK18" s="5" t="s">
        <v>470</v>
      </c>
      <c r="EL18" s="5" t="s">
        <v>470</v>
      </c>
      <c r="EM18" s="5" t="s">
        <v>470</v>
      </c>
      <c r="EN18" s="5" t="s">
        <v>470</v>
      </c>
      <c r="EO18" s="5" t="s">
        <v>470</v>
      </c>
      <c r="EP18" s="5">
        <v>0.3125</v>
      </c>
      <c r="EQ18" s="5">
        <v>137.0625</v>
      </c>
      <c r="ER18" s="5">
        <v>137.0625</v>
      </c>
      <c r="ES18" s="5">
        <v>169.1875</v>
      </c>
      <c r="ET18" s="5"/>
      <c r="EU18" s="5"/>
      <c r="EV18" s="5">
        <v>45</v>
      </c>
      <c r="EW18" s="5">
        <v>30</v>
      </c>
      <c r="EX18" s="5">
        <v>194</v>
      </c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>
        <v>0.25</v>
      </c>
      <c r="FN18" s="5">
        <v>194.125</v>
      </c>
      <c r="FO18" s="5">
        <v>16</v>
      </c>
      <c r="FP18" s="5">
        <v>22.5</v>
      </c>
      <c r="FQ18" s="5">
        <v>80.218900000000005</v>
      </c>
      <c r="FR18" s="5">
        <v>0</v>
      </c>
      <c r="FS18" s="5" t="s">
        <v>486</v>
      </c>
      <c r="FT18" s="5">
        <v>44</v>
      </c>
      <c r="FU18" s="5">
        <v>21</v>
      </c>
      <c r="FV18" s="5">
        <v>23</v>
      </c>
      <c r="FW18" s="5">
        <v>0.5</v>
      </c>
      <c r="FX18" s="5">
        <v>4</v>
      </c>
      <c r="FY18" s="5">
        <v>40</v>
      </c>
      <c r="FZ18" s="5">
        <v>50</v>
      </c>
      <c r="GA18" s="5">
        <v>1.125</v>
      </c>
      <c r="GB18" s="5">
        <v>120</v>
      </c>
      <c r="GC18" s="5">
        <v>3</v>
      </c>
      <c r="GD18" s="5">
        <v>20</v>
      </c>
      <c r="GE18" s="5">
        <v>24</v>
      </c>
      <c r="GF18" s="5">
        <v>1</v>
      </c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</row>
    <row r="19" spans="1:201" s="1" customFormat="1" ht="15.75" customHeight="1" x14ac:dyDescent="0.25">
      <c r="A19" s="4" t="s">
        <v>489</v>
      </c>
      <c r="B19" s="5" t="s">
        <v>482</v>
      </c>
      <c r="C19" s="5">
        <v>150</v>
      </c>
      <c r="D19" s="5">
        <v>21</v>
      </c>
      <c r="E19" s="6">
        <v>22.333333333300001</v>
      </c>
      <c r="F19" s="5" t="s">
        <v>469</v>
      </c>
      <c r="G19" s="5">
        <v>0</v>
      </c>
      <c r="H19" s="5">
        <f>D19*12</f>
        <v>252</v>
      </c>
      <c r="I19" s="5">
        <f>D19*12/2+7</f>
        <v>133</v>
      </c>
      <c r="J19" s="5">
        <f>I19-12</f>
        <v>121</v>
      </c>
      <c r="K19" s="5">
        <v>45</v>
      </c>
      <c r="L19" s="5">
        <v>1</v>
      </c>
      <c r="M19" s="5">
        <v>8</v>
      </c>
      <c r="N19" s="5">
        <v>12</v>
      </c>
      <c r="O19" s="5">
        <v>15</v>
      </c>
      <c r="P19" s="5">
        <v>12</v>
      </c>
      <c r="Q19" s="5">
        <v>24</v>
      </c>
      <c r="R19" s="5" t="s">
        <v>470</v>
      </c>
      <c r="S19" s="5">
        <v>24</v>
      </c>
      <c r="T19" s="5">
        <f t="shared" si="3"/>
        <v>126</v>
      </c>
      <c r="U19" s="5">
        <v>99.816100000000006</v>
      </c>
      <c r="V19" s="5">
        <v>87</v>
      </c>
      <c r="W19" s="5">
        <v>0.375</v>
      </c>
      <c r="X19" s="5">
        <v>45</v>
      </c>
      <c r="Y19" s="5">
        <v>8</v>
      </c>
      <c r="Z19" s="5">
        <v>99.816100000000006</v>
      </c>
      <c r="AA19" s="5">
        <v>74.5351</v>
      </c>
      <c r="AB19" s="5">
        <v>84</v>
      </c>
      <c r="AC19" s="5">
        <v>0.375</v>
      </c>
      <c r="AD19" s="5">
        <v>60</v>
      </c>
      <c r="AE19" s="5">
        <v>6</v>
      </c>
      <c r="AF19" s="5">
        <v>0</v>
      </c>
      <c r="AG19" s="5">
        <v>74.5351</v>
      </c>
      <c r="AH19" s="5">
        <v>50.545699999999997</v>
      </c>
      <c r="AI19" s="5">
        <v>79.6875</v>
      </c>
      <c r="AJ19" s="5">
        <v>0.5</v>
      </c>
      <c r="AK19" s="5">
        <v>90</v>
      </c>
      <c r="AL19" s="5">
        <v>4</v>
      </c>
      <c r="AM19" s="5"/>
      <c r="AN19" s="5">
        <v>50.545699999999997</v>
      </c>
      <c r="AO19" s="5">
        <v>48</v>
      </c>
      <c r="AP19" s="5">
        <v>19.75</v>
      </c>
      <c r="AQ19" s="5">
        <v>0.5</v>
      </c>
      <c r="AR19" s="5">
        <v>36</v>
      </c>
      <c r="AS19" s="5">
        <v>10</v>
      </c>
      <c r="AT19" s="5" t="s">
        <v>470</v>
      </c>
      <c r="AU19" s="5" t="s">
        <v>470</v>
      </c>
      <c r="AV19" s="5" t="s">
        <v>470</v>
      </c>
      <c r="AW19" s="5" t="s">
        <v>470</v>
      </c>
      <c r="AX19" s="5" t="s">
        <v>470</v>
      </c>
      <c r="AY19" s="5" t="s">
        <v>470</v>
      </c>
      <c r="AZ19" s="5" t="s">
        <v>470</v>
      </c>
      <c r="BA19" s="5">
        <v>96</v>
      </c>
      <c r="BB19" s="5">
        <v>96</v>
      </c>
      <c r="BC19" s="5">
        <v>96</v>
      </c>
      <c r="BD19" s="5">
        <v>96</v>
      </c>
      <c r="BE19" s="5">
        <v>0.5</v>
      </c>
      <c r="BF19" s="5">
        <v>96</v>
      </c>
      <c r="BG19" s="5">
        <v>96</v>
      </c>
      <c r="BH19" s="5">
        <v>0.5</v>
      </c>
      <c r="BI19" s="5">
        <v>96</v>
      </c>
      <c r="BJ19" s="5">
        <v>96</v>
      </c>
      <c r="BK19" s="5">
        <v>0.5</v>
      </c>
      <c r="BL19" s="5">
        <v>96</v>
      </c>
      <c r="BM19" s="5">
        <v>96</v>
      </c>
      <c r="BN19" s="5">
        <v>0.5</v>
      </c>
      <c r="BO19" s="5">
        <v>96</v>
      </c>
      <c r="BP19" s="5">
        <v>96</v>
      </c>
      <c r="BQ19" s="5">
        <v>0.5</v>
      </c>
      <c r="BR19" s="5">
        <v>96</v>
      </c>
      <c r="BS19" s="5">
        <v>96</v>
      </c>
      <c r="BT19" s="5">
        <v>0.5</v>
      </c>
      <c r="BU19" s="5">
        <v>96</v>
      </c>
      <c r="BV19" s="5">
        <v>96</v>
      </c>
      <c r="BW19" s="5">
        <v>0.5</v>
      </c>
      <c r="BX19" s="5">
        <v>96</v>
      </c>
      <c r="BY19" s="5">
        <v>96</v>
      </c>
      <c r="BZ19" s="5">
        <v>0.5</v>
      </c>
      <c r="CA19" s="5" t="s">
        <v>470</v>
      </c>
      <c r="CB19" s="5" t="s">
        <v>470</v>
      </c>
      <c r="CC19" s="5"/>
      <c r="CD19" s="5" t="s">
        <v>470</v>
      </c>
      <c r="CE19" s="5" t="s">
        <v>470</v>
      </c>
      <c r="CF19" s="5"/>
      <c r="CG19" s="5" t="s">
        <v>470</v>
      </c>
      <c r="CH19" s="5" t="s">
        <v>470</v>
      </c>
      <c r="CI19" s="5"/>
      <c r="CJ19" s="5" t="s">
        <v>470</v>
      </c>
      <c r="CK19" s="5" t="s">
        <v>470</v>
      </c>
      <c r="CL19" s="5"/>
      <c r="CM19" s="5" t="s">
        <v>470</v>
      </c>
      <c r="CN19" s="5" t="s">
        <v>470</v>
      </c>
      <c r="CO19" s="5"/>
      <c r="CP19" s="5" t="s">
        <v>470</v>
      </c>
      <c r="CQ19" s="5" t="s">
        <v>470</v>
      </c>
      <c r="CR19" s="5"/>
      <c r="CS19" s="5" t="s">
        <v>470</v>
      </c>
      <c r="CT19" s="5" t="s">
        <v>470</v>
      </c>
      <c r="CU19" s="5"/>
      <c r="CV19" s="5" t="s">
        <v>470</v>
      </c>
      <c r="CW19" s="5" t="s">
        <v>470</v>
      </c>
      <c r="CX19" s="5"/>
      <c r="CY19" s="5" t="s">
        <v>470</v>
      </c>
      <c r="CZ19" s="5" t="s">
        <v>470</v>
      </c>
      <c r="DA19" s="5"/>
      <c r="DB19" s="5" t="s">
        <v>470</v>
      </c>
      <c r="DC19" s="5" t="s">
        <v>470</v>
      </c>
      <c r="DD19" s="5"/>
      <c r="DE19" s="5">
        <v>60</v>
      </c>
      <c r="DF19" s="5">
        <v>48</v>
      </c>
      <c r="DG19" s="5"/>
      <c r="DH19" s="5"/>
      <c r="DI19" s="5">
        <v>0.5</v>
      </c>
      <c r="DJ19" s="5">
        <v>25.714300000000001</v>
      </c>
      <c r="DK19" s="5">
        <v>14</v>
      </c>
      <c r="DL19" s="5">
        <v>104.90625</v>
      </c>
      <c r="DM19" s="5">
        <v>65.578149999999994</v>
      </c>
      <c r="DN19" s="5">
        <v>39.342500000000001</v>
      </c>
      <c r="DO19" s="5">
        <v>0.5</v>
      </c>
      <c r="DP19" s="12">
        <v>90</v>
      </c>
      <c r="DQ19" s="5">
        <v>4</v>
      </c>
      <c r="DR19" s="13">
        <v>144.21875</v>
      </c>
      <c r="DS19" s="5">
        <v>104.90625</v>
      </c>
      <c r="DT19" s="5">
        <v>39.342500000000001</v>
      </c>
      <c r="DU19" s="5">
        <v>0.375</v>
      </c>
      <c r="DV19" s="5">
        <v>60</v>
      </c>
      <c r="DW19" s="5">
        <v>6</v>
      </c>
      <c r="DX19" s="5" t="s">
        <v>470</v>
      </c>
      <c r="DY19" s="5" t="s">
        <v>470</v>
      </c>
      <c r="DZ19" s="5" t="s">
        <v>470</v>
      </c>
      <c r="EA19" s="5" t="s">
        <v>470</v>
      </c>
      <c r="EB19" s="5" t="s">
        <v>470</v>
      </c>
      <c r="EC19" s="5" t="s">
        <v>470</v>
      </c>
      <c r="ED19" s="5" t="s">
        <v>470</v>
      </c>
      <c r="EE19" s="5" t="s">
        <v>470</v>
      </c>
      <c r="EF19" s="5" t="s">
        <v>470</v>
      </c>
      <c r="EG19" s="5" t="s">
        <v>470</v>
      </c>
      <c r="EH19" s="5" t="s">
        <v>470</v>
      </c>
      <c r="EI19" s="5" t="s">
        <v>470</v>
      </c>
      <c r="EJ19" s="5" t="s">
        <v>470</v>
      </c>
      <c r="EK19" s="5" t="s">
        <v>470</v>
      </c>
      <c r="EL19" s="5" t="s">
        <v>470</v>
      </c>
      <c r="EM19" s="5" t="s">
        <v>470</v>
      </c>
      <c r="EN19" s="5" t="s">
        <v>470</v>
      </c>
      <c r="EO19" s="5" t="s">
        <v>470</v>
      </c>
      <c r="EP19" s="5">
        <v>0.3125</v>
      </c>
      <c r="EQ19" s="5">
        <v>144.125</v>
      </c>
      <c r="ER19" s="5">
        <v>144.125</v>
      </c>
      <c r="ES19" s="5">
        <v>144.125</v>
      </c>
      <c r="ET19" s="5"/>
      <c r="EU19" s="5"/>
      <c r="EV19" s="5">
        <v>-45</v>
      </c>
      <c r="EW19" s="5">
        <v>45</v>
      </c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>
        <v>0.25</v>
      </c>
      <c r="FN19" s="5">
        <v>204</v>
      </c>
      <c r="FO19" s="5">
        <v>16</v>
      </c>
      <c r="FP19" s="5">
        <v>22.5</v>
      </c>
      <c r="FQ19" s="5">
        <v>80.701999999999998</v>
      </c>
      <c r="FR19" s="5"/>
      <c r="FS19" s="5">
        <v>408</v>
      </c>
      <c r="FT19" s="5">
        <v>44</v>
      </c>
      <c r="FU19" s="5">
        <v>21</v>
      </c>
      <c r="FV19" s="5">
        <v>14</v>
      </c>
      <c r="FW19" s="5">
        <v>0.5</v>
      </c>
      <c r="FX19" s="5">
        <v>4</v>
      </c>
      <c r="FY19" s="5">
        <v>40</v>
      </c>
      <c r="FZ19" s="5">
        <v>50</v>
      </c>
      <c r="GA19" s="5">
        <v>1.125</v>
      </c>
      <c r="GB19" s="5">
        <v>120</v>
      </c>
      <c r="GC19" s="5">
        <v>3</v>
      </c>
      <c r="GD19" s="5">
        <v>29</v>
      </c>
      <c r="GE19" s="5">
        <v>31</v>
      </c>
      <c r="GF19" s="5">
        <v>1</v>
      </c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</row>
    <row r="20" spans="1:201" s="1" customFormat="1" ht="15.75" customHeight="1" x14ac:dyDescent="0.25">
      <c r="A20" s="4" t="s">
        <v>490</v>
      </c>
      <c r="B20" s="5" t="s">
        <v>479</v>
      </c>
      <c r="C20" s="5">
        <v>150</v>
      </c>
      <c r="D20" s="5">
        <v>23</v>
      </c>
      <c r="E20" s="6">
        <v>22.333333333300001</v>
      </c>
      <c r="F20" s="5" t="s">
        <v>469</v>
      </c>
      <c r="G20" s="5">
        <v>0</v>
      </c>
      <c r="H20" s="5">
        <f t="shared" si="0"/>
        <v>276</v>
      </c>
      <c r="I20" s="5">
        <f t="shared" si="1"/>
        <v>145</v>
      </c>
      <c r="J20" s="5">
        <f t="shared" si="2"/>
        <v>133</v>
      </c>
      <c r="K20" s="5">
        <v>45</v>
      </c>
      <c r="L20" s="5">
        <v>1</v>
      </c>
      <c r="M20" s="5">
        <v>8</v>
      </c>
      <c r="N20" s="5">
        <v>12</v>
      </c>
      <c r="O20" s="5">
        <v>15</v>
      </c>
      <c r="P20" s="5">
        <v>12</v>
      </c>
      <c r="Q20" s="5">
        <v>24</v>
      </c>
      <c r="R20" s="5" t="s">
        <v>470</v>
      </c>
      <c r="S20" s="5">
        <v>24</v>
      </c>
      <c r="T20" s="5">
        <f t="shared" si="3"/>
        <v>138</v>
      </c>
      <c r="U20" s="5">
        <v>107.631</v>
      </c>
      <c r="V20" s="5">
        <v>87</v>
      </c>
      <c r="W20" s="5">
        <v>0.4375</v>
      </c>
      <c r="X20" s="5">
        <v>45</v>
      </c>
      <c r="Y20" s="5">
        <v>8</v>
      </c>
      <c r="Z20" s="5">
        <v>107.631</v>
      </c>
      <c r="AA20" s="5">
        <v>78.309200000000004</v>
      </c>
      <c r="AB20" s="5">
        <v>84</v>
      </c>
      <c r="AC20" s="5">
        <v>0.4375</v>
      </c>
      <c r="AD20" s="5">
        <v>60</v>
      </c>
      <c r="AE20" s="5">
        <v>6</v>
      </c>
      <c r="AF20" s="5">
        <v>0</v>
      </c>
      <c r="AG20" s="5">
        <v>78.309200000000004</v>
      </c>
      <c r="AH20" s="5">
        <v>51.34375</v>
      </c>
      <c r="AI20" s="5">
        <v>77.25</v>
      </c>
      <c r="AJ20" s="5">
        <v>0.5</v>
      </c>
      <c r="AK20" s="5">
        <v>90</v>
      </c>
      <c r="AL20" s="5">
        <v>4</v>
      </c>
      <c r="AM20" s="5"/>
      <c r="AN20" s="5">
        <v>51.34375</v>
      </c>
      <c r="AO20" s="5">
        <v>48</v>
      </c>
      <c r="AP20" s="5">
        <v>19.75</v>
      </c>
      <c r="AQ20" s="5">
        <v>0.5625</v>
      </c>
      <c r="AR20" s="5">
        <v>36</v>
      </c>
      <c r="AS20" s="5">
        <v>10</v>
      </c>
      <c r="AT20" s="5" t="s">
        <v>470</v>
      </c>
      <c r="AU20" s="5" t="s">
        <v>470</v>
      </c>
      <c r="AV20" s="5" t="s">
        <v>470</v>
      </c>
      <c r="AW20" s="5" t="s">
        <v>470</v>
      </c>
      <c r="AX20" s="5" t="s">
        <v>470</v>
      </c>
      <c r="AY20" s="5" t="s">
        <v>470</v>
      </c>
      <c r="AZ20" s="5" t="s">
        <v>470</v>
      </c>
      <c r="BA20" s="5">
        <v>96</v>
      </c>
      <c r="BB20" s="5">
        <v>96</v>
      </c>
      <c r="BC20" s="5">
        <v>96</v>
      </c>
      <c r="BD20" s="5">
        <v>96</v>
      </c>
      <c r="BE20" s="5">
        <v>0.5</v>
      </c>
      <c r="BF20" s="5">
        <v>96</v>
      </c>
      <c r="BG20" s="5">
        <v>96</v>
      </c>
      <c r="BH20" s="5">
        <v>0.5</v>
      </c>
      <c r="BI20" s="5">
        <v>96</v>
      </c>
      <c r="BJ20" s="5">
        <v>96</v>
      </c>
      <c r="BK20" s="5">
        <v>0.5</v>
      </c>
      <c r="BL20" s="5">
        <v>96</v>
      </c>
      <c r="BM20" s="5">
        <v>96</v>
      </c>
      <c r="BN20" s="5">
        <v>0.5</v>
      </c>
      <c r="BO20" s="5">
        <v>96</v>
      </c>
      <c r="BP20" s="5">
        <v>96</v>
      </c>
      <c r="BQ20" s="5">
        <v>0.5</v>
      </c>
      <c r="BR20" s="5">
        <v>96</v>
      </c>
      <c r="BS20" s="5">
        <v>96</v>
      </c>
      <c r="BT20" s="5">
        <v>0.5</v>
      </c>
      <c r="BU20" s="5">
        <v>96</v>
      </c>
      <c r="BV20" s="5">
        <v>96</v>
      </c>
      <c r="BW20" s="5">
        <v>0.5</v>
      </c>
      <c r="BX20" s="5">
        <v>96</v>
      </c>
      <c r="BY20" s="5">
        <v>96</v>
      </c>
      <c r="BZ20" s="5">
        <v>0.5</v>
      </c>
      <c r="CA20" s="5" t="s">
        <v>470</v>
      </c>
      <c r="CB20" s="5" t="s">
        <v>470</v>
      </c>
      <c r="CC20" s="5"/>
      <c r="CD20" s="5" t="s">
        <v>470</v>
      </c>
      <c r="CE20" s="5" t="s">
        <v>470</v>
      </c>
      <c r="CF20" s="5"/>
      <c r="CG20" s="5" t="s">
        <v>470</v>
      </c>
      <c r="CH20" s="5" t="s">
        <v>470</v>
      </c>
      <c r="CI20" s="5"/>
      <c r="CJ20" s="5" t="s">
        <v>470</v>
      </c>
      <c r="CK20" s="5" t="s">
        <v>470</v>
      </c>
      <c r="CL20" s="5"/>
      <c r="CM20" s="5" t="s">
        <v>470</v>
      </c>
      <c r="CN20" s="5" t="s">
        <v>470</v>
      </c>
      <c r="CO20" s="5"/>
      <c r="CP20" s="5" t="s">
        <v>470</v>
      </c>
      <c r="CQ20" s="5" t="s">
        <v>470</v>
      </c>
      <c r="CR20" s="5"/>
      <c r="CS20" s="5" t="s">
        <v>470</v>
      </c>
      <c r="CT20" s="5" t="s">
        <v>470</v>
      </c>
      <c r="CU20" s="5"/>
      <c r="CV20" s="5" t="s">
        <v>470</v>
      </c>
      <c r="CW20" s="5" t="s">
        <v>470</v>
      </c>
      <c r="CX20" s="5"/>
      <c r="CY20" s="5" t="s">
        <v>470</v>
      </c>
      <c r="CZ20" s="5" t="s">
        <v>470</v>
      </c>
      <c r="DA20" s="5"/>
      <c r="DB20" s="5" t="s">
        <v>470</v>
      </c>
      <c r="DC20" s="5" t="s">
        <v>470</v>
      </c>
      <c r="DD20" s="5"/>
      <c r="DE20" s="5">
        <v>60</v>
      </c>
      <c r="DF20" s="5">
        <v>48</v>
      </c>
      <c r="DG20" s="5"/>
      <c r="DH20" s="5"/>
      <c r="DI20" s="5">
        <v>0.5625</v>
      </c>
      <c r="DJ20" s="5">
        <v>25.714300000000001</v>
      </c>
      <c r="DK20" s="5">
        <v>14</v>
      </c>
      <c r="DL20" s="5">
        <v>104.90625</v>
      </c>
      <c r="DM20" s="5">
        <v>65.578149999999994</v>
      </c>
      <c r="DN20" s="5">
        <v>39.342500000000001</v>
      </c>
      <c r="DO20" s="5">
        <v>0.5</v>
      </c>
      <c r="DP20" s="12">
        <v>90</v>
      </c>
      <c r="DQ20" s="5">
        <v>4</v>
      </c>
      <c r="DR20" s="13">
        <v>144.21875</v>
      </c>
      <c r="DS20" s="5">
        <v>104.90625</v>
      </c>
      <c r="DT20" s="5">
        <v>39.342500000000001</v>
      </c>
      <c r="DU20" s="5">
        <v>0.375</v>
      </c>
      <c r="DV20" s="5">
        <v>60</v>
      </c>
      <c r="DW20" s="5">
        <v>6</v>
      </c>
      <c r="DX20" s="5" t="s">
        <v>470</v>
      </c>
      <c r="DY20" s="5" t="s">
        <v>470</v>
      </c>
      <c r="DZ20" s="5" t="s">
        <v>470</v>
      </c>
      <c r="EA20" s="5" t="s">
        <v>470</v>
      </c>
      <c r="EB20" s="5" t="s">
        <v>470</v>
      </c>
      <c r="EC20" s="5" t="s">
        <v>470</v>
      </c>
      <c r="ED20" s="5" t="s">
        <v>470</v>
      </c>
      <c r="EE20" s="5" t="s">
        <v>470</v>
      </c>
      <c r="EF20" s="5" t="s">
        <v>470</v>
      </c>
      <c r="EG20" s="5" t="s">
        <v>470</v>
      </c>
      <c r="EH20" s="5" t="s">
        <v>470</v>
      </c>
      <c r="EI20" s="5" t="s">
        <v>470</v>
      </c>
      <c r="EJ20" s="5" t="s">
        <v>470</v>
      </c>
      <c r="EK20" s="5" t="s">
        <v>470</v>
      </c>
      <c r="EL20" s="5" t="s">
        <v>470</v>
      </c>
      <c r="EM20" s="5" t="s">
        <v>470</v>
      </c>
      <c r="EN20" s="5" t="s">
        <v>470</v>
      </c>
      <c r="EO20" s="5" t="s">
        <v>470</v>
      </c>
      <c r="EP20" s="5"/>
      <c r="EQ20" s="5"/>
      <c r="ER20" s="5"/>
      <c r="ES20" s="5"/>
      <c r="ET20" s="5"/>
      <c r="EU20" s="5"/>
      <c r="EV20" s="5"/>
      <c r="EW20" s="5"/>
      <c r="EX20" s="5"/>
      <c r="EY20" s="5">
        <v>0.3125</v>
      </c>
      <c r="EZ20" s="5">
        <v>204</v>
      </c>
      <c r="FA20" s="5">
        <v>18</v>
      </c>
      <c r="FB20" s="5">
        <v>20</v>
      </c>
      <c r="FC20" s="5"/>
      <c r="FD20" s="5"/>
      <c r="FE20" s="5"/>
      <c r="FF20" s="5">
        <v>0.25</v>
      </c>
      <c r="FG20" s="5">
        <v>204</v>
      </c>
      <c r="FH20" s="5">
        <v>18</v>
      </c>
      <c r="FI20" s="5">
        <v>20</v>
      </c>
      <c r="FJ20" s="5">
        <v>45</v>
      </c>
      <c r="FK20" s="5"/>
      <c r="FL20" s="5">
        <v>408</v>
      </c>
      <c r="FM20" s="5">
        <v>0.25</v>
      </c>
      <c r="FN20" s="5">
        <v>204.25</v>
      </c>
      <c r="FO20" s="5">
        <v>14</v>
      </c>
      <c r="FP20" s="5">
        <v>25.714300000000001</v>
      </c>
      <c r="FQ20" s="5">
        <v>80.701999999999998</v>
      </c>
      <c r="FR20" s="5"/>
      <c r="FS20" s="5">
        <v>408.5</v>
      </c>
      <c r="FT20" s="5">
        <v>44</v>
      </c>
      <c r="FU20" s="5">
        <v>21</v>
      </c>
      <c r="FV20" s="5">
        <v>14</v>
      </c>
      <c r="FW20" s="5">
        <v>0.5</v>
      </c>
      <c r="FX20" s="5">
        <v>4</v>
      </c>
      <c r="FY20" s="5">
        <v>40</v>
      </c>
      <c r="FZ20" s="5">
        <v>50</v>
      </c>
      <c r="GA20" s="5">
        <v>1.125</v>
      </c>
      <c r="GB20" s="5">
        <v>120</v>
      </c>
      <c r="GC20" s="5">
        <v>3</v>
      </c>
      <c r="GD20" s="5">
        <v>29</v>
      </c>
      <c r="GE20" s="5">
        <v>31</v>
      </c>
      <c r="GF20" s="5">
        <v>1</v>
      </c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</row>
    <row r="21" spans="1:201" s="1" customFormat="1" ht="15.75" customHeight="1" x14ac:dyDescent="0.25">
      <c r="A21" s="4" t="s">
        <v>490</v>
      </c>
      <c r="B21" s="5" t="s">
        <v>482</v>
      </c>
      <c r="C21" s="5">
        <v>150</v>
      </c>
      <c r="D21" s="5">
        <v>23</v>
      </c>
      <c r="E21" s="6">
        <v>22.333333333300001</v>
      </c>
      <c r="F21" s="5" t="s">
        <v>469</v>
      </c>
      <c r="G21" s="5">
        <v>0</v>
      </c>
      <c r="H21" s="5">
        <f t="shared" si="0"/>
        <v>276</v>
      </c>
      <c r="I21" s="5">
        <f t="shared" si="1"/>
        <v>145</v>
      </c>
      <c r="J21" s="5">
        <f t="shared" si="2"/>
        <v>133</v>
      </c>
      <c r="K21" s="5">
        <v>45</v>
      </c>
      <c r="L21" s="5">
        <v>1</v>
      </c>
      <c r="M21" s="5">
        <v>8</v>
      </c>
      <c r="N21" s="5">
        <v>12</v>
      </c>
      <c r="O21" s="5">
        <v>15</v>
      </c>
      <c r="P21" s="5">
        <v>12</v>
      </c>
      <c r="Q21" s="5">
        <v>24</v>
      </c>
      <c r="R21" s="5" t="s">
        <v>470</v>
      </c>
      <c r="S21" s="5">
        <v>24</v>
      </c>
      <c r="T21" s="5">
        <f>I21-7</f>
        <v>138</v>
      </c>
      <c r="U21" s="5">
        <v>107.631</v>
      </c>
      <c r="V21" s="5">
        <v>87</v>
      </c>
      <c r="W21" s="5">
        <v>0.4375</v>
      </c>
      <c r="X21" s="5">
        <v>45</v>
      </c>
      <c r="Y21" s="5">
        <v>8</v>
      </c>
      <c r="Z21" s="5">
        <v>107.631</v>
      </c>
      <c r="AA21" s="5">
        <v>78.309200000000004</v>
      </c>
      <c r="AB21" s="5">
        <v>84</v>
      </c>
      <c r="AC21" s="5">
        <v>0.4375</v>
      </c>
      <c r="AD21" s="5">
        <v>60</v>
      </c>
      <c r="AE21" s="5">
        <v>6</v>
      </c>
      <c r="AF21" s="5">
        <v>0</v>
      </c>
      <c r="AG21" s="5">
        <v>78.309200000000004</v>
      </c>
      <c r="AH21" s="5">
        <v>51.34375</v>
      </c>
      <c r="AI21" s="5">
        <v>77.25</v>
      </c>
      <c r="AJ21" s="5">
        <v>0.5</v>
      </c>
      <c r="AK21" s="5">
        <v>90</v>
      </c>
      <c r="AL21" s="5">
        <v>4</v>
      </c>
      <c r="AM21" s="5"/>
      <c r="AN21" s="5">
        <v>51.34375</v>
      </c>
      <c r="AO21" s="5">
        <v>48</v>
      </c>
      <c r="AP21" s="5">
        <v>19.75</v>
      </c>
      <c r="AQ21" s="5">
        <v>0.5625</v>
      </c>
      <c r="AR21" s="5">
        <v>36</v>
      </c>
      <c r="AS21" s="5">
        <v>10</v>
      </c>
      <c r="AT21" s="5" t="s">
        <v>470</v>
      </c>
      <c r="AU21" s="5" t="s">
        <v>470</v>
      </c>
      <c r="AV21" s="5" t="s">
        <v>470</v>
      </c>
      <c r="AW21" s="5" t="s">
        <v>470</v>
      </c>
      <c r="AX21" s="5" t="s">
        <v>470</v>
      </c>
      <c r="AY21" s="5" t="s">
        <v>470</v>
      </c>
      <c r="AZ21" s="5" t="s">
        <v>470</v>
      </c>
      <c r="BA21" s="5">
        <v>96</v>
      </c>
      <c r="BB21" s="5">
        <v>96</v>
      </c>
      <c r="BC21" s="5">
        <v>96</v>
      </c>
      <c r="BD21" s="5">
        <v>96</v>
      </c>
      <c r="BE21" s="5">
        <v>0.5</v>
      </c>
      <c r="BF21" s="5">
        <v>96</v>
      </c>
      <c r="BG21" s="5">
        <v>96</v>
      </c>
      <c r="BH21" s="5">
        <v>0.5</v>
      </c>
      <c r="BI21" s="5">
        <v>96</v>
      </c>
      <c r="BJ21" s="5">
        <v>96</v>
      </c>
      <c r="BK21" s="5">
        <v>0.5</v>
      </c>
      <c r="BL21" s="5">
        <v>96</v>
      </c>
      <c r="BM21" s="5">
        <v>96</v>
      </c>
      <c r="BN21" s="5">
        <v>0.5</v>
      </c>
      <c r="BO21" s="5">
        <v>96</v>
      </c>
      <c r="BP21" s="5">
        <v>96</v>
      </c>
      <c r="BQ21" s="5">
        <v>0.5</v>
      </c>
      <c r="BR21" s="5">
        <v>96</v>
      </c>
      <c r="BS21" s="5">
        <v>96</v>
      </c>
      <c r="BT21" s="5">
        <v>0.5</v>
      </c>
      <c r="BU21" s="5">
        <v>96</v>
      </c>
      <c r="BV21" s="5">
        <v>96</v>
      </c>
      <c r="BW21" s="5">
        <v>0.5</v>
      </c>
      <c r="BX21" s="5">
        <v>96</v>
      </c>
      <c r="BY21" s="5">
        <v>96</v>
      </c>
      <c r="BZ21" s="5">
        <v>0.5</v>
      </c>
      <c r="CA21" s="5" t="s">
        <v>470</v>
      </c>
      <c r="CB21" s="5" t="s">
        <v>470</v>
      </c>
      <c r="CC21" s="5"/>
      <c r="CD21" s="5" t="s">
        <v>470</v>
      </c>
      <c r="CE21" s="5" t="s">
        <v>470</v>
      </c>
      <c r="CF21" s="5"/>
      <c r="CG21" s="5" t="s">
        <v>470</v>
      </c>
      <c r="CH21" s="5" t="s">
        <v>470</v>
      </c>
      <c r="CI21" s="5"/>
      <c r="CJ21" s="5" t="s">
        <v>470</v>
      </c>
      <c r="CK21" s="5" t="s">
        <v>470</v>
      </c>
      <c r="CL21" s="5"/>
      <c r="CM21" s="5" t="s">
        <v>470</v>
      </c>
      <c r="CN21" s="5" t="s">
        <v>470</v>
      </c>
      <c r="CO21" s="5"/>
      <c r="CP21" s="5" t="s">
        <v>470</v>
      </c>
      <c r="CQ21" s="5" t="s">
        <v>470</v>
      </c>
      <c r="CR21" s="5"/>
      <c r="CS21" s="5" t="s">
        <v>470</v>
      </c>
      <c r="CT21" s="5" t="s">
        <v>470</v>
      </c>
      <c r="CU21" s="5"/>
      <c r="CV21" s="5" t="s">
        <v>470</v>
      </c>
      <c r="CW21" s="5" t="s">
        <v>470</v>
      </c>
      <c r="CX21" s="5"/>
      <c r="CY21" s="5" t="s">
        <v>470</v>
      </c>
      <c r="CZ21" s="5" t="s">
        <v>470</v>
      </c>
      <c r="DA21" s="5"/>
      <c r="DB21" s="5" t="s">
        <v>470</v>
      </c>
      <c r="DC21" s="5" t="s">
        <v>470</v>
      </c>
      <c r="DD21" s="5"/>
      <c r="DE21" s="5">
        <v>60</v>
      </c>
      <c r="DF21" s="5">
        <v>48</v>
      </c>
      <c r="DG21" s="5"/>
      <c r="DH21" s="5"/>
      <c r="DI21" s="5">
        <v>0.5625</v>
      </c>
      <c r="DJ21" s="5">
        <v>25.714300000000001</v>
      </c>
      <c r="DK21" s="5">
        <v>14</v>
      </c>
      <c r="DL21" s="5">
        <v>104.90625</v>
      </c>
      <c r="DM21" s="5">
        <v>65.578149999999994</v>
      </c>
      <c r="DN21" s="5">
        <v>39.342500000000001</v>
      </c>
      <c r="DO21" s="5">
        <v>0.5</v>
      </c>
      <c r="DP21" s="12">
        <v>90</v>
      </c>
      <c r="DQ21" s="5">
        <v>4</v>
      </c>
      <c r="DR21" s="13">
        <v>144.21875</v>
      </c>
      <c r="DS21" s="5">
        <v>104.90625</v>
      </c>
      <c r="DT21" s="5">
        <v>39.342500000000001</v>
      </c>
      <c r="DU21" s="5">
        <v>0.375</v>
      </c>
      <c r="DV21" s="5">
        <v>60</v>
      </c>
      <c r="DW21" s="5">
        <v>6</v>
      </c>
      <c r="DX21" s="5" t="s">
        <v>470</v>
      </c>
      <c r="DY21" s="5" t="s">
        <v>470</v>
      </c>
      <c r="DZ21" s="5" t="s">
        <v>470</v>
      </c>
      <c r="EA21" s="5" t="s">
        <v>470</v>
      </c>
      <c r="EB21" s="5" t="s">
        <v>470</v>
      </c>
      <c r="EC21" s="5" t="s">
        <v>470</v>
      </c>
      <c r="ED21" s="5" t="s">
        <v>470</v>
      </c>
      <c r="EE21" s="5" t="s">
        <v>470</v>
      </c>
      <c r="EF21" s="5" t="s">
        <v>470</v>
      </c>
      <c r="EG21" s="5" t="s">
        <v>470</v>
      </c>
      <c r="EH21" s="5" t="s">
        <v>470</v>
      </c>
      <c r="EI21" s="5" t="s">
        <v>470</v>
      </c>
      <c r="EJ21" s="5" t="s">
        <v>470</v>
      </c>
      <c r="EK21" s="5" t="s">
        <v>470</v>
      </c>
      <c r="EL21" s="5" t="s">
        <v>470</v>
      </c>
      <c r="EM21" s="5" t="s">
        <v>470</v>
      </c>
      <c r="EN21" s="5" t="s">
        <v>470</v>
      </c>
      <c r="EO21" s="5" t="s">
        <v>470</v>
      </c>
      <c r="EP21" s="5"/>
      <c r="EQ21" s="5"/>
      <c r="ER21" s="5"/>
      <c r="ES21" s="5"/>
      <c r="ET21" s="5"/>
      <c r="EU21" s="5"/>
      <c r="EV21" s="5"/>
      <c r="EW21" s="5"/>
      <c r="EX21" s="5"/>
      <c r="EY21" s="5">
        <v>0.3125</v>
      </c>
      <c r="EZ21" s="5">
        <v>204</v>
      </c>
      <c r="FA21" s="5">
        <v>18</v>
      </c>
      <c r="FB21" s="5">
        <v>20</v>
      </c>
      <c r="FC21" s="5"/>
      <c r="FD21" s="5"/>
      <c r="FE21" s="5"/>
      <c r="FF21" s="5">
        <v>0.25</v>
      </c>
      <c r="FG21" s="5">
        <v>204</v>
      </c>
      <c r="FH21" s="5">
        <v>18</v>
      </c>
      <c r="FI21" s="5">
        <v>20</v>
      </c>
      <c r="FJ21" s="5">
        <v>45</v>
      </c>
      <c r="FK21" s="5"/>
      <c r="FL21" s="5">
        <v>408</v>
      </c>
      <c r="FM21" s="5">
        <v>0.25</v>
      </c>
      <c r="FN21" s="5">
        <v>204.25</v>
      </c>
      <c r="FO21" s="5">
        <v>14</v>
      </c>
      <c r="FP21" s="5">
        <v>25.714300000000001</v>
      </c>
      <c r="FQ21" s="5">
        <v>80.701999999999998</v>
      </c>
      <c r="FR21" s="5"/>
      <c r="FS21" s="5">
        <v>408.5</v>
      </c>
      <c r="FT21" s="5">
        <v>44</v>
      </c>
      <c r="FU21" s="5">
        <v>21</v>
      </c>
      <c r="FV21" s="5">
        <v>14</v>
      </c>
      <c r="FW21" s="5">
        <v>0.5</v>
      </c>
      <c r="FX21" s="5">
        <v>4</v>
      </c>
      <c r="FY21" s="5">
        <v>40</v>
      </c>
      <c r="FZ21" s="5">
        <v>50</v>
      </c>
      <c r="GA21" s="5">
        <v>1.125</v>
      </c>
      <c r="GB21" s="5">
        <v>120</v>
      </c>
      <c r="GC21" s="5">
        <v>3</v>
      </c>
      <c r="GD21" s="5">
        <v>29</v>
      </c>
      <c r="GE21" s="5">
        <v>31</v>
      </c>
      <c r="GF21" s="5">
        <v>1</v>
      </c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</row>
    <row r="22" spans="1:201" s="1" customFormat="1" ht="15.75" customHeight="1" x14ac:dyDescent="0.25">
      <c r="A22" s="4" t="s">
        <v>490</v>
      </c>
      <c r="B22" s="5" t="s">
        <v>480</v>
      </c>
      <c r="C22" s="5">
        <v>150</v>
      </c>
      <c r="D22" s="5">
        <v>23</v>
      </c>
      <c r="E22" s="6">
        <v>22.333333333300001</v>
      </c>
      <c r="F22" s="5" t="s">
        <v>469</v>
      </c>
      <c r="G22" s="5">
        <v>0</v>
      </c>
      <c r="H22" s="5">
        <f t="shared" si="0"/>
        <v>276</v>
      </c>
      <c r="I22" s="5">
        <f t="shared" si="1"/>
        <v>145</v>
      </c>
      <c r="J22" s="5">
        <f t="shared" si="2"/>
        <v>133</v>
      </c>
      <c r="K22" s="5">
        <v>45</v>
      </c>
      <c r="L22" s="5">
        <v>1</v>
      </c>
      <c r="M22" s="5">
        <v>8</v>
      </c>
      <c r="N22" s="5">
        <v>12</v>
      </c>
      <c r="O22" s="5">
        <v>15</v>
      </c>
      <c r="P22" s="5">
        <v>12</v>
      </c>
      <c r="Q22" s="5">
        <v>24</v>
      </c>
      <c r="R22" s="5" t="s">
        <v>470</v>
      </c>
      <c r="S22" s="5">
        <v>24</v>
      </c>
      <c r="T22" s="5">
        <f>I22-7</f>
        <v>138</v>
      </c>
      <c r="U22" s="5">
        <v>107.631</v>
      </c>
      <c r="V22" s="5">
        <v>87</v>
      </c>
      <c r="W22" s="5">
        <v>0.4375</v>
      </c>
      <c r="X22" s="5">
        <v>45</v>
      </c>
      <c r="Y22" s="5">
        <v>8</v>
      </c>
      <c r="Z22" s="5">
        <v>107.631</v>
      </c>
      <c r="AA22" s="5">
        <v>78.309200000000004</v>
      </c>
      <c r="AB22" s="5">
        <v>84</v>
      </c>
      <c r="AC22" s="5">
        <v>0.4375</v>
      </c>
      <c r="AD22" s="5">
        <v>60</v>
      </c>
      <c r="AE22" s="5">
        <v>6</v>
      </c>
      <c r="AF22" s="5">
        <v>0</v>
      </c>
      <c r="AG22" s="5">
        <v>78.309200000000004</v>
      </c>
      <c r="AH22" s="5">
        <v>51.34375</v>
      </c>
      <c r="AI22" s="5">
        <v>77.25</v>
      </c>
      <c r="AJ22" s="5">
        <v>0.5</v>
      </c>
      <c r="AK22" s="5">
        <v>90</v>
      </c>
      <c r="AL22" s="5">
        <v>4</v>
      </c>
      <c r="AM22" s="5"/>
      <c r="AN22" s="5">
        <v>51.34375</v>
      </c>
      <c r="AO22" s="5">
        <v>48</v>
      </c>
      <c r="AP22" s="5">
        <v>19.75</v>
      </c>
      <c r="AQ22" s="5">
        <v>0.5625</v>
      </c>
      <c r="AR22" s="5">
        <v>36</v>
      </c>
      <c r="AS22" s="5">
        <v>10</v>
      </c>
      <c r="AT22" s="5" t="s">
        <v>470</v>
      </c>
      <c r="AU22" s="5" t="s">
        <v>470</v>
      </c>
      <c r="AV22" s="5" t="s">
        <v>470</v>
      </c>
      <c r="AW22" s="5" t="s">
        <v>470</v>
      </c>
      <c r="AX22" s="5" t="s">
        <v>470</v>
      </c>
      <c r="AY22" s="5" t="s">
        <v>470</v>
      </c>
      <c r="AZ22" s="5" t="s">
        <v>470</v>
      </c>
      <c r="BA22" s="5">
        <v>96</v>
      </c>
      <c r="BB22" s="5">
        <v>96</v>
      </c>
      <c r="BC22" s="5">
        <v>96</v>
      </c>
      <c r="BD22" s="5">
        <v>96</v>
      </c>
      <c r="BE22" s="5">
        <v>0.5</v>
      </c>
      <c r="BF22" s="5">
        <v>96</v>
      </c>
      <c r="BG22" s="5">
        <v>96</v>
      </c>
      <c r="BH22" s="5">
        <v>0.5</v>
      </c>
      <c r="BI22" s="5">
        <v>96</v>
      </c>
      <c r="BJ22" s="5">
        <v>96</v>
      </c>
      <c r="BK22" s="5">
        <v>0.5</v>
      </c>
      <c r="BL22" s="5">
        <v>96</v>
      </c>
      <c r="BM22" s="5">
        <v>96</v>
      </c>
      <c r="BN22" s="5">
        <v>0.5</v>
      </c>
      <c r="BO22" s="5">
        <v>96</v>
      </c>
      <c r="BP22" s="5">
        <v>96</v>
      </c>
      <c r="BQ22" s="5">
        <v>0.5</v>
      </c>
      <c r="BR22" s="5">
        <v>96</v>
      </c>
      <c r="BS22" s="5">
        <v>96</v>
      </c>
      <c r="BT22" s="5">
        <v>0.5</v>
      </c>
      <c r="BU22" s="5">
        <v>96</v>
      </c>
      <c r="BV22" s="5">
        <v>96</v>
      </c>
      <c r="BW22" s="5">
        <v>0.5</v>
      </c>
      <c r="BX22" s="5">
        <v>96</v>
      </c>
      <c r="BY22" s="5">
        <v>96</v>
      </c>
      <c r="BZ22" s="5">
        <v>0.5</v>
      </c>
      <c r="CA22" s="5" t="s">
        <v>470</v>
      </c>
      <c r="CB22" s="5" t="s">
        <v>470</v>
      </c>
      <c r="CC22" s="5"/>
      <c r="CD22" s="5" t="s">
        <v>470</v>
      </c>
      <c r="CE22" s="5" t="s">
        <v>470</v>
      </c>
      <c r="CF22" s="5"/>
      <c r="CG22" s="5" t="s">
        <v>470</v>
      </c>
      <c r="CH22" s="5" t="s">
        <v>470</v>
      </c>
      <c r="CI22" s="5"/>
      <c r="CJ22" s="5" t="s">
        <v>470</v>
      </c>
      <c r="CK22" s="5" t="s">
        <v>470</v>
      </c>
      <c r="CL22" s="5"/>
      <c r="CM22" s="5" t="s">
        <v>470</v>
      </c>
      <c r="CN22" s="5" t="s">
        <v>470</v>
      </c>
      <c r="CO22" s="5"/>
      <c r="CP22" s="5" t="s">
        <v>470</v>
      </c>
      <c r="CQ22" s="5" t="s">
        <v>470</v>
      </c>
      <c r="CR22" s="5"/>
      <c r="CS22" s="5" t="s">
        <v>470</v>
      </c>
      <c r="CT22" s="5" t="s">
        <v>470</v>
      </c>
      <c r="CU22" s="5"/>
      <c r="CV22" s="5" t="s">
        <v>470</v>
      </c>
      <c r="CW22" s="5" t="s">
        <v>470</v>
      </c>
      <c r="CX22" s="5"/>
      <c r="CY22" s="5" t="s">
        <v>470</v>
      </c>
      <c r="CZ22" s="5" t="s">
        <v>470</v>
      </c>
      <c r="DA22" s="5"/>
      <c r="DB22" s="5" t="s">
        <v>470</v>
      </c>
      <c r="DC22" s="5" t="s">
        <v>470</v>
      </c>
      <c r="DD22" s="5"/>
      <c r="DE22" s="5">
        <v>60</v>
      </c>
      <c r="DF22" s="5">
        <v>48</v>
      </c>
      <c r="DG22" s="5"/>
      <c r="DH22" s="5"/>
      <c r="DI22" s="5">
        <v>0.5625</v>
      </c>
      <c r="DJ22" s="5">
        <v>25.714300000000001</v>
      </c>
      <c r="DK22" s="5">
        <v>14</v>
      </c>
      <c r="DL22" s="5">
        <v>104.90625</v>
      </c>
      <c r="DM22" s="5">
        <v>65.578149999999994</v>
      </c>
      <c r="DN22" s="5">
        <v>39.342500000000001</v>
      </c>
      <c r="DO22" s="5">
        <v>0.5</v>
      </c>
      <c r="DP22" s="12">
        <v>90</v>
      </c>
      <c r="DQ22" s="5">
        <v>4</v>
      </c>
      <c r="DR22" s="13">
        <v>144.21875</v>
      </c>
      <c r="DS22" s="5">
        <v>104.90625</v>
      </c>
      <c r="DT22" s="5">
        <v>39.342500000000001</v>
      </c>
      <c r="DU22" s="5">
        <v>0.375</v>
      </c>
      <c r="DV22" s="5">
        <v>60</v>
      </c>
      <c r="DW22" s="5">
        <v>6</v>
      </c>
      <c r="DX22" s="5" t="s">
        <v>470</v>
      </c>
      <c r="DY22" s="5" t="s">
        <v>470</v>
      </c>
      <c r="DZ22" s="5" t="s">
        <v>470</v>
      </c>
      <c r="EA22" s="5" t="s">
        <v>470</v>
      </c>
      <c r="EB22" s="5" t="s">
        <v>470</v>
      </c>
      <c r="EC22" s="5" t="s">
        <v>470</v>
      </c>
      <c r="ED22" s="5" t="s">
        <v>470</v>
      </c>
      <c r="EE22" s="5" t="s">
        <v>470</v>
      </c>
      <c r="EF22" s="5" t="s">
        <v>470</v>
      </c>
      <c r="EG22" s="5" t="s">
        <v>470</v>
      </c>
      <c r="EH22" s="5" t="s">
        <v>470</v>
      </c>
      <c r="EI22" s="5" t="s">
        <v>470</v>
      </c>
      <c r="EJ22" s="5" t="s">
        <v>470</v>
      </c>
      <c r="EK22" s="5" t="s">
        <v>470</v>
      </c>
      <c r="EL22" s="5" t="s">
        <v>470</v>
      </c>
      <c r="EM22" s="5" t="s">
        <v>470</v>
      </c>
      <c r="EN22" s="5" t="s">
        <v>470</v>
      </c>
      <c r="EO22" s="5" t="s">
        <v>470</v>
      </c>
      <c r="EP22" s="5"/>
      <c r="EQ22" s="5"/>
      <c r="ER22" s="5"/>
      <c r="ES22" s="5"/>
      <c r="ET22" s="5"/>
      <c r="EU22" s="5"/>
      <c r="EV22" s="5"/>
      <c r="EW22" s="5"/>
      <c r="EX22" s="5"/>
      <c r="EY22" s="5">
        <v>0.3125</v>
      </c>
      <c r="EZ22" s="5">
        <v>204</v>
      </c>
      <c r="FA22" s="5">
        <v>18</v>
      </c>
      <c r="FB22" s="5">
        <v>20</v>
      </c>
      <c r="FC22" s="5"/>
      <c r="FD22" s="5"/>
      <c r="FE22" s="5"/>
      <c r="FF22" s="5">
        <v>0.25</v>
      </c>
      <c r="FG22" s="5">
        <v>204</v>
      </c>
      <c r="FH22" s="5">
        <v>18</v>
      </c>
      <c r="FI22" s="5">
        <v>20</v>
      </c>
      <c r="FJ22" s="5">
        <v>45</v>
      </c>
      <c r="FK22" s="5"/>
      <c r="FL22" s="5">
        <v>408</v>
      </c>
      <c r="FM22" s="5">
        <v>0.25</v>
      </c>
      <c r="FN22" s="5">
        <v>204.25</v>
      </c>
      <c r="FO22" s="5">
        <v>14</v>
      </c>
      <c r="FP22" s="5">
        <v>25.714300000000001</v>
      </c>
      <c r="FQ22" s="5">
        <v>80.701999999999998</v>
      </c>
      <c r="FR22" s="5"/>
      <c r="FS22" s="5">
        <v>408.5</v>
      </c>
      <c r="FT22" s="5">
        <v>44</v>
      </c>
      <c r="FU22" s="5">
        <v>21</v>
      </c>
      <c r="FV22" s="5">
        <v>14</v>
      </c>
      <c r="FW22" s="5">
        <v>0.5</v>
      </c>
      <c r="FX22" s="5">
        <v>4</v>
      </c>
      <c r="FY22" s="5">
        <v>40</v>
      </c>
      <c r="FZ22" s="5">
        <v>50</v>
      </c>
      <c r="GA22" s="5">
        <v>1.125</v>
      </c>
      <c r="GB22" s="5">
        <v>120</v>
      </c>
      <c r="GC22" s="5">
        <v>3</v>
      </c>
      <c r="GD22" s="5">
        <v>29</v>
      </c>
      <c r="GE22" s="5">
        <v>31</v>
      </c>
      <c r="GF22" s="5">
        <v>1</v>
      </c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</row>
    <row r="23" spans="1:201" s="1" customFormat="1" ht="15.75" customHeight="1" x14ac:dyDescent="0.25">
      <c r="A23" s="4" t="s">
        <v>491</v>
      </c>
      <c r="B23" s="5" t="s">
        <v>479</v>
      </c>
      <c r="C23" s="5">
        <v>150</v>
      </c>
      <c r="D23" s="5">
        <v>25</v>
      </c>
      <c r="E23" s="6">
        <v>25</v>
      </c>
      <c r="F23" s="5" t="s">
        <v>469</v>
      </c>
      <c r="G23" s="5">
        <v>0</v>
      </c>
      <c r="H23" s="5">
        <f t="shared" si="0"/>
        <v>300</v>
      </c>
      <c r="I23" s="5">
        <f t="shared" si="1"/>
        <v>157</v>
      </c>
      <c r="J23" s="5">
        <f t="shared" si="2"/>
        <v>145</v>
      </c>
      <c r="K23" s="5">
        <v>40</v>
      </c>
      <c r="L23" s="5">
        <v>1</v>
      </c>
      <c r="M23" s="5">
        <v>9</v>
      </c>
      <c r="N23" s="5">
        <v>20</v>
      </c>
      <c r="O23" s="5">
        <v>9</v>
      </c>
      <c r="P23" s="5">
        <v>20</v>
      </c>
      <c r="Q23" s="5">
        <v>40</v>
      </c>
      <c r="R23" s="5" t="s">
        <v>470</v>
      </c>
      <c r="S23" s="5">
        <v>40</v>
      </c>
      <c r="T23" s="5">
        <f t="shared" si="3"/>
        <v>150</v>
      </c>
      <c r="U23" s="5">
        <v>120.4294</v>
      </c>
      <c r="V23" s="5">
        <v>84</v>
      </c>
      <c r="W23" s="5">
        <v>0.4375</v>
      </c>
      <c r="X23" s="5">
        <v>40</v>
      </c>
      <c r="Y23" s="5">
        <v>9</v>
      </c>
      <c r="Z23" s="5">
        <v>120.4294</v>
      </c>
      <c r="AA23" s="5">
        <v>90.858800000000002</v>
      </c>
      <c r="AB23" s="5">
        <v>84</v>
      </c>
      <c r="AC23" s="5">
        <v>0.4375</v>
      </c>
      <c r="AD23" s="5">
        <v>60</v>
      </c>
      <c r="AE23" s="5">
        <v>6</v>
      </c>
      <c r="AF23" s="5">
        <v>0</v>
      </c>
      <c r="AG23" s="5">
        <v>90.858800000000002</v>
      </c>
      <c r="AH23" s="5">
        <v>61.2883</v>
      </c>
      <c r="AI23" s="5">
        <v>84</v>
      </c>
      <c r="AJ23" s="5">
        <v>0.5625</v>
      </c>
      <c r="AK23" s="5">
        <v>60</v>
      </c>
      <c r="AL23" s="5">
        <v>6</v>
      </c>
      <c r="AM23" s="5">
        <v>0</v>
      </c>
      <c r="AN23" s="5">
        <v>61.2883</v>
      </c>
      <c r="AO23" s="5">
        <v>51.40625</v>
      </c>
      <c r="AP23" s="5">
        <v>28.0625</v>
      </c>
      <c r="AQ23" s="5">
        <v>0.625</v>
      </c>
      <c r="AR23" s="5">
        <v>90</v>
      </c>
      <c r="AS23" s="5">
        <v>4</v>
      </c>
      <c r="AT23" s="5">
        <v>60</v>
      </c>
      <c r="AU23" s="5">
        <v>51.40625</v>
      </c>
      <c r="AV23" s="5">
        <v>48</v>
      </c>
      <c r="AW23" s="5">
        <v>19.9375</v>
      </c>
      <c r="AX23" s="5">
        <v>0.625</v>
      </c>
      <c r="AY23" s="5">
        <v>36</v>
      </c>
      <c r="AZ23" s="5">
        <v>10</v>
      </c>
      <c r="BA23" s="5">
        <v>96</v>
      </c>
      <c r="BB23" s="5">
        <v>96</v>
      </c>
      <c r="BC23" s="5">
        <v>96</v>
      </c>
      <c r="BD23" s="5">
        <v>96</v>
      </c>
      <c r="BE23" s="5">
        <v>0.5</v>
      </c>
      <c r="BF23" s="5">
        <v>96</v>
      </c>
      <c r="BG23" s="5">
        <v>96</v>
      </c>
      <c r="BH23" s="5">
        <v>0.5</v>
      </c>
      <c r="BI23" s="5">
        <v>96</v>
      </c>
      <c r="BJ23" s="5">
        <v>96</v>
      </c>
      <c r="BK23" s="5">
        <v>0.5</v>
      </c>
      <c r="BL23" s="5">
        <v>96</v>
      </c>
      <c r="BM23" s="5">
        <v>96</v>
      </c>
      <c r="BN23" s="5">
        <v>0.5</v>
      </c>
      <c r="BO23" s="5">
        <v>96</v>
      </c>
      <c r="BP23" s="5">
        <v>96</v>
      </c>
      <c r="BQ23" s="5">
        <v>0.5</v>
      </c>
      <c r="BR23" s="5">
        <v>96</v>
      </c>
      <c r="BS23" s="5">
        <v>96</v>
      </c>
      <c r="BT23" s="5">
        <v>0.5</v>
      </c>
      <c r="BU23" s="5">
        <v>96</v>
      </c>
      <c r="BV23" s="5">
        <v>96</v>
      </c>
      <c r="BW23" s="5">
        <v>0.5</v>
      </c>
      <c r="BX23" s="5">
        <v>96</v>
      </c>
      <c r="BY23" s="5">
        <v>96</v>
      </c>
      <c r="BZ23" s="5">
        <v>0.5</v>
      </c>
      <c r="CA23" s="5" t="s">
        <v>470</v>
      </c>
      <c r="CB23" s="5" t="s">
        <v>470</v>
      </c>
      <c r="CC23" s="5"/>
      <c r="CD23" s="5" t="s">
        <v>470</v>
      </c>
      <c r="CE23" s="5" t="s">
        <v>470</v>
      </c>
      <c r="CF23" s="5"/>
      <c r="CG23" s="5" t="s">
        <v>470</v>
      </c>
      <c r="CH23" s="5" t="s">
        <v>470</v>
      </c>
      <c r="CI23" s="5"/>
      <c r="CJ23" s="5" t="s">
        <v>470</v>
      </c>
      <c r="CK23" s="5" t="s">
        <v>470</v>
      </c>
      <c r="CL23" s="5"/>
      <c r="CM23" s="5" t="s">
        <v>470</v>
      </c>
      <c r="CN23" s="5" t="s">
        <v>470</v>
      </c>
      <c r="CO23" s="5"/>
      <c r="CP23" s="5" t="s">
        <v>470</v>
      </c>
      <c r="CQ23" s="5" t="s">
        <v>470</v>
      </c>
      <c r="CR23" s="5"/>
      <c r="CS23" s="5" t="s">
        <v>470</v>
      </c>
      <c r="CT23" s="5" t="s">
        <v>470</v>
      </c>
      <c r="CU23" s="5"/>
      <c r="CV23" s="5" t="s">
        <v>470</v>
      </c>
      <c r="CW23" s="5" t="s">
        <v>470</v>
      </c>
      <c r="CX23" s="5"/>
      <c r="CY23" s="5" t="s">
        <v>470</v>
      </c>
      <c r="CZ23" s="5" t="s">
        <v>470</v>
      </c>
      <c r="DA23" s="5"/>
      <c r="DB23" s="5" t="s">
        <v>470</v>
      </c>
      <c r="DC23" s="5" t="s">
        <v>470</v>
      </c>
      <c r="DD23" s="5"/>
      <c r="DE23" s="5">
        <v>60</v>
      </c>
      <c r="DF23" s="5">
        <v>48</v>
      </c>
      <c r="DG23" s="5">
        <v>65.578149999999994</v>
      </c>
      <c r="DH23" s="5">
        <v>42.4375</v>
      </c>
      <c r="DI23" s="5">
        <v>0.5625</v>
      </c>
      <c r="DJ23" s="5">
        <v>25.714300000000001</v>
      </c>
      <c r="DK23" s="5">
        <v>14</v>
      </c>
      <c r="DL23" s="5">
        <v>104.90625</v>
      </c>
      <c r="DM23" s="5">
        <v>65.578149999999994</v>
      </c>
      <c r="DN23" s="5">
        <v>39.342500000000001</v>
      </c>
      <c r="DO23" s="5">
        <v>0.5</v>
      </c>
      <c r="DP23" s="12">
        <v>90</v>
      </c>
      <c r="DQ23" s="5">
        <v>4</v>
      </c>
      <c r="DR23" s="13">
        <v>144.21875</v>
      </c>
      <c r="DS23" s="5">
        <v>104.90625</v>
      </c>
      <c r="DT23" s="5">
        <v>39.342500000000001</v>
      </c>
      <c r="DU23" s="5">
        <v>0.375</v>
      </c>
      <c r="DV23" s="5">
        <v>60</v>
      </c>
      <c r="DW23" s="5">
        <v>6</v>
      </c>
      <c r="DX23" s="5" t="s">
        <v>470</v>
      </c>
      <c r="DY23" s="5" t="s">
        <v>470</v>
      </c>
      <c r="DZ23" s="5" t="s">
        <v>470</v>
      </c>
      <c r="EA23" s="5" t="s">
        <v>470</v>
      </c>
      <c r="EB23" s="5" t="s">
        <v>470</v>
      </c>
      <c r="EC23" s="5" t="s">
        <v>470</v>
      </c>
      <c r="ED23" s="5" t="s">
        <v>470</v>
      </c>
      <c r="EE23" s="5" t="s">
        <v>470</v>
      </c>
      <c r="EF23" s="5" t="s">
        <v>470</v>
      </c>
      <c r="EG23" s="5" t="s">
        <v>470</v>
      </c>
      <c r="EH23" s="5" t="s">
        <v>470</v>
      </c>
      <c r="EI23" s="5" t="s">
        <v>470</v>
      </c>
      <c r="EJ23" s="5" t="s">
        <v>470</v>
      </c>
      <c r="EK23" s="5" t="s">
        <v>470</v>
      </c>
      <c r="EL23" s="5" t="s">
        <v>470</v>
      </c>
      <c r="EM23" s="5" t="s">
        <v>470</v>
      </c>
      <c r="EN23" s="5" t="s">
        <v>470</v>
      </c>
      <c r="EO23" s="5" t="s">
        <v>470</v>
      </c>
      <c r="EP23" s="5">
        <v>0.3125</v>
      </c>
      <c r="EQ23" s="5">
        <v>144.25</v>
      </c>
      <c r="ER23" s="5">
        <v>144.25</v>
      </c>
      <c r="ES23" s="5"/>
      <c r="ET23" s="5"/>
      <c r="EU23" s="5"/>
      <c r="EV23" s="5">
        <v>45</v>
      </c>
      <c r="EW23" s="5">
        <v>30</v>
      </c>
      <c r="EX23" s="5">
        <v>204</v>
      </c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>
        <v>0.25</v>
      </c>
      <c r="FN23" s="5">
        <v>204.25</v>
      </c>
      <c r="FO23" s="5">
        <v>14</v>
      </c>
      <c r="FP23" s="5">
        <v>25.714300000000001</v>
      </c>
      <c r="FQ23" s="5">
        <v>80.701999999999998</v>
      </c>
      <c r="FR23" s="5"/>
      <c r="FS23" s="5">
        <v>408.5</v>
      </c>
      <c r="FT23" s="5">
        <v>44</v>
      </c>
      <c r="FU23" s="5">
        <v>21</v>
      </c>
      <c r="FV23" s="5">
        <v>14</v>
      </c>
      <c r="FW23" s="5">
        <v>0.5</v>
      </c>
      <c r="FX23" s="5">
        <v>4</v>
      </c>
      <c r="FY23" s="5">
        <v>40</v>
      </c>
      <c r="FZ23" s="5">
        <v>50</v>
      </c>
      <c r="GA23" s="5">
        <v>1.125</v>
      </c>
      <c r="GB23" s="5">
        <v>120</v>
      </c>
      <c r="GC23" s="5">
        <v>3</v>
      </c>
      <c r="GD23" s="5">
        <v>29</v>
      </c>
      <c r="GE23" s="5">
        <v>31</v>
      </c>
      <c r="GF23" s="5">
        <v>1</v>
      </c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</row>
    <row r="24" spans="1:201" s="1" customFormat="1" ht="15.75" customHeight="1" x14ac:dyDescent="0.25">
      <c r="A24" s="4" t="s">
        <v>491</v>
      </c>
      <c r="B24" s="5" t="s">
        <v>492</v>
      </c>
      <c r="C24" s="5">
        <v>150</v>
      </c>
      <c r="D24" s="5">
        <v>25</v>
      </c>
      <c r="E24" s="6">
        <v>25</v>
      </c>
      <c r="F24" s="5" t="s">
        <v>469</v>
      </c>
      <c r="G24" s="5">
        <v>0</v>
      </c>
      <c r="H24" s="5">
        <f t="shared" si="0"/>
        <v>300</v>
      </c>
      <c r="I24" s="5">
        <f t="shared" si="1"/>
        <v>157</v>
      </c>
      <c r="J24" s="5">
        <f t="shared" si="2"/>
        <v>145</v>
      </c>
      <c r="K24" s="5">
        <v>40</v>
      </c>
      <c r="L24" s="5">
        <v>1</v>
      </c>
      <c r="M24" s="5">
        <v>9</v>
      </c>
      <c r="N24" s="5">
        <v>20</v>
      </c>
      <c r="O24" s="5">
        <v>9</v>
      </c>
      <c r="P24" s="5">
        <v>20</v>
      </c>
      <c r="Q24" s="5">
        <v>40</v>
      </c>
      <c r="R24" s="5" t="s">
        <v>470</v>
      </c>
      <c r="S24" s="5">
        <v>40</v>
      </c>
      <c r="T24" s="5">
        <f>I24-7</f>
        <v>150</v>
      </c>
      <c r="U24" s="5">
        <v>120.4294</v>
      </c>
      <c r="V24" s="5">
        <v>84</v>
      </c>
      <c r="W24" s="5">
        <v>0.4375</v>
      </c>
      <c r="X24" s="5">
        <v>40</v>
      </c>
      <c r="Y24" s="5">
        <v>9</v>
      </c>
      <c r="Z24" s="5">
        <v>120.4294</v>
      </c>
      <c r="AA24" s="5">
        <v>90.858800000000002</v>
      </c>
      <c r="AB24" s="5">
        <v>84</v>
      </c>
      <c r="AC24" s="5">
        <v>0.4375</v>
      </c>
      <c r="AD24" s="5">
        <v>60</v>
      </c>
      <c r="AE24" s="5">
        <v>6</v>
      </c>
      <c r="AF24" s="5">
        <v>0</v>
      </c>
      <c r="AG24" s="5">
        <v>90.858800000000002</v>
      </c>
      <c r="AH24" s="5">
        <v>61.2883</v>
      </c>
      <c r="AI24" s="5">
        <v>84</v>
      </c>
      <c r="AJ24" s="5">
        <v>0.5625</v>
      </c>
      <c r="AK24" s="5">
        <v>60</v>
      </c>
      <c r="AL24" s="5">
        <v>6</v>
      </c>
      <c r="AM24" s="5">
        <v>0</v>
      </c>
      <c r="AN24" s="5">
        <v>61.2883</v>
      </c>
      <c r="AO24" s="5">
        <v>51.40625</v>
      </c>
      <c r="AP24" s="5">
        <v>28.0625</v>
      </c>
      <c r="AQ24" s="5">
        <v>0.625</v>
      </c>
      <c r="AR24" s="5">
        <v>90</v>
      </c>
      <c r="AS24" s="5">
        <v>4</v>
      </c>
      <c r="AT24" s="5">
        <v>60</v>
      </c>
      <c r="AU24" s="5">
        <v>51.40625</v>
      </c>
      <c r="AV24" s="5">
        <v>48</v>
      </c>
      <c r="AW24" s="5">
        <v>19.9375</v>
      </c>
      <c r="AX24" s="5">
        <v>0.625</v>
      </c>
      <c r="AY24" s="5">
        <v>36</v>
      </c>
      <c r="AZ24" s="5">
        <v>10</v>
      </c>
      <c r="BA24" s="5">
        <v>96</v>
      </c>
      <c r="BB24" s="5">
        <v>96</v>
      </c>
      <c r="BC24" s="5">
        <v>96</v>
      </c>
      <c r="BD24" s="5">
        <v>96</v>
      </c>
      <c r="BE24" s="5">
        <v>0.5</v>
      </c>
      <c r="BF24" s="5">
        <v>96</v>
      </c>
      <c r="BG24" s="5">
        <v>96</v>
      </c>
      <c r="BH24" s="5">
        <v>0.5</v>
      </c>
      <c r="BI24" s="5">
        <v>96</v>
      </c>
      <c r="BJ24" s="5">
        <v>96</v>
      </c>
      <c r="BK24" s="5">
        <v>0.5</v>
      </c>
      <c r="BL24" s="5">
        <v>96</v>
      </c>
      <c r="BM24" s="5">
        <v>96</v>
      </c>
      <c r="BN24" s="5">
        <v>0.5</v>
      </c>
      <c r="BO24" s="5">
        <v>96</v>
      </c>
      <c r="BP24" s="5">
        <v>96</v>
      </c>
      <c r="BQ24" s="5">
        <v>0.5</v>
      </c>
      <c r="BR24" s="5">
        <v>96</v>
      </c>
      <c r="BS24" s="5">
        <v>96</v>
      </c>
      <c r="BT24" s="5">
        <v>0.5</v>
      </c>
      <c r="BU24" s="5">
        <v>96</v>
      </c>
      <c r="BV24" s="5">
        <v>96</v>
      </c>
      <c r="BW24" s="5">
        <v>0.5</v>
      </c>
      <c r="BX24" s="5">
        <v>96</v>
      </c>
      <c r="BY24" s="5">
        <v>96</v>
      </c>
      <c r="BZ24" s="5">
        <v>0.5</v>
      </c>
      <c r="CA24" s="5" t="s">
        <v>470</v>
      </c>
      <c r="CB24" s="5" t="s">
        <v>470</v>
      </c>
      <c r="CC24" s="5"/>
      <c r="CD24" s="5" t="s">
        <v>470</v>
      </c>
      <c r="CE24" s="5" t="s">
        <v>470</v>
      </c>
      <c r="CF24" s="5"/>
      <c r="CG24" s="5" t="s">
        <v>470</v>
      </c>
      <c r="CH24" s="5" t="s">
        <v>470</v>
      </c>
      <c r="CI24" s="5"/>
      <c r="CJ24" s="5" t="s">
        <v>470</v>
      </c>
      <c r="CK24" s="5" t="s">
        <v>470</v>
      </c>
      <c r="CL24" s="5"/>
      <c r="CM24" s="5" t="s">
        <v>470</v>
      </c>
      <c r="CN24" s="5" t="s">
        <v>470</v>
      </c>
      <c r="CO24" s="5"/>
      <c r="CP24" s="5" t="s">
        <v>470</v>
      </c>
      <c r="CQ24" s="5" t="s">
        <v>470</v>
      </c>
      <c r="CR24" s="5"/>
      <c r="CS24" s="5" t="s">
        <v>470</v>
      </c>
      <c r="CT24" s="5" t="s">
        <v>470</v>
      </c>
      <c r="CU24" s="5"/>
      <c r="CV24" s="5" t="s">
        <v>470</v>
      </c>
      <c r="CW24" s="5" t="s">
        <v>470</v>
      </c>
      <c r="CX24" s="5"/>
      <c r="CY24" s="5" t="s">
        <v>470</v>
      </c>
      <c r="CZ24" s="5" t="s">
        <v>470</v>
      </c>
      <c r="DA24" s="5"/>
      <c r="DB24" s="5" t="s">
        <v>470</v>
      </c>
      <c r="DC24" s="5" t="s">
        <v>470</v>
      </c>
      <c r="DD24" s="5"/>
      <c r="DE24" s="5">
        <v>60</v>
      </c>
      <c r="DF24" s="5">
        <v>48</v>
      </c>
      <c r="DG24" s="5">
        <v>65.578149999999994</v>
      </c>
      <c r="DH24" s="5">
        <v>42.4375</v>
      </c>
      <c r="DI24" s="5">
        <v>0.5625</v>
      </c>
      <c r="DJ24" s="5">
        <v>25.714300000000001</v>
      </c>
      <c r="DK24" s="5">
        <v>14</v>
      </c>
      <c r="DL24" s="5">
        <v>104.90625</v>
      </c>
      <c r="DM24" s="5">
        <v>65.578149999999994</v>
      </c>
      <c r="DN24" s="5">
        <v>39.342500000000001</v>
      </c>
      <c r="DO24" s="5">
        <v>0.5</v>
      </c>
      <c r="DP24" s="12">
        <v>90</v>
      </c>
      <c r="DQ24" s="5">
        <v>4</v>
      </c>
      <c r="DR24" s="13">
        <v>144.21875</v>
      </c>
      <c r="DS24" s="5">
        <v>104.90625</v>
      </c>
      <c r="DT24" s="5">
        <v>39.342500000000001</v>
      </c>
      <c r="DU24" s="5">
        <v>0.375</v>
      </c>
      <c r="DV24" s="5">
        <v>60</v>
      </c>
      <c r="DW24" s="5">
        <v>6</v>
      </c>
      <c r="DX24" s="5" t="s">
        <v>470</v>
      </c>
      <c r="DY24" s="5" t="s">
        <v>470</v>
      </c>
      <c r="DZ24" s="5" t="s">
        <v>470</v>
      </c>
      <c r="EA24" s="5" t="s">
        <v>470</v>
      </c>
      <c r="EB24" s="5" t="s">
        <v>470</v>
      </c>
      <c r="EC24" s="5" t="s">
        <v>470</v>
      </c>
      <c r="ED24" s="5" t="s">
        <v>470</v>
      </c>
      <c r="EE24" s="5" t="s">
        <v>470</v>
      </c>
      <c r="EF24" s="5" t="s">
        <v>470</v>
      </c>
      <c r="EG24" s="5" t="s">
        <v>470</v>
      </c>
      <c r="EH24" s="5" t="s">
        <v>470</v>
      </c>
      <c r="EI24" s="5" t="s">
        <v>470</v>
      </c>
      <c r="EJ24" s="5" t="s">
        <v>470</v>
      </c>
      <c r="EK24" s="5" t="s">
        <v>470</v>
      </c>
      <c r="EL24" s="5" t="s">
        <v>470</v>
      </c>
      <c r="EM24" s="5" t="s">
        <v>470</v>
      </c>
      <c r="EN24" s="5" t="s">
        <v>470</v>
      </c>
      <c r="EO24" s="5" t="s">
        <v>470</v>
      </c>
      <c r="EP24" s="5"/>
      <c r="EQ24" s="5"/>
      <c r="ER24" s="5"/>
      <c r="ES24" s="5"/>
      <c r="ET24" s="5"/>
      <c r="EU24" s="5"/>
      <c r="EV24" s="5"/>
      <c r="EW24" s="5"/>
      <c r="EX24" s="5"/>
      <c r="EY24" s="5">
        <v>0.3125</v>
      </c>
      <c r="EZ24" s="5">
        <v>204</v>
      </c>
      <c r="FA24" s="5">
        <v>18</v>
      </c>
      <c r="FB24" s="5">
        <v>20</v>
      </c>
      <c r="FC24" s="5"/>
      <c r="FD24" s="5"/>
      <c r="FE24" s="5"/>
      <c r="FF24" s="5">
        <v>0.25</v>
      </c>
      <c r="FG24" s="5">
        <v>204</v>
      </c>
      <c r="FH24" s="5">
        <v>18</v>
      </c>
      <c r="FI24" s="5">
        <v>20</v>
      </c>
      <c r="FJ24" s="5">
        <v>45</v>
      </c>
      <c r="FK24" s="5"/>
      <c r="FL24" s="5">
        <v>408</v>
      </c>
      <c r="FM24" s="5">
        <v>0.25</v>
      </c>
      <c r="FN24" s="5">
        <v>204.25</v>
      </c>
      <c r="FO24" s="5">
        <v>14</v>
      </c>
      <c r="FP24" s="5">
        <v>25.714300000000001</v>
      </c>
      <c r="FQ24" s="5">
        <v>80.701999999999998</v>
      </c>
      <c r="FR24" s="5"/>
      <c r="FS24" s="5">
        <v>408.5</v>
      </c>
      <c r="FT24" s="5">
        <v>44</v>
      </c>
      <c r="FU24" s="5">
        <v>21</v>
      </c>
      <c r="FV24" s="5">
        <v>14</v>
      </c>
      <c r="FW24" s="5">
        <v>0.5</v>
      </c>
      <c r="FX24" s="5">
        <v>4</v>
      </c>
      <c r="FY24" s="5">
        <v>40</v>
      </c>
      <c r="FZ24" s="5">
        <v>50</v>
      </c>
      <c r="GA24" s="5">
        <v>1.125</v>
      </c>
      <c r="GB24" s="5">
        <v>120</v>
      </c>
      <c r="GC24" s="5">
        <v>3</v>
      </c>
      <c r="GD24" s="5">
        <v>29</v>
      </c>
      <c r="GE24" s="5">
        <v>31</v>
      </c>
      <c r="GF24" s="5">
        <v>1</v>
      </c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</row>
    <row r="25" spans="1:201" s="1" customFormat="1" ht="15.75" customHeight="1" x14ac:dyDescent="0.25">
      <c r="A25" s="4" t="s">
        <v>493</v>
      </c>
      <c r="B25" s="5" t="s">
        <v>492</v>
      </c>
      <c r="C25" s="5">
        <v>150</v>
      </c>
      <c r="D25" s="5">
        <v>28</v>
      </c>
      <c r="E25" s="6">
        <v>25</v>
      </c>
      <c r="F25" s="5" t="s">
        <v>469</v>
      </c>
      <c r="G25" s="5">
        <v>0</v>
      </c>
      <c r="H25" s="5">
        <f t="shared" si="0"/>
        <v>336</v>
      </c>
      <c r="I25" s="5">
        <f t="shared" si="1"/>
        <v>175</v>
      </c>
      <c r="J25" s="5">
        <f t="shared" si="2"/>
        <v>163</v>
      </c>
      <c r="K25" s="5">
        <v>40</v>
      </c>
      <c r="L25" s="5">
        <v>1</v>
      </c>
      <c r="M25" s="5">
        <v>9</v>
      </c>
      <c r="N25" s="5">
        <v>12</v>
      </c>
      <c r="O25" s="5">
        <v>15</v>
      </c>
      <c r="P25" s="5">
        <v>12</v>
      </c>
      <c r="Q25" s="5">
        <v>24</v>
      </c>
      <c r="R25" s="5" t="s">
        <v>470</v>
      </c>
      <c r="S25" s="5">
        <v>24</v>
      </c>
      <c r="T25" s="5">
        <f t="shared" si="3"/>
        <v>168</v>
      </c>
      <c r="U25" s="5">
        <v>133.0008</v>
      </c>
      <c r="V25" s="5">
        <v>84</v>
      </c>
      <c r="W25" s="5">
        <v>0.375</v>
      </c>
      <c r="X25" s="5">
        <v>40</v>
      </c>
      <c r="Y25" s="5">
        <v>9</v>
      </c>
      <c r="Z25" s="5">
        <v>133.0008</v>
      </c>
      <c r="AA25" s="5">
        <v>98.001599999999996</v>
      </c>
      <c r="AB25" s="5">
        <v>84</v>
      </c>
      <c r="AC25" s="5">
        <v>0.375</v>
      </c>
      <c r="AD25" s="5">
        <v>45</v>
      </c>
      <c r="AE25" s="5">
        <v>8</v>
      </c>
      <c r="AF25" s="5">
        <v>0</v>
      </c>
      <c r="AG25" s="5">
        <v>98.001599999999996</v>
      </c>
      <c r="AH25" s="5">
        <v>63.002499999999998</v>
      </c>
      <c r="AI25" s="5">
        <v>84</v>
      </c>
      <c r="AJ25" s="5">
        <v>0.5</v>
      </c>
      <c r="AK25" s="5">
        <v>60</v>
      </c>
      <c r="AL25" s="5">
        <v>6</v>
      </c>
      <c r="AM25" s="5">
        <v>0</v>
      </c>
      <c r="AN25" s="5">
        <v>63.002499999999998</v>
      </c>
      <c r="AO25" s="5">
        <v>52.615400000000001</v>
      </c>
      <c r="AP25" s="5">
        <v>24.9375</v>
      </c>
      <c r="AQ25" s="5">
        <v>0.5625</v>
      </c>
      <c r="AR25" s="5">
        <v>90</v>
      </c>
      <c r="AS25" s="5">
        <v>4</v>
      </c>
      <c r="AT25" s="5"/>
      <c r="AU25" s="5">
        <v>52.615400000000001</v>
      </c>
      <c r="AV25" s="5">
        <v>48</v>
      </c>
      <c r="AW25" s="5">
        <v>23.0625</v>
      </c>
      <c r="AX25" s="5">
        <v>0.5625</v>
      </c>
      <c r="AY25" s="5">
        <v>36</v>
      </c>
      <c r="AZ25" s="5">
        <v>10</v>
      </c>
      <c r="BA25" s="5">
        <v>96</v>
      </c>
      <c r="BB25" s="5">
        <v>96</v>
      </c>
      <c r="BC25" s="5">
        <v>96</v>
      </c>
      <c r="BD25" s="5">
        <v>96</v>
      </c>
      <c r="BE25" s="5">
        <v>0.5</v>
      </c>
      <c r="BF25" s="5">
        <v>96</v>
      </c>
      <c r="BG25" s="5">
        <v>96</v>
      </c>
      <c r="BH25" s="5">
        <v>0.5</v>
      </c>
      <c r="BI25" s="5">
        <v>96</v>
      </c>
      <c r="BJ25" s="5">
        <v>96</v>
      </c>
      <c r="BK25" s="5">
        <v>0.5</v>
      </c>
      <c r="BL25" s="5">
        <v>96</v>
      </c>
      <c r="BM25" s="5">
        <v>96</v>
      </c>
      <c r="BN25" s="5">
        <v>0.5</v>
      </c>
      <c r="BO25" s="5">
        <v>96</v>
      </c>
      <c r="BP25" s="5">
        <v>96</v>
      </c>
      <c r="BQ25" s="5">
        <v>0.5</v>
      </c>
      <c r="BR25" s="5">
        <v>96</v>
      </c>
      <c r="BS25" s="5">
        <v>96</v>
      </c>
      <c r="BT25" s="5">
        <v>0.5</v>
      </c>
      <c r="BU25" s="5">
        <v>96</v>
      </c>
      <c r="BV25" s="5">
        <v>96</v>
      </c>
      <c r="BW25" s="5">
        <v>0.5</v>
      </c>
      <c r="BX25" s="5">
        <v>96</v>
      </c>
      <c r="BY25" s="5">
        <v>96</v>
      </c>
      <c r="BZ25" s="5">
        <v>0.5</v>
      </c>
      <c r="CA25" s="5" t="s">
        <v>470</v>
      </c>
      <c r="CB25" s="5" t="s">
        <v>470</v>
      </c>
      <c r="CC25" s="5"/>
      <c r="CD25" s="5" t="s">
        <v>470</v>
      </c>
      <c r="CE25" s="5" t="s">
        <v>470</v>
      </c>
      <c r="CF25" s="5"/>
      <c r="CG25" s="5" t="s">
        <v>470</v>
      </c>
      <c r="CH25" s="5" t="s">
        <v>470</v>
      </c>
      <c r="CI25" s="5"/>
      <c r="CJ25" s="5" t="s">
        <v>470</v>
      </c>
      <c r="CK25" s="5" t="s">
        <v>470</v>
      </c>
      <c r="CL25" s="5"/>
      <c r="CM25" s="5" t="s">
        <v>470</v>
      </c>
      <c r="CN25" s="5" t="s">
        <v>470</v>
      </c>
      <c r="CO25" s="5"/>
      <c r="CP25" s="5" t="s">
        <v>470</v>
      </c>
      <c r="CQ25" s="5" t="s">
        <v>470</v>
      </c>
      <c r="CR25" s="5"/>
      <c r="CS25" s="5" t="s">
        <v>470</v>
      </c>
      <c r="CT25" s="5" t="s">
        <v>470</v>
      </c>
      <c r="CU25" s="5"/>
      <c r="CV25" s="5" t="s">
        <v>470</v>
      </c>
      <c r="CW25" s="5" t="s">
        <v>470</v>
      </c>
      <c r="CX25" s="5"/>
      <c r="CY25" s="5" t="s">
        <v>470</v>
      </c>
      <c r="CZ25" s="5" t="s">
        <v>470</v>
      </c>
      <c r="DA25" s="5"/>
      <c r="DB25" s="5" t="s">
        <v>470</v>
      </c>
      <c r="DC25" s="5" t="s">
        <v>470</v>
      </c>
      <c r="DD25" s="5"/>
      <c r="DE25" s="5">
        <v>60</v>
      </c>
      <c r="DF25" s="5">
        <v>48</v>
      </c>
      <c r="DG25" s="5"/>
      <c r="DH25" s="5"/>
      <c r="DI25" s="5">
        <v>0.5625</v>
      </c>
      <c r="DJ25" s="5">
        <v>25.714300000000001</v>
      </c>
      <c r="DK25" s="5">
        <v>14</v>
      </c>
      <c r="DL25" s="5">
        <v>104.90625</v>
      </c>
      <c r="DM25" s="5">
        <v>65.59375</v>
      </c>
      <c r="DN25" s="5">
        <v>39.342500000000001</v>
      </c>
      <c r="DO25" s="5">
        <v>0.5</v>
      </c>
      <c r="DP25" s="12">
        <v>90</v>
      </c>
      <c r="DQ25" s="5">
        <v>4</v>
      </c>
      <c r="DR25" s="13">
        <v>144.21875</v>
      </c>
      <c r="DS25" s="5">
        <v>104.90625</v>
      </c>
      <c r="DT25" s="5">
        <v>39.342500000000001</v>
      </c>
      <c r="DU25" s="5">
        <v>0.375</v>
      </c>
      <c r="DV25" s="5">
        <v>60</v>
      </c>
      <c r="DW25" s="5">
        <v>6</v>
      </c>
      <c r="DX25" s="5" t="s">
        <v>470</v>
      </c>
      <c r="DY25" s="5" t="s">
        <v>470</v>
      </c>
      <c r="DZ25" s="5" t="s">
        <v>470</v>
      </c>
      <c r="EA25" s="5" t="s">
        <v>470</v>
      </c>
      <c r="EB25" s="5" t="s">
        <v>470</v>
      </c>
      <c r="EC25" s="5" t="s">
        <v>470</v>
      </c>
      <c r="ED25" s="5" t="s">
        <v>470</v>
      </c>
      <c r="EE25" s="5" t="s">
        <v>470</v>
      </c>
      <c r="EF25" s="5" t="s">
        <v>470</v>
      </c>
      <c r="EG25" s="5" t="s">
        <v>470</v>
      </c>
      <c r="EH25" s="5" t="s">
        <v>470</v>
      </c>
      <c r="EI25" s="5" t="s">
        <v>470</v>
      </c>
      <c r="EJ25" s="5" t="s">
        <v>470</v>
      </c>
      <c r="EK25" s="5" t="s">
        <v>470</v>
      </c>
      <c r="EL25" s="5" t="s">
        <v>470</v>
      </c>
      <c r="EM25" s="5" t="s">
        <v>470</v>
      </c>
      <c r="EN25" s="5" t="s">
        <v>470</v>
      </c>
      <c r="EO25" s="5" t="s">
        <v>470</v>
      </c>
      <c r="EP25" s="5"/>
      <c r="EQ25" s="5"/>
      <c r="ER25" s="5"/>
      <c r="ES25" s="5"/>
      <c r="ET25" s="5"/>
      <c r="EU25" s="5"/>
      <c r="EV25" s="5"/>
      <c r="EW25" s="5"/>
      <c r="EX25" s="5"/>
      <c r="EY25" s="5">
        <v>0.3125</v>
      </c>
      <c r="EZ25" s="5">
        <v>204</v>
      </c>
      <c r="FA25" s="5">
        <v>18</v>
      </c>
      <c r="FB25" s="5">
        <v>20</v>
      </c>
      <c r="FC25" s="5"/>
      <c r="FD25" s="5"/>
      <c r="FE25" s="5"/>
      <c r="FF25" s="5">
        <v>0.25</v>
      </c>
      <c r="FG25" s="5">
        <v>204</v>
      </c>
      <c r="FH25" s="5">
        <v>18</v>
      </c>
      <c r="FI25" s="5">
        <v>20</v>
      </c>
      <c r="FJ25" s="5">
        <v>45</v>
      </c>
      <c r="FK25" s="5"/>
      <c r="FL25" s="5">
        <v>408</v>
      </c>
      <c r="FM25" s="5">
        <v>0.25</v>
      </c>
      <c r="FN25" s="5">
        <v>204.25</v>
      </c>
      <c r="FO25" s="5">
        <v>14</v>
      </c>
      <c r="FP25" s="5">
        <v>25.714300000000001</v>
      </c>
      <c r="FQ25" s="5">
        <v>80.701999999999998</v>
      </c>
      <c r="FR25" s="5"/>
      <c r="FS25" s="5">
        <v>408.5</v>
      </c>
      <c r="FT25" s="5">
        <v>44</v>
      </c>
      <c r="FU25" s="5">
        <v>21</v>
      </c>
      <c r="FV25" s="5">
        <v>14</v>
      </c>
      <c r="FW25" s="5">
        <v>0.5</v>
      </c>
      <c r="FX25" s="5">
        <v>4</v>
      </c>
      <c r="FY25" s="5">
        <v>40</v>
      </c>
      <c r="FZ25" s="5">
        <v>50</v>
      </c>
      <c r="GA25" s="5">
        <v>1.125</v>
      </c>
      <c r="GB25" s="5">
        <v>120</v>
      </c>
      <c r="GC25" s="5">
        <v>3</v>
      </c>
      <c r="GD25" s="5">
        <v>29</v>
      </c>
      <c r="GE25" s="5">
        <v>31</v>
      </c>
      <c r="GF25" s="5">
        <v>1</v>
      </c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</row>
    <row r="26" spans="1:201" s="1" customFormat="1" ht="15.75" customHeight="1" x14ac:dyDescent="0.25">
      <c r="A26" s="4" t="s">
        <v>494</v>
      </c>
      <c r="B26" s="5"/>
      <c r="C26" s="5">
        <v>200</v>
      </c>
      <c r="D26" s="5">
        <v>21</v>
      </c>
      <c r="E26" s="6">
        <v>22.333333333300001</v>
      </c>
      <c r="F26" s="5" t="s">
        <v>469</v>
      </c>
      <c r="G26" s="5">
        <v>0</v>
      </c>
      <c r="H26" s="5">
        <f t="shared" si="0"/>
        <v>252</v>
      </c>
      <c r="I26" s="5">
        <f t="shared" si="1"/>
        <v>133</v>
      </c>
      <c r="J26" s="5">
        <f t="shared" si="2"/>
        <v>121</v>
      </c>
      <c r="K26" s="5">
        <v>45</v>
      </c>
      <c r="L26" s="5">
        <v>0.875</v>
      </c>
      <c r="M26" s="5">
        <v>8</v>
      </c>
      <c r="N26" s="5">
        <v>12</v>
      </c>
      <c r="O26" s="5">
        <v>15</v>
      </c>
      <c r="P26" s="5">
        <v>12</v>
      </c>
      <c r="Q26" s="5">
        <v>24</v>
      </c>
      <c r="R26" s="5" t="s">
        <v>470</v>
      </c>
      <c r="S26" s="5">
        <v>24</v>
      </c>
      <c r="T26" s="5">
        <f t="shared" si="3"/>
        <v>126</v>
      </c>
      <c r="U26" s="5">
        <v>99.8125</v>
      </c>
      <c r="V26" s="5">
        <v>87</v>
      </c>
      <c r="W26" s="5">
        <v>0.375</v>
      </c>
      <c r="X26" s="5">
        <v>45</v>
      </c>
      <c r="Y26" s="5">
        <v>8</v>
      </c>
      <c r="Z26" s="5">
        <v>99.8125</v>
      </c>
      <c r="AA26" s="5">
        <v>74.515600000000006</v>
      </c>
      <c r="AB26" s="5">
        <v>84</v>
      </c>
      <c r="AC26" s="5">
        <v>0.4375</v>
      </c>
      <c r="AD26" s="5">
        <v>60</v>
      </c>
      <c r="AE26" s="5">
        <v>6</v>
      </c>
      <c r="AF26" s="5">
        <v>0</v>
      </c>
      <c r="AG26" s="5">
        <v>74.515600000000006</v>
      </c>
      <c r="AH26" s="5">
        <v>50.53125</v>
      </c>
      <c r="AI26" s="5">
        <v>79.6875</v>
      </c>
      <c r="AJ26" s="5">
        <v>0.5625</v>
      </c>
      <c r="AK26" s="5">
        <v>90</v>
      </c>
      <c r="AL26" s="5">
        <v>4</v>
      </c>
      <c r="AM26" s="5"/>
      <c r="AN26" s="5">
        <v>50.53125</v>
      </c>
      <c r="AO26" s="5">
        <v>48</v>
      </c>
      <c r="AP26" s="5">
        <v>17.3125</v>
      </c>
      <c r="AQ26" s="5">
        <v>0.5625</v>
      </c>
      <c r="AR26" s="5">
        <v>36</v>
      </c>
      <c r="AS26" s="5">
        <v>10</v>
      </c>
      <c r="AT26" s="5" t="s">
        <v>470</v>
      </c>
      <c r="AU26" s="5" t="s">
        <v>470</v>
      </c>
      <c r="AV26" s="5" t="s">
        <v>470</v>
      </c>
      <c r="AW26" s="5" t="s">
        <v>470</v>
      </c>
      <c r="AX26" s="5" t="s">
        <v>470</v>
      </c>
      <c r="AY26" s="5" t="s">
        <v>470</v>
      </c>
      <c r="AZ26" s="5" t="s">
        <v>470</v>
      </c>
      <c r="BA26" s="5">
        <v>96</v>
      </c>
      <c r="BB26" s="5">
        <v>96</v>
      </c>
      <c r="BC26" s="5">
        <v>96</v>
      </c>
      <c r="BD26" s="5">
        <v>96</v>
      </c>
      <c r="BE26" s="5">
        <v>0.625</v>
      </c>
      <c r="BF26" s="5">
        <v>96</v>
      </c>
      <c r="BG26" s="5">
        <v>96</v>
      </c>
      <c r="BH26" s="5">
        <v>0.625</v>
      </c>
      <c r="BI26" s="5">
        <v>96</v>
      </c>
      <c r="BJ26" s="5">
        <v>96</v>
      </c>
      <c r="BK26" s="5">
        <v>0.625</v>
      </c>
      <c r="BL26" s="5">
        <v>96</v>
      </c>
      <c r="BM26" s="5">
        <v>96</v>
      </c>
      <c r="BN26" s="5">
        <v>0.625</v>
      </c>
      <c r="BO26" s="5">
        <v>96</v>
      </c>
      <c r="BP26" s="5">
        <v>96</v>
      </c>
      <c r="BQ26" s="5">
        <v>0.625</v>
      </c>
      <c r="BR26" s="5">
        <v>96</v>
      </c>
      <c r="BS26" s="5">
        <v>96</v>
      </c>
      <c r="BT26" s="5">
        <v>0.625</v>
      </c>
      <c r="BU26" s="5">
        <v>96</v>
      </c>
      <c r="BV26" s="5">
        <v>96</v>
      </c>
      <c r="BW26" s="5">
        <v>0.625</v>
      </c>
      <c r="BX26" s="5">
        <v>96</v>
      </c>
      <c r="BY26" s="5">
        <v>96</v>
      </c>
      <c r="BZ26" s="5">
        <v>0.625</v>
      </c>
      <c r="CA26" s="5" t="s">
        <v>470</v>
      </c>
      <c r="CB26" s="5" t="s">
        <v>470</v>
      </c>
      <c r="CC26" s="5"/>
      <c r="CD26" s="5" t="s">
        <v>470</v>
      </c>
      <c r="CE26" s="5" t="s">
        <v>470</v>
      </c>
      <c r="CF26" s="5"/>
      <c r="CG26" s="5" t="s">
        <v>470</v>
      </c>
      <c r="CH26" s="5" t="s">
        <v>470</v>
      </c>
      <c r="CI26" s="5"/>
      <c r="CJ26" s="5" t="s">
        <v>470</v>
      </c>
      <c r="CK26" s="5" t="s">
        <v>470</v>
      </c>
      <c r="CL26" s="5"/>
      <c r="CM26" s="5" t="s">
        <v>470</v>
      </c>
      <c r="CN26" s="5" t="s">
        <v>470</v>
      </c>
      <c r="CO26" s="5"/>
      <c r="CP26" s="5" t="s">
        <v>470</v>
      </c>
      <c r="CQ26" s="5" t="s">
        <v>470</v>
      </c>
      <c r="CR26" s="5"/>
      <c r="CS26" s="5" t="s">
        <v>470</v>
      </c>
      <c r="CT26" s="5" t="s">
        <v>470</v>
      </c>
      <c r="CU26" s="5"/>
      <c r="CV26" s="5" t="s">
        <v>470</v>
      </c>
      <c r="CW26" s="5" t="s">
        <v>470</v>
      </c>
      <c r="CX26" s="5"/>
      <c r="CY26" s="5" t="s">
        <v>470</v>
      </c>
      <c r="CZ26" s="5" t="s">
        <v>470</v>
      </c>
      <c r="DA26" s="5"/>
      <c r="DB26" s="5" t="s">
        <v>470</v>
      </c>
      <c r="DC26" s="5" t="s">
        <v>470</v>
      </c>
      <c r="DD26" s="5"/>
      <c r="DE26" s="5">
        <v>60</v>
      </c>
      <c r="DF26" s="5">
        <v>48</v>
      </c>
      <c r="DG26" s="5"/>
      <c r="DH26" s="5"/>
      <c r="DI26" s="5">
        <v>0.625</v>
      </c>
      <c r="DJ26" s="5">
        <v>25.714300000000001</v>
      </c>
      <c r="DK26" s="5">
        <v>14</v>
      </c>
      <c r="DL26" s="5">
        <v>107.75</v>
      </c>
      <c r="DM26" s="5">
        <v>65.625</v>
      </c>
      <c r="DN26" s="5">
        <v>42.1875</v>
      </c>
      <c r="DO26" s="5">
        <v>0.5</v>
      </c>
      <c r="DP26" s="12">
        <v>90</v>
      </c>
      <c r="DQ26" s="5">
        <v>4</v>
      </c>
      <c r="DR26" s="13">
        <v>149.9375</v>
      </c>
      <c r="DS26" s="5">
        <v>107.75</v>
      </c>
      <c r="DT26" s="5">
        <v>42.1875</v>
      </c>
      <c r="DU26" s="5">
        <v>0.4375</v>
      </c>
      <c r="DV26" s="5">
        <v>60</v>
      </c>
      <c r="DW26" s="5">
        <v>6</v>
      </c>
      <c r="DX26" s="5">
        <v>192.03125</v>
      </c>
      <c r="DY26" s="5">
        <v>149.9375</v>
      </c>
      <c r="DZ26" s="5">
        <v>42.1875</v>
      </c>
      <c r="EA26" s="5">
        <v>0.4375</v>
      </c>
      <c r="EB26" s="5">
        <v>45</v>
      </c>
      <c r="EC26" s="5">
        <v>8</v>
      </c>
      <c r="ED26" s="5" t="s">
        <v>470</v>
      </c>
      <c r="EE26" s="5" t="s">
        <v>470</v>
      </c>
      <c r="EF26" s="5" t="s">
        <v>470</v>
      </c>
      <c r="EG26" s="5" t="s">
        <v>470</v>
      </c>
      <c r="EH26" s="5" t="s">
        <v>470</v>
      </c>
      <c r="EI26" s="5" t="s">
        <v>470</v>
      </c>
      <c r="EJ26" s="5" t="s">
        <v>470</v>
      </c>
      <c r="EK26" s="5" t="s">
        <v>470</v>
      </c>
      <c r="EL26" s="5" t="s">
        <v>470</v>
      </c>
      <c r="EM26" s="5" t="s">
        <v>470</v>
      </c>
      <c r="EN26" s="5" t="s">
        <v>470</v>
      </c>
      <c r="EO26" s="5" t="s">
        <v>470</v>
      </c>
      <c r="EP26" s="5" t="s">
        <v>470</v>
      </c>
      <c r="EQ26" s="5" t="s">
        <v>470</v>
      </c>
      <c r="ER26" s="5" t="s">
        <v>470</v>
      </c>
      <c r="ES26" s="5" t="s">
        <v>470</v>
      </c>
      <c r="ET26" s="5" t="s">
        <v>470</v>
      </c>
      <c r="EU26" s="5" t="s">
        <v>470</v>
      </c>
      <c r="EV26" s="5" t="s">
        <v>470</v>
      </c>
      <c r="EW26" s="5" t="s">
        <v>470</v>
      </c>
      <c r="EX26" s="5" t="s">
        <v>470</v>
      </c>
      <c r="EY26" s="5">
        <v>0.3125</v>
      </c>
      <c r="EZ26" s="5">
        <v>173.84375</v>
      </c>
      <c r="FA26" s="5">
        <v>22</v>
      </c>
      <c r="FB26" s="5">
        <v>16.363600000000002</v>
      </c>
      <c r="FC26" s="5">
        <v>45</v>
      </c>
      <c r="FD26" s="5">
        <v>69</v>
      </c>
      <c r="FE26" s="5" t="s">
        <v>495</v>
      </c>
      <c r="FF26" s="5">
        <v>0.25</v>
      </c>
      <c r="FG26" s="5">
        <v>173.875</v>
      </c>
      <c r="FH26" s="5">
        <v>22</v>
      </c>
      <c r="FI26" s="5">
        <v>16.363600000000002</v>
      </c>
      <c r="FJ26" s="5">
        <v>45</v>
      </c>
      <c r="FK26" s="5">
        <v>69</v>
      </c>
      <c r="FL26" s="5" t="s">
        <v>495</v>
      </c>
      <c r="FM26" s="5">
        <v>0.25</v>
      </c>
      <c r="FN26" s="5">
        <v>271.75</v>
      </c>
      <c r="FO26" s="5">
        <v>18</v>
      </c>
      <c r="FP26" s="5">
        <v>20</v>
      </c>
      <c r="FQ26" s="5">
        <v>83.040700000000001</v>
      </c>
      <c r="FR26" s="5">
        <v>0</v>
      </c>
      <c r="FS26" s="5" t="s">
        <v>495</v>
      </c>
      <c r="FT26" s="5">
        <v>44</v>
      </c>
      <c r="FU26" s="5">
        <v>24</v>
      </c>
      <c r="FV26" s="5">
        <v>20</v>
      </c>
      <c r="FW26" s="5">
        <v>0.5</v>
      </c>
      <c r="FX26" s="5">
        <v>4</v>
      </c>
      <c r="FY26" s="5">
        <v>40</v>
      </c>
      <c r="FZ26" s="5">
        <v>50</v>
      </c>
      <c r="GA26" s="5">
        <v>1.125</v>
      </c>
      <c r="GB26" s="5">
        <v>120</v>
      </c>
      <c r="GC26" s="5">
        <v>3</v>
      </c>
      <c r="GD26" s="5">
        <v>23</v>
      </c>
      <c r="GE26" s="5">
        <v>27</v>
      </c>
      <c r="GF26" s="5">
        <v>1</v>
      </c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</row>
    <row r="27" spans="1:201" s="1" customFormat="1" ht="15.75" customHeight="1" x14ac:dyDescent="0.25">
      <c r="A27" s="4" t="s">
        <v>494</v>
      </c>
      <c r="B27" s="5" t="s">
        <v>482</v>
      </c>
      <c r="C27" s="5">
        <v>200</v>
      </c>
      <c r="D27" s="5">
        <v>21</v>
      </c>
      <c r="E27" s="6">
        <v>22.333333333300001</v>
      </c>
      <c r="F27" s="5" t="s">
        <v>469</v>
      </c>
      <c r="G27" s="5">
        <v>0</v>
      </c>
      <c r="H27" s="5">
        <f t="shared" si="0"/>
        <v>252</v>
      </c>
      <c r="I27" s="5">
        <f t="shared" si="1"/>
        <v>133</v>
      </c>
      <c r="J27" s="5">
        <f t="shared" si="2"/>
        <v>121</v>
      </c>
      <c r="K27" s="5">
        <v>45</v>
      </c>
      <c r="L27" s="5">
        <v>0.875</v>
      </c>
      <c r="M27" s="5">
        <v>8</v>
      </c>
      <c r="N27" s="5">
        <v>12</v>
      </c>
      <c r="O27" s="5">
        <v>15</v>
      </c>
      <c r="P27" s="5">
        <v>12</v>
      </c>
      <c r="Q27" s="5">
        <v>24</v>
      </c>
      <c r="R27" s="5" t="s">
        <v>470</v>
      </c>
      <c r="S27" s="5">
        <v>24</v>
      </c>
      <c r="T27" s="5">
        <f>I27-7</f>
        <v>126</v>
      </c>
      <c r="U27" s="5">
        <v>99.8125</v>
      </c>
      <c r="V27" s="5">
        <v>87</v>
      </c>
      <c r="W27" s="5">
        <v>0.375</v>
      </c>
      <c r="X27" s="5">
        <v>45</v>
      </c>
      <c r="Y27" s="5">
        <v>8</v>
      </c>
      <c r="Z27" s="5">
        <v>99.8125</v>
      </c>
      <c r="AA27" s="5">
        <v>74.515600000000006</v>
      </c>
      <c r="AB27" s="5">
        <v>84</v>
      </c>
      <c r="AC27" s="5">
        <v>0.4375</v>
      </c>
      <c r="AD27" s="5">
        <v>60</v>
      </c>
      <c r="AE27" s="5">
        <v>6</v>
      </c>
      <c r="AF27" s="5">
        <v>0</v>
      </c>
      <c r="AG27" s="5">
        <v>74.515600000000006</v>
      </c>
      <c r="AH27" s="5">
        <v>50.53125</v>
      </c>
      <c r="AI27" s="5">
        <v>79.6875</v>
      </c>
      <c r="AJ27" s="5">
        <v>0.5625</v>
      </c>
      <c r="AK27" s="5">
        <v>90</v>
      </c>
      <c r="AL27" s="5">
        <v>4</v>
      </c>
      <c r="AM27" s="5"/>
      <c r="AN27" s="5">
        <v>50.53125</v>
      </c>
      <c r="AO27" s="5">
        <v>48</v>
      </c>
      <c r="AP27" s="5">
        <v>17.3125</v>
      </c>
      <c r="AQ27" s="5">
        <v>0.5625</v>
      </c>
      <c r="AR27" s="5">
        <v>36</v>
      </c>
      <c r="AS27" s="5">
        <v>10</v>
      </c>
      <c r="AT27" s="5" t="s">
        <v>470</v>
      </c>
      <c r="AU27" s="5" t="s">
        <v>470</v>
      </c>
      <c r="AV27" s="5" t="s">
        <v>470</v>
      </c>
      <c r="AW27" s="5" t="s">
        <v>470</v>
      </c>
      <c r="AX27" s="5" t="s">
        <v>470</v>
      </c>
      <c r="AY27" s="5" t="s">
        <v>470</v>
      </c>
      <c r="AZ27" s="5" t="s">
        <v>470</v>
      </c>
      <c r="BA27" s="5">
        <v>96</v>
      </c>
      <c r="BB27" s="5">
        <v>96</v>
      </c>
      <c r="BC27" s="5">
        <v>96</v>
      </c>
      <c r="BD27" s="5">
        <v>96</v>
      </c>
      <c r="BE27" s="5">
        <v>0.625</v>
      </c>
      <c r="BF27" s="5">
        <v>96</v>
      </c>
      <c r="BG27" s="5">
        <v>96</v>
      </c>
      <c r="BH27" s="5">
        <v>0.625</v>
      </c>
      <c r="BI27" s="5">
        <v>96</v>
      </c>
      <c r="BJ27" s="5">
        <v>96</v>
      </c>
      <c r="BK27" s="5">
        <v>0.625</v>
      </c>
      <c r="BL27" s="5">
        <v>96</v>
      </c>
      <c r="BM27" s="5">
        <v>96</v>
      </c>
      <c r="BN27" s="5">
        <v>0.625</v>
      </c>
      <c r="BO27" s="5">
        <v>96</v>
      </c>
      <c r="BP27" s="5">
        <v>96</v>
      </c>
      <c r="BQ27" s="5">
        <v>0.625</v>
      </c>
      <c r="BR27" s="5">
        <v>96</v>
      </c>
      <c r="BS27" s="5">
        <v>96</v>
      </c>
      <c r="BT27" s="5">
        <v>0.625</v>
      </c>
      <c r="BU27" s="5">
        <v>96</v>
      </c>
      <c r="BV27" s="5">
        <v>96</v>
      </c>
      <c r="BW27" s="5">
        <v>0.625</v>
      </c>
      <c r="BX27" s="5">
        <v>96</v>
      </c>
      <c r="BY27" s="5">
        <v>96</v>
      </c>
      <c r="BZ27" s="5">
        <v>0.625</v>
      </c>
      <c r="CA27" s="5" t="s">
        <v>470</v>
      </c>
      <c r="CB27" s="5" t="s">
        <v>470</v>
      </c>
      <c r="CC27" s="5"/>
      <c r="CD27" s="5" t="s">
        <v>470</v>
      </c>
      <c r="CE27" s="5" t="s">
        <v>470</v>
      </c>
      <c r="CF27" s="5"/>
      <c r="CG27" s="5" t="s">
        <v>470</v>
      </c>
      <c r="CH27" s="5" t="s">
        <v>470</v>
      </c>
      <c r="CI27" s="5"/>
      <c r="CJ27" s="5" t="s">
        <v>470</v>
      </c>
      <c r="CK27" s="5" t="s">
        <v>470</v>
      </c>
      <c r="CL27" s="5"/>
      <c r="CM27" s="5" t="s">
        <v>470</v>
      </c>
      <c r="CN27" s="5" t="s">
        <v>470</v>
      </c>
      <c r="CO27" s="5"/>
      <c r="CP27" s="5" t="s">
        <v>470</v>
      </c>
      <c r="CQ27" s="5" t="s">
        <v>470</v>
      </c>
      <c r="CR27" s="5"/>
      <c r="CS27" s="5" t="s">
        <v>470</v>
      </c>
      <c r="CT27" s="5" t="s">
        <v>470</v>
      </c>
      <c r="CU27" s="5"/>
      <c r="CV27" s="5" t="s">
        <v>470</v>
      </c>
      <c r="CW27" s="5" t="s">
        <v>470</v>
      </c>
      <c r="CX27" s="5"/>
      <c r="CY27" s="5" t="s">
        <v>470</v>
      </c>
      <c r="CZ27" s="5" t="s">
        <v>470</v>
      </c>
      <c r="DA27" s="5"/>
      <c r="DB27" s="5" t="s">
        <v>470</v>
      </c>
      <c r="DC27" s="5" t="s">
        <v>470</v>
      </c>
      <c r="DD27" s="5"/>
      <c r="DE27" s="5">
        <v>60</v>
      </c>
      <c r="DF27" s="5">
        <v>48</v>
      </c>
      <c r="DG27" s="5"/>
      <c r="DH27" s="5"/>
      <c r="DI27" s="5">
        <v>0.625</v>
      </c>
      <c r="DJ27" s="5">
        <v>25.714300000000001</v>
      </c>
      <c r="DK27" s="5">
        <v>14</v>
      </c>
      <c r="DL27" s="5">
        <v>107.75</v>
      </c>
      <c r="DM27" s="5">
        <v>65.625</v>
      </c>
      <c r="DN27" s="5">
        <v>42.1875</v>
      </c>
      <c r="DO27" s="5">
        <v>0.5</v>
      </c>
      <c r="DP27" s="12">
        <v>90</v>
      </c>
      <c r="DQ27" s="5">
        <v>4</v>
      </c>
      <c r="DR27" s="13">
        <v>149.9375</v>
      </c>
      <c r="DS27" s="5">
        <v>107.75</v>
      </c>
      <c r="DT27" s="5">
        <v>42.1875</v>
      </c>
      <c r="DU27" s="5">
        <v>0.4375</v>
      </c>
      <c r="DV27" s="5">
        <v>60</v>
      </c>
      <c r="DW27" s="5">
        <v>6</v>
      </c>
      <c r="DX27" s="5">
        <v>192.03125</v>
      </c>
      <c r="DY27" s="5">
        <v>149.9375</v>
      </c>
      <c r="DZ27" s="5">
        <v>42.1875</v>
      </c>
      <c r="EA27" s="5">
        <v>0.4375</v>
      </c>
      <c r="EB27" s="5">
        <v>45</v>
      </c>
      <c r="EC27" s="5">
        <v>8</v>
      </c>
      <c r="ED27" s="5" t="s">
        <v>470</v>
      </c>
      <c r="EE27" s="5" t="s">
        <v>470</v>
      </c>
      <c r="EF27" s="5" t="s">
        <v>470</v>
      </c>
      <c r="EG27" s="5" t="s">
        <v>470</v>
      </c>
      <c r="EH27" s="5" t="s">
        <v>470</v>
      </c>
      <c r="EI27" s="5" t="s">
        <v>470</v>
      </c>
      <c r="EJ27" s="5" t="s">
        <v>470</v>
      </c>
      <c r="EK27" s="5" t="s">
        <v>470</v>
      </c>
      <c r="EL27" s="5" t="s">
        <v>470</v>
      </c>
      <c r="EM27" s="5" t="s">
        <v>470</v>
      </c>
      <c r="EN27" s="5" t="s">
        <v>470</v>
      </c>
      <c r="EO27" s="5" t="s">
        <v>470</v>
      </c>
      <c r="EP27" s="5" t="s">
        <v>470</v>
      </c>
      <c r="EQ27" s="5" t="s">
        <v>470</v>
      </c>
      <c r="ER27" s="5" t="s">
        <v>470</v>
      </c>
      <c r="ES27" s="5" t="s">
        <v>470</v>
      </c>
      <c r="ET27" s="5" t="s">
        <v>470</v>
      </c>
      <c r="EU27" s="5" t="s">
        <v>470</v>
      </c>
      <c r="EV27" s="5" t="s">
        <v>470</v>
      </c>
      <c r="EW27" s="5" t="s">
        <v>470</v>
      </c>
      <c r="EX27" s="5" t="s">
        <v>470</v>
      </c>
      <c r="EY27" s="5">
        <v>0.3125</v>
      </c>
      <c r="EZ27" s="5">
        <v>173.84375</v>
      </c>
      <c r="FA27" s="5">
        <v>22</v>
      </c>
      <c r="FB27" s="5">
        <v>16.363600000000002</v>
      </c>
      <c r="FC27" s="5">
        <v>45</v>
      </c>
      <c r="FD27" s="5">
        <v>69</v>
      </c>
      <c r="FE27" s="5" t="s">
        <v>495</v>
      </c>
      <c r="FF27" s="5">
        <v>0.25</v>
      </c>
      <c r="FG27" s="5">
        <v>173.875</v>
      </c>
      <c r="FH27" s="5">
        <v>22</v>
      </c>
      <c r="FI27" s="5">
        <v>16.363600000000002</v>
      </c>
      <c r="FJ27" s="5">
        <v>45</v>
      </c>
      <c r="FK27" s="5">
        <v>69</v>
      </c>
      <c r="FL27" s="5" t="s">
        <v>495</v>
      </c>
      <c r="FM27" s="5">
        <v>0.25</v>
      </c>
      <c r="FN27" s="5">
        <v>271.75</v>
      </c>
      <c r="FO27" s="5">
        <v>18</v>
      </c>
      <c r="FP27" s="5">
        <v>20</v>
      </c>
      <c r="FQ27" s="5">
        <v>83.040700000000001</v>
      </c>
      <c r="FR27" s="5">
        <v>0</v>
      </c>
      <c r="FS27" s="5" t="s">
        <v>495</v>
      </c>
      <c r="FT27" s="5">
        <v>44</v>
      </c>
      <c r="FU27" s="5">
        <v>24</v>
      </c>
      <c r="FV27" s="5">
        <v>20</v>
      </c>
      <c r="FW27" s="5">
        <v>0.5</v>
      </c>
      <c r="FX27" s="5">
        <v>4</v>
      </c>
      <c r="FY27" s="5">
        <v>40</v>
      </c>
      <c r="FZ27" s="5">
        <v>50</v>
      </c>
      <c r="GA27" s="5">
        <v>1.125</v>
      </c>
      <c r="GB27" s="5">
        <v>120</v>
      </c>
      <c r="GC27" s="5">
        <v>3</v>
      </c>
      <c r="GD27" s="5">
        <v>23</v>
      </c>
      <c r="GE27" s="5">
        <v>27</v>
      </c>
      <c r="GF27" s="5">
        <v>1</v>
      </c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</row>
    <row r="28" spans="1:201" s="1" customFormat="1" ht="15.75" customHeight="1" x14ac:dyDescent="0.25">
      <c r="A28" s="4" t="s">
        <v>496</v>
      </c>
      <c r="B28" s="5"/>
      <c r="C28" s="5">
        <v>200</v>
      </c>
      <c r="D28" s="5">
        <v>23</v>
      </c>
      <c r="E28" s="6">
        <v>22.333333333300001</v>
      </c>
      <c r="F28" s="5" t="s">
        <v>469</v>
      </c>
      <c r="G28" s="5">
        <v>0</v>
      </c>
      <c r="H28" s="5">
        <f t="shared" si="0"/>
        <v>276</v>
      </c>
      <c r="I28" s="5">
        <f t="shared" si="1"/>
        <v>145</v>
      </c>
      <c r="J28" s="5">
        <f t="shared" si="2"/>
        <v>133</v>
      </c>
      <c r="K28" s="5">
        <v>45</v>
      </c>
      <c r="L28" s="5">
        <v>1.1875</v>
      </c>
      <c r="M28" s="5">
        <v>8</v>
      </c>
      <c r="N28" s="5">
        <v>20</v>
      </c>
      <c r="O28" s="5">
        <v>9</v>
      </c>
      <c r="P28" s="5">
        <v>20</v>
      </c>
      <c r="Q28" s="5">
        <v>40</v>
      </c>
      <c r="R28" s="5" t="s">
        <v>470</v>
      </c>
      <c r="S28" s="5">
        <v>40</v>
      </c>
      <c r="T28" s="5">
        <f t="shared" si="3"/>
        <v>138</v>
      </c>
      <c r="U28" s="5">
        <v>107.631</v>
      </c>
      <c r="V28" s="5">
        <v>87</v>
      </c>
      <c r="W28" s="5">
        <v>0.5</v>
      </c>
      <c r="X28" s="5">
        <v>45</v>
      </c>
      <c r="Y28" s="5">
        <v>8</v>
      </c>
      <c r="Z28" s="5">
        <v>107.631</v>
      </c>
      <c r="AA28" s="5">
        <v>78.309200000000004</v>
      </c>
      <c r="AB28" s="5">
        <v>84</v>
      </c>
      <c r="AC28" s="5">
        <v>0.5</v>
      </c>
      <c r="AD28" s="5">
        <v>60</v>
      </c>
      <c r="AE28" s="5">
        <v>6</v>
      </c>
      <c r="AF28" s="5">
        <v>0</v>
      </c>
      <c r="AG28" s="5">
        <v>78.309200000000004</v>
      </c>
      <c r="AH28" s="5">
        <v>51.34375</v>
      </c>
      <c r="AI28" s="5">
        <v>77.25</v>
      </c>
      <c r="AJ28" s="5">
        <v>0.875</v>
      </c>
      <c r="AK28" s="5">
        <v>90</v>
      </c>
      <c r="AL28" s="5">
        <v>4</v>
      </c>
      <c r="AM28" s="5"/>
      <c r="AN28" s="5">
        <v>51.34375</v>
      </c>
      <c r="AO28" s="5">
        <v>48</v>
      </c>
      <c r="AP28" s="5">
        <v>19.75</v>
      </c>
      <c r="AQ28" s="5">
        <v>0.875</v>
      </c>
      <c r="AR28" s="5">
        <v>36</v>
      </c>
      <c r="AS28" s="5">
        <v>10</v>
      </c>
      <c r="AT28" s="5" t="s">
        <v>470</v>
      </c>
      <c r="AU28" s="5" t="s">
        <v>470</v>
      </c>
      <c r="AV28" s="5" t="s">
        <v>470</v>
      </c>
      <c r="AW28" s="5" t="s">
        <v>470</v>
      </c>
      <c r="AX28" s="5" t="s">
        <v>470</v>
      </c>
      <c r="AY28" s="5" t="s">
        <v>470</v>
      </c>
      <c r="AZ28" s="5" t="s">
        <v>470</v>
      </c>
      <c r="BA28" s="5">
        <v>96</v>
      </c>
      <c r="BB28" s="5">
        <v>96</v>
      </c>
      <c r="BC28" s="5">
        <v>96</v>
      </c>
      <c r="BD28" s="5">
        <v>96</v>
      </c>
      <c r="BE28" s="5">
        <v>0.625</v>
      </c>
      <c r="BF28" s="5">
        <v>96</v>
      </c>
      <c r="BG28" s="5">
        <v>96</v>
      </c>
      <c r="BH28" s="5">
        <v>0.625</v>
      </c>
      <c r="BI28" s="5">
        <v>96</v>
      </c>
      <c r="BJ28" s="5">
        <v>96</v>
      </c>
      <c r="BK28" s="5">
        <v>0.625</v>
      </c>
      <c r="BL28" s="5">
        <v>96</v>
      </c>
      <c r="BM28" s="5">
        <v>96</v>
      </c>
      <c r="BN28" s="5">
        <v>0.625</v>
      </c>
      <c r="BO28" s="5">
        <v>96</v>
      </c>
      <c r="BP28" s="5">
        <v>96</v>
      </c>
      <c r="BQ28" s="5">
        <v>0.625</v>
      </c>
      <c r="BR28" s="5">
        <v>96</v>
      </c>
      <c r="BS28" s="5">
        <v>96</v>
      </c>
      <c r="BT28" s="5">
        <v>0.625</v>
      </c>
      <c r="BU28" s="5">
        <v>96</v>
      </c>
      <c r="BV28" s="5">
        <v>96</v>
      </c>
      <c r="BW28" s="5">
        <v>0.625</v>
      </c>
      <c r="BX28" s="5">
        <v>96</v>
      </c>
      <c r="BY28" s="5">
        <v>96</v>
      </c>
      <c r="BZ28" s="5">
        <v>0.625</v>
      </c>
      <c r="CA28" s="5" t="s">
        <v>470</v>
      </c>
      <c r="CB28" s="5" t="s">
        <v>470</v>
      </c>
      <c r="CC28" s="5"/>
      <c r="CD28" s="5" t="s">
        <v>470</v>
      </c>
      <c r="CE28" s="5" t="s">
        <v>470</v>
      </c>
      <c r="CF28" s="5"/>
      <c r="CG28" s="5" t="s">
        <v>470</v>
      </c>
      <c r="CH28" s="5" t="s">
        <v>470</v>
      </c>
      <c r="CI28" s="5"/>
      <c r="CJ28" s="5" t="s">
        <v>470</v>
      </c>
      <c r="CK28" s="5" t="s">
        <v>470</v>
      </c>
      <c r="CL28" s="5"/>
      <c r="CM28" s="5" t="s">
        <v>470</v>
      </c>
      <c r="CN28" s="5" t="s">
        <v>470</v>
      </c>
      <c r="CO28" s="5"/>
      <c r="CP28" s="5" t="s">
        <v>470</v>
      </c>
      <c r="CQ28" s="5" t="s">
        <v>470</v>
      </c>
      <c r="CR28" s="5"/>
      <c r="CS28" s="5" t="s">
        <v>470</v>
      </c>
      <c r="CT28" s="5" t="s">
        <v>470</v>
      </c>
      <c r="CU28" s="5"/>
      <c r="CV28" s="5" t="s">
        <v>470</v>
      </c>
      <c r="CW28" s="5" t="s">
        <v>470</v>
      </c>
      <c r="CX28" s="5"/>
      <c r="CY28" s="5" t="s">
        <v>470</v>
      </c>
      <c r="CZ28" s="5" t="s">
        <v>470</v>
      </c>
      <c r="DA28" s="5"/>
      <c r="DB28" s="5" t="s">
        <v>470</v>
      </c>
      <c r="DC28" s="5" t="s">
        <v>470</v>
      </c>
      <c r="DD28" s="5"/>
      <c r="DE28" s="5">
        <v>60</v>
      </c>
      <c r="DF28" s="5">
        <v>48</v>
      </c>
      <c r="DG28" s="5"/>
      <c r="DH28" s="5"/>
      <c r="DI28" s="5">
        <v>0.625</v>
      </c>
      <c r="DJ28" s="5">
        <v>25.714300000000001</v>
      </c>
      <c r="DK28" s="5">
        <v>14</v>
      </c>
      <c r="DL28" s="5">
        <v>107.75</v>
      </c>
      <c r="DM28" s="5">
        <v>65.625</v>
      </c>
      <c r="DN28" s="5">
        <v>42.1875</v>
      </c>
      <c r="DO28" s="5">
        <v>0.5</v>
      </c>
      <c r="DP28" s="12">
        <v>90</v>
      </c>
      <c r="DQ28" s="5">
        <v>4</v>
      </c>
      <c r="DR28" s="13">
        <v>149.9375</v>
      </c>
      <c r="DS28" s="5">
        <v>107.75</v>
      </c>
      <c r="DT28" s="5">
        <v>42.1875</v>
      </c>
      <c r="DU28" s="5">
        <v>0.4375</v>
      </c>
      <c r="DV28" s="5">
        <v>60</v>
      </c>
      <c r="DW28" s="5">
        <v>6</v>
      </c>
      <c r="DX28" s="5">
        <v>192.03125</v>
      </c>
      <c r="DY28" s="5">
        <v>149.9375</v>
      </c>
      <c r="DZ28" s="5">
        <v>42.1875</v>
      </c>
      <c r="EA28" s="5">
        <v>0.4375</v>
      </c>
      <c r="EB28" s="5">
        <v>45</v>
      </c>
      <c r="EC28" s="5">
        <v>8</v>
      </c>
      <c r="ED28" s="5" t="s">
        <v>470</v>
      </c>
      <c r="EE28" s="5" t="s">
        <v>470</v>
      </c>
      <c r="EF28" s="5" t="s">
        <v>470</v>
      </c>
      <c r="EG28" s="5" t="s">
        <v>470</v>
      </c>
      <c r="EH28" s="5" t="s">
        <v>470</v>
      </c>
      <c r="EI28" s="5" t="s">
        <v>470</v>
      </c>
      <c r="EJ28" s="5" t="s">
        <v>470</v>
      </c>
      <c r="EK28" s="5" t="s">
        <v>470</v>
      </c>
      <c r="EL28" s="5" t="s">
        <v>470</v>
      </c>
      <c r="EM28" s="5" t="s">
        <v>470</v>
      </c>
      <c r="EN28" s="5" t="s">
        <v>470</v>
      </c>
      <c r="EO28" s="5" t="s">
        <v>470</v>
      </c>
      <c r="EP28" s="5" t="s">
        <v>470</v>
      </c>
      <c r="EQ28" s="5" t="s">
        <v>470</v>
      </c>
      <c r="ER28" s="5" t="s">
        <v>470</v>
      </c>
      <c r="ES28" s="5" t="s">
        <v>470</v>
      </c>
      <c r="ET28" s="5" t="s">
        <v>470</v>
      </c>
      <c r="EU28" s="5" t="s">
        <v>470</v>
      </c>
      <c r="EV28" s="5" t="s">
        <v>470</v>
      </c>
      <c r="EW28" s="5" t="s">
        <v>470</v>
      </c>
      <c r="EX28" s="5" t="s">
        <v>470</v>
      </c>
      <c r="EY28" s="5">
        <v>0.3125</v>
      </c>
      <c r="EZ28" s="5">
        <v>173.84375</v>
      </c>
      <c r="FA28" s="5">
        <v>22</v>
      </c>
      <c r="FB28" s="5">
        <v>16.363600000000002</v>
      </c>
      <c r="FC28" s="5">
        <v>45</v>
      </c>
      <c r="FD28" s="5">
        <v>69</v>
      </c>
      <c r="FE28" s="5" t="s">
        <v>495</v>
      </c>
      <c r="FF28" s="5">
        <v>0.25</v>
      </c>
      <c r="FG28" s="5">
        <v>173.875</v>
      </c>
      <c r="FH28" s="5">
        <v>22</v>
      </c>
      <c r="FI28" s="5">
        <v>16.363600000000002</v>
      </c>
      <c r="FJ28" s="5">
        <v>45</v>
      </c>
      <c r="FK28" s="5">
        <v>69</v>
      </c>
      <c r="FL28" s="5" t="s">
        <v>495</v>
      </c>
      <c r="FM28" s="5">
        <v>0.25</v>
      </c>
      <c r="FN28" s="5">
        <v>271.75</v>
      </c>
      <c r="FO28" s="5">
        <v>18</v>
      </c>
      <c r="FP28" s="5">
        <v>20</v>
      </c>
      <c r="FQ28" s="5">
        <v>83.040700000000001</v>
      </c>
      <c r="FR28" s="5">
        <v>0</v>
      </c>
      <c r="FS28" s="5" t="s">
        <v>495</v>
      </c>
      <c r="FT28" s="5">
        <v>44</v>
      </c>
      <c r="FU28" s="5">
        <v>24</v>
      </c>
      <c r="FV28" s="5">
        <v>20</v>
      </c>
      <c r="FW28" s="5">
        <v>0.5</v>
      </c>
      <c r="FX28" s="5">
        <v>4</v>
      </c>
      <c r="FY28" s="5">
        <v>40</v>
      </c>
      <c r="FZ28" s="5">
        <v>50</v>
      </c>
      <c r="GA28" s="5">
        <v>1.125</v>
      </c>
      <c r="GB28" s="5">
        <v>120</v>
      </c>
      <c r="GC28" s="5">
        <v>3</v>
      </c>
      <c r="GD28" s="5">
        <v>23</v>
      </c>
      <c r="GE28" s="5">
        <v>27</v>
      </c>
      <c r="GF28" s="5">
        <v>1</v>
      </c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</row>
    <row r="29" spans="1:201" s="1" customFormat="1" ht="15.75" customHeight="1" x14ac:dyDescent="0.25">
      <c r="A29" s="4" t="s">
        <v>496</v>
      </c>
      <c r="B29" s="5" t="s">
        <v>497</v>
      </c>
      <c r="C29" s="5">
        <v>200</v>
      </c>
      <c r="D29" s="5">
        <v>23</v>
      </c>
      <c r="E29" s="6">
        <v>22.333333333300001</v>
      </c>
      <c r="F29" s="5" t="s">
        <v>469</v>
      </c>
      <c r="G29" s="5">
        <v>0</v>
      </c>
      <c r="H29" s="5">
        <f t="shared" si="0"/>
        <v>276</v>
      </c>
      <c r="I29" s="5">
        <f t="shared" si="1"/>
        <v>145</v>
      </c>
      <c r="J29" s="5">
        <f t="shared" si="2"/>
        <v>133</v>
      </c>
      <c r="K29" s="5">
        <v>45</v>
      </c>
      <c r="L29" s="5">
        <v>1.1875</v>
      </c>
      <c r="M29" s="5">
        <v>8</v>
      </c>
      <c r="N29" s="5">
        <v>20</v>
      </c>
      <c r="O29" s="5">
        <v>9</v>
      </c>
      <c r="P29" s="5">
        <v>20</v>
      </c>
      <c r="Q29" s="5">
        <v>40</v>
      </c>
      <c r="R29" s="5" t="s">
        <v>470</v>
      </c>
      <c r="S29" s="5">
        <v>40</v>
      </c>
      <c r="T29" s="5">
        <f t="shared" si="3"/>
        <v>138</v>
      </c>
      <c r="U29" s="5">
        <v>107.631</v>
      </c>
      <c r="V29" s="5">
        <v>87</v>
      </c>
      <c r="W29" s="5">
        <v>0.5</v>
      </c>
      <c r="X29" s="5">
        <v>45</v>
      </c>
      <c r="Y29" s="5">
        <v>8</v>
      </c>
      <c r="Z29" s="5">
        <v>107.631</v>
      </c>
      <c r="AA29" s="5">
        <v>78.309200000000004</v>
      </c>
      <c r="AB29" s="5">
        <v>84</v>
      </c>
      <c r="AC29" s="5">
        <v>0.5</v>
      </c>
      <c r="AD29" s="5">
        <v>60</v>
      </c>
      <c r="AE29" s="5">
        <v>6</v>
      </c>
      <c r="AF29" s="5">
        <v>0</v>
      </c>
      <c r="AG29" s="5">
        <v>78.309200000000004</v>
      </c>
      <c r="AH29" s="5">
        <v>51.34375</v>
      </c>
      <c r="AI29" s="5">
        <v>77.25</v>
      </c>
      <c r="AJ29" s="5">
        <v>0.875</v>
      </c>
      <c r="AK29" s="5">
        <v>90</v>
      </c>
      <c r="AL29" s="5">
        <v>4</v>
      </c>
      <c r="AM29" s="5"/>
      <c r="AN29" s="5">
        <v>51.34375</v>
      </c>
      <c r="AO29" s="5">
        <v>48</v>
      </c>
      <c r="AP29" s="5">
        <v>19.75</v>
      </c>
      <c r="AQ29" s="5">
        <v>0.875</v>
      </c>
      <c r="AR29" s="5">
        <v>36</v>
      </c>
      <c r="AS29" s="5">
        <v>10</v>
      </c>
      <c r="AT29" s="5" t="s">
        <v>470</v>
      </c>
      <c r="AU29" s="5" t="s">
        <v>470</v>
      </c>
      <c r="AV29" s="5" t="s">
        <v>470</v>
      </c>
      <c r="AW29" s="5" t="s">
        <v>470</v>
      </c>
      <c r="AX29" s="5" t="s">
        <v>470</v>
      </c>
      <c r="AY29" s="5" t="s">
        <v>470</v>
      </c>
      <c r="AZ29" s="5" t="s">
        <v>470</v>
      </c>
      <c r="BA29" s="5">
        <v>96</v>
      </c>
      <c r="BB29" s="5">
        <v>96</v>
      </c>
      <c r="BC29" s="5">
        <v>96</v>
      </c>
      <c r="BD29" s="5">
        <v>96</v>
      </c>
      <c r="BE29" s="5">
        <v>0.625</v>
      </c>
      <c r="BF29" s="5">
        <v>96</v>
      </c>
      <c r="BG29" s="5">
        <v>96</v>
      </c>
      <c r="BH29" s="5">
        <v>0.625</v>
      </c>
      <c r="BI29" s="5">
        <v>96</v>
      </c>
      <c r="BJ29" s="5">
        <v>96</v>
      </c>
      <c r="BK29" s="5">
        <v>0.625</v>
      </c>
      <c r="BL29" s="5">
        <v>96</v>
      </c>
      <c r="BM29" s="5">
        <v>96</v>
      </c>
      <c r="BN29" s="5">
        <v>0.625</v>
      </c>
      <c r="BO29" s="5">
        <v>96</v>
      </c>
      <c r="BP29" s="5">
        <v>96</v>
      </c>
      <c r="BQ29" s="5">
        <v>0.625</v>
      </c>
      <c r="BR29" s="5">
        <v>96</v>
      </c>
      <c r="BS29" s="5">
        <v>96</v>
      </c>
      <c r="BT29" s="5">
        <v>0.625</v>
      </c>
      <c r="BU29" s="5">
        <v>96</v>
      </c>
      <c r="BV29" s="5">
        <v>96</v>
      </c>
      <c r="BW29" s="5">
        <v>0.625</v>
      </c>
      <c r="BX29" s="5">
        <v>96</v>
      </c>
      <c r="BY29" s="5">
        <v>96</v>
      </c>
      <c r="BZ29" s="5">
        <v>0.625</v>
      </c>
      <c r="CA29" s="5" t="s">
        <v>470</v>
      </c>
      <c r="CB29" s="5" t="s">
        <v>470</v>
      </c>
      <c r="CC29" s="5"/>
      <c r="CD29" s="5" t="s">
        <v>470</v>
      </c>
      <c r="CE29" s="5" t="s">
        <v>470</v>
      </c>
      <c r="CF29" s="5"/>
      <c r="CG29" s="5" t="s">
        <v>470</v>
      </c>
      <c r="CH29" s="5" t="s">
        <v>470</v>
      </c>
      <c r="CI29" s="5"/>
      <c r="CJ29" s="5" t="s">
        <v>470</v>
      </c>
      <c r="CK29" s="5" t="s">
        <v>470</v>
      </c>
      <c r="CL29" s="5"/>
      <c r="CM29" s="5" t="s">
        <v>470</v>
      </c>
      <c r="CN29" s="5" t="s">
        <v>470</v>
      </c>
      <c r="CO29" s="5"/>
      <c r="CP29" s="5" t="s">
        <v>470</v>
      </c>
      <c r="CQ29" s="5" t="s">
        <v>470</v>
      </c>
      <c r="CR29" s="5"/>
      <c r="CS29" s="5" t="s">
        <v>470</v>
      </c>
      <c r="CT29" s="5" t="s">
        <v>470</v>
      </c>
      <c r="CU29" s="5"/>
      <c r="CV29" s="5" t="s">
        <v>470</v>
      </c>
      <c r="CW29" s="5" t="s">
        <v>470</v>
      </c>
      <c r="CX29" s="5"/>
      <c r="CY29" s="5" t="s">
        <v>470</v>
      </c>
      <c r="CZ29" s="5" t="s">
        <v>470</v>
      </c>
      <c r="DA29" s="5"/>
      <c r="DB29" s="5" t="s">
        <v>470</v>
      </c>
      <c r="DC29" s="5" t="s">
        <v>470</v>
      </c>
      <c r="DD29" s="5"/>
      <c r="DE29" s="5">
        <v>60</v>
      </c>
      <c r="DF29" s="5">
        <v>48</v>
      </c>
      <c r="DG29" s="5"/>
      <c r="DH29" s="5"/>
      <c r="DI29" s="5">
        <v>0.625</v>
      </c>
      <c r="DJ29" s="5">
        <v>25.714300000000001</v>
      </c>
      <c r="DK29" s="5">
        <v>14</v>
      </c>
      <c r="DL29" s="5">
        <v>107.75</v>
      </c>
      <c r="DM29" s="5">
        <v>65.625</v>
      </c>
      <c r="DN29" s="5">
        <v>42.1875</v>
      </c>
      <c r="DO29" s="5">
        <v>0.5</v>
      </c>
      <c r="DP29" s="12">
        <v>90</v>
      </c>
      <c r="DQ29" s="5">
        <v>4</v>
      </c>
      <c r="DR29" s="13">
        <v>149.9375</v>
      </c>
      <c r="DS29" s="5">
        <v>107.75</v>
      </c>
      <c r="DT29" s="5">
        <v>42.1875</v>
      </c>
      <c r="DU29" s="5">
        <v>0.4375</v>
      </c>
      <c r="DV29" s="5">
        <v>60</v>
      </c>
      <c r="DW29" s="5">
        <v>6</v>
      </c>
      <c r="DX29" s="5">
        <v>192.03125</v>
      </c>
      <c r="DY29" s="5">
        <v>149.9375</v>
      </c>
      <c r="DZ29" s="5">
        <v>42.1875</v>
      </c>
      <c r="EA29" s="5">
        <v>0.4375</v>
      </c>
      <c r="EB29" s="5">
        <v>45</v>
      </c>
      <c r="EC29" s="5">
        <v>8</v>
      </c>
      <c r="ED29" s="5" t="s">
        <v>470</v>
      </c>
      <c r="EE29" s="5" t="s">
        <v>470</v>
      </c>
      <c r="EF29" s="5" t="s">
        <v>470</v>
      </c>
      <c r="EG29" s="5" t="s">
        <v>470</v>
      </c>
      <c r="EH29" s="5" t="s">
        <v>470</v>
      </c>
      <c r="EI29" s="5" t="s">
        <v>470</v>
      </c>
      <c r="EJ29" s="5" t="s">
        <v>470</v>
      </c>
      <c r="EK29" s="5" t="s">
        <v>470</v>
      </c>
      <c r="EL29" s="5" t="s">
        <v>470</v>
      </c>
      <c r="EM29" s="5" t="s">
        <v>470</v>
      </c>
      <c r="EN29" s="5" t="s">
        <v>470</v>
      </c>
      <c r="EO29" s="5" t="s">
        <v>470</v>
      </c>
      <c r="EP29" s="5" t="s">
        <v>470</v>
      </c>
      <c r="EQ29" s="5" t="s">
        <v>470</v>
      </c>
      <c r="ER29" s="5" t="s">
        <v>470</v>
      </c>
      <c r="ES29" s="5" t="s">
        <v>470</v>
      </c>
      <c r="ET29" s="5" t="s">
        <v>470</v>
      </c>
      <c r="EU29" s="5" t="s">
        <v>470</v>
      </c>
      <c r="EV29" s="5" t="s">
        <v>470</v>
      </c>
      <c r="EW29" s="5" t="s">
        <v>470</v>
      </c>
      <c r="EX29" s="5" t="s">
        <v>470</v>
      </c>
      <c r="EY29" s="5">
        <v>0.3125</v>
      </c>
      <c r="EZ29" s="5">
        <v>173.84375</v>
      </c>
      <c r="FA29" s="5">
        <v>22</v>
      </c>
      <c r="FB29" s="5">
        <v>16.363600000000002</v>
      </c>
      <c r="FC29" s="5">
        <v>45</v>
      </c>
      <c r="FD29" s="5">
        <v>69</v>
      </c>
      <c r="FE29" s="5" t="s">
        <v>495</v>
      </c>
      <c r="FF29" s="5">
        <v>0.25</v>
      </c>
      <c r="FG29" s="5">
        <v>173.875</v>
      </c>
      <c r="FH29" s="5">
        <v>22</v>
      </c>
      <c r="FI29" s="5">
        <v>16.363600000000002</v>
      </c>
      <c r="FJ29" s="5">
        <v>45</v>
      </c>
      <c r="FK29" s="5">
        <v>69</v>
      </c>
      <c r="FL29" s="5" t="s">
        <v>495</v>
      </c>
      <c r="FM29" s="5">
        <v>0.25</v>
      </c>
      <c r="FN29" s="5">
        <v>271.75</v>
      </c>
      <c r="FO29" s="5">
        <v>18</v>
      </c>
      <c r="FP29" s="5">
        <v>20</v>
      </c>
      <c r="FQ29" s="5">
        <v>83.040700000000001</v>
      </c>
      <c r="FR29" s="5">
        <v>0</v>
      </c>
      <c r="FS29" s="5" t="s">
        <v>495</v>
      </c>
      <c r="FT29" s="5">
        <v>44</v>
      </c>
      <c r="FU29" s="5">
        <v>24</v>
      </c>
      <c r="FV29" s="5">
        <v>20</v>
      </c>
      <c r="FW29" s="5">
        <v>0.5</v>
      </c>
      <c r="FX29" s="5">
        <v>4</v>
      </c>
      <c r="FY29" s="5">
        <v>40</v>
      </c>
      <c r="FZ29" s="5">
        <v>50</v>
      </c>
      <c r="GA29" s="5">
        <v>1.125</v>
      </c>
      <c r="GB29" s="5">
        <v>120</v>
      </c>
      <c r="GC29" s="5">
        <v>3</v>
      </c>
      <c r="GD29" s="5">
        <v>23</v>
      </c>
      <c r="GE29" s="5">
        <v>27</v>
      </c>
      <c r="GF29" s="5">
        <v>1</v>
      </c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</row>
    <row r="30" spans="1:201" s="1" customFormat="1" ht="15.75" customHeight="1" x14ac:dyDescent="0.25">
      <c r="A30" s="4" t="s">
        <v>498</v>
      </c>
      <c r="B30" s="5"/>
      <c r="C30" s="5">
        <v>200</v>
      </c>
      <c r="D30" s="5">
        <v>25</v>
      </c>
      <c r="E30" s="6">
        <v>25</v>
      </c>
      <c r="F30" s="5" t="s">
        <v>469</v>
      </c>
      <c r="G30" s="5">
        <v>0</v>
      </c>
      <c r="H30" s="5">
        <f t="shared" si="0"/>
        <v>300</v>
      </c>
      <c r="I30" s="5">
        <f t="shared" si="1"/>
        <v>157</v>
      </c>
      <c r="J30" s="5">
        <f t="shared" si="2"/>
        <v>145</v>
      </c>
      <c r="K30" s="5">
        <v>40</v>
      </c>
      <c r="L30" s="5">
        <v>1.125</v>
      </c>
      <c r="M30" s="5">
        <v>9</v>
      </c>
      <c r="N30" s="5">
        <v>20</v>
      </c>
      <c r="O30" s="5">
        <v>9</v>
      </c>
      <c r="P30" s="5">
        <v>20</v>
      </c>
      <c r="Q30" s="5">
        <v>40</v>
      </c>
      <c r="R30" s="5" t="s">
        <v>470</v>
      </c>
      <c r="S30" s="5">
        <v>40</v>
      </c>
      <c r="T30" s="5">
        <f t="shared" si="3"/>
        <v>150</v>
      </c>
      <c r="U30" s="5">
        <v>120.4294</v>
      </c>
      <c r="V30" s="5">
        <v>84</v>
      </c>
      <c r="W30" s="5">
        <v>0.5</v>
      </c>
      <c r="X30" s="5">
        <v>40</v>
      </c>
      <c r="Y30" s="5">
        <v>9</v>
      </c>
      <c r="Z30" s="5">
        <v>120.4294</v>
      </c>
      <c r="AA30" s="5">
        <v>90.858800000000002</v>
      </c>
      <c r="AB30" s="5">
        <v>84</v>
      </c>
      <c r="AC30" s="5">
        <v>0.5625</v>
      </c>
      <c r="AD30" s="5">
        <v>60</v>
      </c>
      <c r="AE30" s="5">
        <v>6</v>
      </c>
      <c r="AF30" s="5">
        <v>0</v>
      </c>
      <c r="AG30" s="5">
        <v>90.858800000000002</v>
      </c>
      <c r="AH30" s="5">
        <v>61.2883</v>
      </c>
      <c r="AI30" s="5">
        <v>84</v>
      </c>
      <c r="AJ30" s="5">
        <v>0.75</v>
      </c>
      <c r="AK30" s="5">
        <v>60</v>
      </c>
      <c r="AL30" s="5">
        <v>6</v>
      </c>
      <c r="AM30" s="5">
        <v>0</v>
      </c>
      <c r="AN30" s="5">
        <v>61.2883</v>
      </c>
      <c r="AO30" s="5">
        <v>51.40625</v>
      </c>
      <c r="AP30" s="5">
        <v>28.0625</v>
      </c>
      <c r="AQ30" s="5">
        <v>0.875</v>
      </c>
      <c r="AR30" s="5">
        <v>90</v>
      </c>
      <c r="AS30" s="5">
        <v>4</v>
      </c>
      <c r="AT30" s="5">
        <v>60</v>
      </c>
      <c r="AU30" s="5">
        <v>51.40625</v>
      </c>
      <c r="AV30" s="5">
        <v>48</v>
      </c>
      <c r="AW30" s="5">
        <v>19.9375</v>
      </c>
      <c r="AX30" s="5">
        <v>0.875</v>
      </c>
      <c r="AY30" s="5">
        <v>36</v>
      </c>
      <c r="AZ30" s="5">
        <v>10</v>
      </c>
      <c r="BA30" s="5">
        <v>96</v>
      </c>
      <c r="BB30" s="5">
        <v>96</v>
      </c>
      <c r="BC30" s="5">
        <v>96</v>
      </c>
      <c r="BD30" s="5">
        <v>96</v>
      </c>
      <c r="BE30" s="5">
        <v>0.625</v>
      </c>
      <c r="BF30" s="5">
        <v>96</v>
      </c>
      <c r="BG30" s="5">
        <v>96</v>
      </c>
      <c r="BH30" s="5">
        <v>0.625</v>
      </c>
      <c r="BI30" s="5">
        <v>96</v>
      </c>
      <c r="BJ30" s="5">
        <v>96</v>
      </c>
      <c r="BK30" s="5">
        <v>0.625</v>
      </c>
      <c r="BL30" s="5">
        <v>96</v>
      </c>
      <c r="BM30" s="5">
        <v>96</v>
      </c>
      <c r="BN30" s="5">
        <v>0.625</v>
      </c>
      <c r="BO30" s="5">
        <v>96</v>
      </c>
      <c r="BP30" s="5">
        <v>96</v>
      </c>
      <c r="BQ30" s="5">
        <v>0.625</v>
      </c>
      <c r="BR30" s="5">
        <v>96</v>
      </c>
      <c r="BS30" s="5">
        <v>96</v>
      </c>
      <c r="BT30" s="5">
        <v>0.625</v>
      </c>
      <c r="BU30" s="5">
        <v>96</v>
      </c>
      <c r="BV30" s="5">
        <v>96</v>
      </c>
      <c r="BW30" s="5">
        <v>0.625</v>
      </c>
      <c r="BX30" s="5">
        <v>96</v>
      </c>
      <c r="BY30" s="5">
        <v>96</v>
      </c>
      <c r="BZ30" s="5">
        <v>0.625</v>
      </c>
      <c r="CA30" s="5" t="s">
        <v>470</v>
      </c>
      <c r="CB30" s="5" t="s">
        <v>470</v>
      </c>
      <c r="CC30" s="5"/>
      <c r="CD30" s="5" t="s">
        <v>470</v>
      </c>
      <c r="CE30" s="5" t="s">
        <v>470</v>
      </c>
      <c r="CF30" s="5"/>
      <c r="CG30" s="5" t="s">
        <v>470</v>
      </c>
      <c r="CH30" s="5" t="s">
        <v>470</v>
      </c>
      <c r="CI30" s="5"/>
      <c r="CJ30" s="5" t="s">
        <v>470</v>
      </c>
      <c r="CK30" s="5" t="s">
        <v>470</v>
      </c>
      <c r="CL30" s="5"/>
      <c r="CM30" s="5" t="s">
        <v>470</v>
      </c>
      <c r="CN30" s="5" t="s">
        <v>470</v>
      </c>
      <c r="CO30" s="5"/>
      <c r="CP30" s="5" t="s">
        <v>470</v>
      </c>
      <c r="CQ30" s="5" t="s">
        <v>470</v>
      </c>
      <c r="CR30" s="5"/>
      <c r="CS30" s="5" t="s">
        <v>470</v>
      </c>
      <c r="CT30" s="5" t="s">
        <v>470</v>
      </c>
      <c r="CU30" s="5"/>
      <c r="CV30" s="5" t="s">
        <v>470</v>
      </c>
      <c r="CW30" s="5" t="s">
        <v>470</v>
      </c>
      <c r="CX30" s="5"/>
      <c r="CY30" s="5" t="s">
        <v>470</v>
      </c>
      <c r="CZ30" s="5" t="s">
        <v>470</v>
      </c>
      <c r="DA30" s="5"/>
      <c r="DB30" s="5" t="s">
        <v>470</v>
      </c>
      <c r="DC30" s="5" t="s">
        <v>470</v>
      </c>
      <c r="DD30" s="5"/>
      <c r="DE30" s="5">
        <v>60</v>
      </c>
      <c r="DF30" s="5">
        <v>48</v>
      </c>
      <c r="DG30" s="5">
        <v>65.5625</v>
      </c>
      <c r="DH30" s="5">
        <v>42.4375</v>
      </c>
      <c r="DI30" s="5">
        <v>0.625</v>
      </c>
      <c r="DJ30" s="5">
        <v>25.714300000000001</v>
      </c>
      <c r="DK30" s="5">
        <v>14</v>
      </c>
      <c r="DL30" s="5">
        <v>107.75</v>
      </c>
      <c r="DM30" s="5">
        <v>65.625</v>
      </c>
      <c r="DN30" s="5">
        <v>42.1875</v>
      </c>
      <c r="DO30" s="5">
        <v>0.5</v>
      </c>
      <c r="DP30" s="12">
        <v>90</v>
      </c>
      <c r="DQ30" s="5">
        <v>4</v>
      </c>
      <c r="DR30" s="13">
        <v>149.9375</v>
      </c>
      <c r="DS30" s="5">
        <v>107.75</v>
      </c>
      <c r="DT30" s="5">
        <v>42.1875</v>
      </c>
      <c r="DU30" s="5">
        <v>0.4375</v>
      </c>
      <c r="DV30" s="5">
        <v>60</v>
      </c>
      <c r="DW30" s="5">
        <v>6</v>
      </c>
      <c r="DX30" s="5">
        <v>192.03125</v>
      </c>
      <c r="DY30" s="5">
        <v>149.9375</v>
      </c>
      <c r="DZ30" s="5">
        <v>42.1875</v>
      </c>
      <c r="EA30" s="5">
        <v>0.4375</v>
      </c>
      <c r="EB30" s="5">
        <v>45</v>
      </c>
      <c r="EC30" s="5">
        <v>8</v>
      </c>
      <c r="ED30" s="5" t="s">
        <v>470</v>
      </c>
      <c r="EE30" s="5" t="s">
        <v>470</v>
      </c>
      <c r="EF30" s="5" t="s">
        <v>470</v>
      </c>
      <c r="EG30" s="5" t="s">
        <v>470</v>
      </c>
      <c r="EH30" s="5" t="s">
        <v>470</v>
      </c>
      <c r="EI30" s="5" t="s">
        <v>470</v>
      </c>
      <c r="EJ30" s="5" t="s">
        <v>470</v>
      </c>
      <c r="EK30" s="5" t="s">
        <v>470</v>
      </c>
      <c r="EL30" s="5" t="s">
        <v>470</v>
      </c>
      <c r="EM30" s="5" t="s">
        <v>470</v>
      </c>
      <c r="EN30" s="5" t="s">
        <v>470</v>
      </c>
      <c r="EO30" s="5" t="s">
        <v>470</v>
      </c>
      <c r="EP30" s="5" t="s">
        <v>470</v>
      </c>
      <c r="EQ30" s="5" t="s">
        <v>470</v>
      </c>
      <c r="ER30" s="5" t="s">
        <v>470</v>
      </c>
      <c r="ES30" s="5" t="s">
        <v>470</v>
      </c>
      <c r="ET30" s="5" t="s">
        <v>470</v>
      </c>
      <c r="EU30" s="5" t="s">
        <v>470</v>
      </c>
      <c r="EV30" s="5" t="s">
        <v>470</v>
      </c>
      <c r="EW30" s="5" t="s">
        <v>470</v>
      </c>
      <c r="EX30" s="5" t="s">
        <v>470</v>
      </c>
      <c r="EY30" s="5">
        <v>0.3125</v>
      </c>
      <c r="EZ30" s="5">
        <v>173.84375</v>
      </c>
      <c r="FA30" s="5">
        <v>22</v>
      </c>
      <c r="FB30" s="5">
        <v>16.363600000000002</v>
      </c>
      <c r="FC30" s="5">
        <v>45</v>
      </c>
      <c r="FD30" s="5">
        <v>69</v>
      </c>
      <c r="FE30" s="5" t="s">
        <v>495</v>
      </c>
      <c r="FF30" s="5">
        <v>0.25</v>
      </c>
      <c r="FG30" s="5">
        <v>173.875</v>
      </c>
      <c r="FH30" s="5">
        <v>22</v>
      </c>
      <c r="FI30" s="5">
        <v>16.363600000000002</v>
      </c>
      <c r="FJ30" s="5">
        <v>45</v>
      </c>
      <c r="FK30" s="5">
        <v>69</v>
      </c>
      <c r="FL30" s="5" t="s">
        <v>495</v>
      </c>
      <c r="FM30" s="5">
        <v>0.25</v>
      </c>
      <c r="FN30" s="5">
        <v>271.75</v>
      </c>
      <c r="FO30" s="5">
        <v>18</v>
      </c>
      <c r="FP30" s="5">
        <v>20</v>
      </c>
      <c r="FQ30" s="5">
        <v>83.040700000000001</v>
      </c>
      <c r="FR30" s="5">
        <v>0</v>
      </c>
      <c r="FS30" s="5" t="s">
        <v>495</v>
      </c>
      <c r="FT30" s="5">
        <v>44</v>
      </c>
      <c r="FU30" s="5">
        <v>24</v>
      </c>
      <c r="FV30" s="5">
        <v>20</v>
      </c>
      <c r="FW30" s="5">
        <v>0.5</v>
      </c>
      <c r="FX30" s="5">
        <v>4</v>
      </c>
      <c r="FY30" s="5">
        <v>40</v>
      </c>
      <c r="FZ30" s="5">
        <v>50</v>
      </c>
      <c r="GA30" s="5">
        <v>1.125</v>
      </c>
      <c r="GB30" s="5">
        <v>120</v>
      </c>
      <c r="GC30" s="5">
        <v>3</v>
      </c>
      <c r="GD30" s="5">
        <v>23</v>
      </c>
      <c r="GE30" s="5">
        <v>27</v>
      </c>
      <c r="GF30" s="5">
        <v>1</v>
      </c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</row>
    <row r="31" spans="1:201" s="1" customFormat="1" ht="15.75" customHeight="1" x14ac:dyDescent="0.25">
      <c r="A31" s="4" t="s">
        <v>499</v>
      </c>
      <c r="B31" s="5"/>
      <c r="C31" s="5">
        <v>200</v>
      </c>
      <c r="D31" s="5">
        <v>28</v>
      </c>
      <c r="E31" s="6">
        <v>25</v>
      </c>
      <c r="F31" s="5" t="s">
        <v>469</v>
      </c>
      <c r="G31" s="5">
        <v>0</v>
      </c>
      <c r="H31" s="5">
        <f t="shared" si="0"/>
        <v>336</v>
      </c>
      <c r="I31" s="5">
        <f t="shared" si="1"/>
        <v>175</v>
      </c>
      <c r="J31" s="5">
        <f t="shared" si="2"/>
        <v>163</v>
      </c>
      <c r="K31" s="5">
        <v>40</v>
      </c>
      <c r="L31" s="5">
        <v>1</v>
      </c>
      <c r="M31" s="5">
        <v>9</v>
      </c>
      <c r="N31" s="5">
        <v>28</v>
      </c>
      <c r="O31" s="5">
        <v>6.4286000000000003</v>
      </c>
      <c r="P31" s="5">
        <v>28</v>
      </c>
      <c r="Q31" s="5">
        <v>56</v>
      </c>
      <c r="R31" s="5" t="s">
        <v>470</v>
      </c>
      <c r="S31" s="5">
        <v>56</v>
      </c>
      <c r="T31" s="5">
        <f t="shared" si="3"/>
        <v>168</v>
      </c>
      <c r="U31" s="5">
        <v>133.0008</v>
      </c>
      <c r="V31" s="5">
        <v>84</v>
      </c>
      <c r="W31" s="5">
        <v>0.4375</v>
      </c>
      <c r="X31" s="5">
        <v>40</v>
      </c>
      <c r="Y31" s="5">
        <v>9</v>
      </c>
      <c r="Z31" s="5">
        <v>133.0008</v>
      </c>
      <c r="AA31" s="5">
        <v>98.000159999999994</v>
      </c>
      <c r="AB31" s="5">
        <v>84</v>
      </c>
      <c r="AC31" s="5">
        <v>0.4375</v>
      </c>
      <c r="AD31" s="5">
        <v>45</v>
      </c>
      <c r="AE31" s="5">
        <v>8</v>
      </c>
      <c r="AF31" s="5">
        <v>0</v>
      </c>
      <c r="AG31" s="5">
        <v>98.001599999999996</v>
      </c>
      <c r="AH31" s="5">
        <v>63.002499999999998</v>
      </c>
      <c r="AI31" s="5">
        <v>84</v>
      </c>
      <c r="AJ31" s="5">
        <v>0.5625</v>
      </c>
      <c r="AK31" s="5">
        <v>60</v>
      </c>
      <c r="AL31" s="5">
        <v>6</v>
      </c>
      <c r="AM31" s="5">
        <v>0</v>
      </c>
      <c r="AN31" s="5">
        <v>63.002499999999998</v>
      </c>
      <c r="AO31" s="5">
        <v>52.615400000000001</v>
      </c>
      <c r="AP31" s="5">
        <v>24.9375</v>
      </c>
      <c r="AQ31" s="5">
        <v>0.6875</v>
      </c>
      <c r="AR31" s="5">
        <v>90</v>
      </c>
      <c r="AS31" s="5">
        <v>4</v>
      </c>
      <c r="AT31" s="5"/>
      <c r="AU31" s="5">
        <v>52.615400000000001</v>
      </c>
      <c r="AV31" s="5">
        <v>48</v>
      </c>
      <c r="AW31" s="5">
        <v>23.0625</v>
      </c>
      <c r="AX31" s="5">
        <v>0.6875</v>
      </c>
      <c r="AY31" s="5">
        <v>36</v>
      </c>
      <c r="AZ31" s="5">
        <v>10</v>
      </c>
      <c r="BA31" s="5">
        <v>96</v>
      </c>
      <c r="BB31" s="5">
        <v>96</v>
      </c>
      <c r="BC31" s="5">
        <v>96</v>
      </c>
      <c r="BD31" s="5">
        <v>96</v>
      </c>
      <c r="BE31" s="5">
        <v>0.625</v>
      </c>
      <c r="BF31" s="5">
        <v>96</v>
      </c>
      <c r="BG31" s="5">
        <v>96</v>
      </c>
      <c r="BH31" s="5">
        <v>0.625</v>
      </c>
      <c r="BI31" s="5">
        <v>96</v>
      </c>
      <c r="BJ31" s="5">
        <v>96</v>
      </c>
      <c r="BK31" s="5">
        <v>0.625</v>
      </c>
      <c r="BL31" s="5">
        <v>96</v>
      </c>
      <c r="BM31" s="5">
        <v>96</v>
      </c>
      <c r="BN31" s="5">
        <v>0.625</v>
      </c>
      <c r="BO31" s="5">
        <v>96</v>
      </c>
      <c r="BP31" s="5">
        <v>96</v>
      </c>
      <c r="BQ31" s="5">
        <v>0.625</v>
      </c>
      <c r="BR31" s="5">
        <v>96</v>
      </c>
      <c r="BS31" s="5">
        <v>96</v>
      </c>
      <c r="BT31" s="5">
        <v>0.625</v>
      </c>
      <c r="BU31" s="5">
        <v>96</v>
      </c>
      <c r="BV31" s="5">
        <v>96</v>
      </c>
      <c r="BW31" s="5">
        <v>0.625</v>
      </c>
      <c r="BX31" s="5">
        <v>96</v>
      </c>
      <c r="BY31" s="5">
        <v>96</v>
      </c>
      <c r="BZ31" s="5">
        <v>0.625</v>
      </c>
      <c r="CA31" s="5" t="s">
        <v>470</v>
      </c>
      <c r="CB31" s="5" t="s">
        <v>470</v>
      </c>
      <c r="CC31" s="5"/>
      <c r="CD31" s="5" t="s">
        <v>470</v>
      </c>
      <c r="CE31" s="5" t="s">
        <v>470</v>
      </c>
      <c r="CF31" s="5"/>
      <c r="CG31" s="5" t="s">
        <v>470</v>
      </c>
      <c r="CH31" s="5" t="s">
        <v>470</v>
      </c>
      <c r="CI31" s="5"/>
      <c r="CJ31" s="5" t="s">
        <v>470</v>
      </c>
      <c r="CK31" s="5" t="s">
        <v>470</v>
      </c>
      <c r="CL31" s="5"/>
      <c r="CM31" s="5" t="s">
        <v>470</v>
      </c>
      <c r="CN31" s="5" t="s">
        <v>470</v>
      </c>
      <c r="CO31" s="5"/>
      <c r="CP31" s="5" t="s">
        <v>470</v>
      </c>
      <c r="CQ31" s="5" t="s">
        <v>470</v>
      </c>
      <c r="CR31" s="5"/>
      <c r="CS31" s="5" t="s">
        <v>470</v>
      </c>
      <c r="CT31" s="5" t="s">
        <v>470</v>
      </c>
      <c r="CU31" s="5"/>
      <c r="CV31" s="5" t="s">
        <v>470</v>
      </c>
      <c r="CW31" s="5" t="s">
        <v>470</v>
      </c>
      <c r="CX31" s="5"/>
      <c r="CY31" s="5" t="s">
        <v>470</v>
      </c>
      <c r="CZ31" s="5" t="s">
        <v>470</v>
      </c>
      <c r="DA31" s="5"/>
      <c r="DB31" s="5" t="s">
        <v>470</v>
      </c>
      <c r="DC31" s="5" t="s">
        <v>470</v>
      </c>
      <c r="DD31" s="5"/>
      <c r="DE31" s="5">
        <v>60</v>
      </c>
      <c r="DF31" s="5">
        <v>48</v>
      </c>
      <c r="DG31" s="5"/>
      <c r="DH31" s="5"/>
      <c r="DI31" s="5">
        <v>0.625</v>
      </c>
      <c r="DJ31" s="5">
        <v>25.714300000000001</v>
      </c>
      <c r="DK31" s="5">
        <v>14</v>
      </c>
      <c r="DL31" s="5">
        <v>107.75</v>
      </c>
      <c r="DM31" s="5">
        <v>65.625</v>
      </c>
      <c r="DN31" s="5">
        <v>42.1875</v>
      </c>
      <c r="DO31" s="5">
        <v>0.5</v>
      </c>
      <c r="DP31" s="12">
        <v>90</v>
      </c>
      <c r="DQ31" s="5">
        <v>4</v>
      </c>
      <c r="DR31" s="13">
        <v>149.9375</v>
      </c>
      <c r="DS31" s="5">
        <v>107.75</v>
      </c>
      <c r="DT31" s="5">
        <v>42.1875</v>
      </c>
      <c r="DU31" s="5">
        <v>0.4375</v>
      </c>
      <c r="DV31" s="5">
        <v>60</v>
      </c>
      <c r="DW31" s="5">
        <v>6</v>
      </c>
      <c r="DX31" s="5">
        <v>192.03125</v>
      </c>
      <c r="DY31" s="5">
        <v>149.9375</v>
      </c>
      <c r="DZ31" s="5">
        <v>42.1875</v>
      </c>
      <c r="EA31" s="5">
        <v>0.4375</v>
      </c>
      <c r="EB31" s="5">
        <v>45</v>
      </c>
      <c r="EC31" s="5">
        <v>8</v>
      </c>
      <c r="ED31" s="5" t="s">
        <v>470</v>
      </c>
      <c r="EE31" s="5" t="s">
        <v>470</v>
      </c>
      <c r="EF31" s="5" t="s">
        <v>470</v>
      </c>
      <c r="EG31" s="5" t="s">
        <v>470</v>
      </c>
      <c r="EH31" s="5" t="s">
        <v>470</v>
      </c>
      <c r="EI31" s="5" t="s">
        <v>470</v>
      </c>
      <c r="EJ31" s="5" t="s">
        <v>470</v>
      </c>
      <c r="EK31" s="5" t="s">
        <v>470</v>
      </c>
      <c r="EL31" s="5" t="s">
        <v>470</v>
      </c>
      <c r="EM31" s="5" t="s">
        <v>470</v>
      </c>
      <c r="EN31" s="5" t="s">
        <v>470</v>
      </c>
      <c r="EO31" s="5" t="s">
        <v>470</v>
      </c>
      <c r="EP31" s="5" t="s">
        <v>470</v>
      </c>
      <c r="EQ31" s="5" t="s">
        <v>470</v>
      </c>
      <c r="ER31" s="5" t="s">
        <v>470</v>
      </c>
      <c r="ES31" s="5" t="s">
        <v>470</v>
      </c>
      <c r="ET31" s="5" t="s">
        <v>470</v>
      </c>
      <c r="EU31" s="5" t="s">
        <v>470</v>
      </c>
      <c r="EV31" s="5" t="s">
        <v>470</v>
      </c>
      <c r="EW31" s="5" t="s">
        <v>470</v>
      </c>
      <c r="EX31" s="5" t="s">
        <v>470</v>
      </c>
      <c r="EY31" s="5">
        <v>0.3125</v>
      </c>
      <c r="EZ31" s="5">
        <v>173.84375</v>
      </c>
      <c r="FA31" s="5">
        <v>22</v>
      </c>
      <c r="FB31" s="5">
        <v>16.363600000000002</v>
      </c>
      <c r="FC31" s="5">
        <v>45</v>
      </c>
      <c r="FD31" s="5">
        <v>69</v>
      </c>
      <c r="FE31" s="5" t="s">
        <v>495</v>
      </c>
      <c r="FF31" s="5">
        <v>0.25</v>
      </c>
      <c r="FG31" s="5">
        <v>173.875</v>
      </c>
      <c r="FH31" s="5">
        <v>22</v>
      </c>
      <c r="FI31" s="5">
        <v>16.363600000000002</v>
      </c>
      <c r="FJ31" s="5">
        <v>45</v>
      </c>
      <c r="FK31" s="5">
        <v>69</v>
      </c>
      <c r="FL31" s="5" t="s">
        <v>495</v>
      </c>
      <c r="FM31" s="5">
        <v>0.25</v>
      </c>
      <c r="FN31" s="5">
        <v>271.75</v>
      </c>
      <c r="FO31" s="5">
        <v>18</v>
      </c>
      <c r="FP31" s="5">
        <v>20</v>
      </c>
      <c r="FQ31" s="5">
        <v>83.040700000000001</v>
      </c>
      <c r="FR31" s="5">
        <v>0</v>
      </c>
      <c r="FS31" s="5" t="s">
        <v>495</v>
      </c>
      <c r="FT31" s="5">
        <v>44</v>
      </c>
      <c r="FU31" s="5">
        <v>24</v>
      </c>
      <c r="FV31" s="5">
        <v>20</v>
      </c>
      <c r="FW31" s="5">
        <v>0.5</v>
      </c>
      <c r="FX31" s="5">
        <v>4</v>
      </c>
      <c r="FY31" s="5">
        <v>40</v>
      </c>
      <c r="FZ31" s="5">
        <v>50</v>
      </c>
      <c r="GA31" s="5">
        <v>1.125</v>
      </c>
      <c r="GB31" s="5">
        <v>120</v>
      </c>
      <c r="GC31" s="5">
        <v>3</v>
      </c>
      <c r="GD31" s="5">
        <v>23</v>
      </c>
      <c r="GE31" s="5">
        <v>27</v>
      </c>
      <c r="GF31" s="5">
        <v>1</v>
      </c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</row>
    <row r="32" spans="1:201" s="1" customFormat="1" ht="15.75" customHeight="1" x14ac:dyDescent="0.25">
      <c r="A32" s="4" t="s">
        <v>500</v>
      </c>
      <c r="B32" s="5"/>
      <c r="C32" s="5">
        <v>200</v>
      </c>
      <c r="D32" s="5">
        <v>30</v>
      </c>
      <c r="E32" s="6">
        <v>30</v>
      </c>
      <c r="F32" s="5" t="s">
        <v>469</v>
      </c>
      <c r="G32" s="5">
        <v>0</v>
      </c>
      <c r="H32" s="5">
        <f t="shared" si="0"/>
        <v>360</v>
      </c>
      <c r="I32" s="5">
        <f t="shared" si="1"/>
        <v>187</v>
      </c>
      <c r="J32" s="5">
        <f t="shared" si="2"/>
        <v>175</v>
      </c>
      <c r="K32" s="5">
        <v>40</v>
      </c>
      <c r="L32" s="5">
        <v>1.125</v>
      </c>
      <c r="M32" s="5">
        <v>9</v>
      </c>
      <c r="N32" s="5"/>
      <c r="O32" s="5"/>
      <c r="P32" s="5"/>
      <c r="Q32" s="5"/>
      <c r="R32" s="5"/>
      <c r="S32" s="5"/>
      <c r="T32" s="5">
        <f t="shared" si="3"/>
        <v>180</v>
      </c>
      <c r="U32" s="5">
        <v>148.23269999999999</v>
      </c>
      <c r="V32" s="5">
        <v>84</v>
      </c>
      <c r="W32" s="5">
        <v>0.4375</v>
      </c>
      <c r="X32" s="5">
        <v>40</v>
      </c>
      <c r="Y32" s="5">
        <v>9</v>
      </c>
      <c r="Z32" s="5">
        <v>148.23269999999999</v>
      </c>
      <c r="AA32" s="5">
        <v>116.46550000000001</v>
      </c>
      <c r="AB32" s="5">
        <v>84</v>
      </c>
      <c r="AC32" s="5">
        <v>0.4375</v>
      </c>
      <c r="AD32" s="5">
        <v>45</v>
      </c>
      <c r="AE32" s="5">
        <v>8</v>
      </c>
      <c r="AF32" s="5">
        <v>0</v>
      </c>
      <c r="AG32" s="5">
        <v>116.46550000000001</v>
      </c>
      <c r="AH32" s="5">
        <v>84.6982</v>
      </c>
      <c r="AI32" s="5">
        <v>84</v>
      </c>
      <c r="AJ32" s="5">
        <v>0.5</v>
      </c>
      <c r="AK32" s="5">
        <v>60</v>
      </c>
      <c r="AL32" s="5">
        <v>6</v>
      </c>
      <c r="AM32" s="5">
        <v>0</v>
      </c>
      <c r="AN32" s="5">
        <v>84.6982</v>
      </c>
      <c r="AO32" s="5">
        <v>51.890900000000002</v>
      </c>
      <c r="AP32" s="5">
        <v>86.75</v>
      </c>
      <c r="AQ32" s="5">
        <v>0.625</v>
      </c>
      <c r="AR32" s="5">
        <v>60</v>
      </c>
      <c r="AS32" s="5">
        <v>6</v>
      </c>
      <c r="AT32" s="5"/>
      <c r="AU32" s="5">
        <v>51.890900000000002</v>
      </c>
      <c r="AV32" s="5">
        <v>48</v>
      </c>
      <c r="AW32" s="5">
        <v>21.25</v>
      </c>
      <c r="AX32" s="5">
        <v>0.625</v>
      </c>
      <c r="AY32" s="5">
        <v>36</v>
      </c>
      <c r="AZ32" s="5">
        <v>10</v>
      </c>
      <c r="BA32" s="5">
        <v>96</v>
      </c>
      <c r="BB32" s="5">
        <v>96</v>
      </c>
      <c r="BC32" s="5">
        <v>96</v>
      </c>
      <c r="BD32" s="5">
        <v>96</v>
      </c>
      <c r="BE32" s="5">
        <v>0.625</v>
      </c>
      <c r="BF32" s="5">
        <v>96</v>
      </c>
      <c r="BG32" s="5">
        <v>96</v>
      </c>
      <c r="BH32" s="5">
        <v>0.625</v>
      </c>
      <c r="BI32" s="5">
        <v>96</v>
      </c>
      <c r="BJ32" s="5">
        <v>96</v>
      </c>
      <c r="BK32" s="5">
        <v>0.625</v>
      </c>
      <c r="BL32" s="5">
        <v>96</v>
      </c>
      <c r="BM32" s="5">
        <v>96</v>
      </c>
      <c r="BN32" s="5">
        <v>0.625</v>
      </c>
      <c r="BO32" s="5">
        <v>96</v>
      </c>
      <c r="BP32" s="5">
        <v>96</v>
      </c>
      <c r="BQ32" s="5">
        <v>0.625</v>
      </c>
      <c r="BR32" s="5">
        <v>96</v>
      </c>
      <c r="BS32" s="5">
        <v>96</v>
      </c>
      <c r="BT32" s="5">
        <v>0.625</v>
      </c>
      <c r="BU32" s="5">
        <v>96</v>
      </c>
      <c r="BV32" s="5">
        <v>96</v>
      </c>
      <c r="BW32" s="5">
        <v>0.625</v>
      </c>
      <c r="BX32" s="5">
        <v>96</v>
      </c>
      <c r="BY32" s="5">
        <v>96</v>
      </c>
      <c r="BZ32" s="5">
        <v>0.625</v>
      </c>
      <c r="CA32" s="5" t="s">
        <v>470</v>
      </c>
      <c r="CB32" s="5" t="s">
        <v>470</v>
      </c>
      <c r="CC32" s="5"/>
      <c r="CD32" s="5" t="s">
        <v>470</v>
      </c>
      <c r="CE32" s="5" t="s">
        <v>470</v>
      </c>
      <c r="CF32" s="5"/>
      <c r="CG32" s="5" t="s">
        <v>470</v>
      </c>
      <c r="CH32" s="5" t="s">
        <v>470</v>
      </c>
      <c r="CI32" s="5"/>
      <c r="CJ32" s="5" t="s">
        <v>470</v>
      </c>
      <c r="CK32" s="5" t="s">
        <v>470</v>
      </c>
      <c r="CL32" s="5"/>
      <c r="CM32" s="5" t="s">
        <v>470</v>
      </c>
      <c r="CN32" s="5" t="s">
        <v>470</v>
      </c>
      <c r="CO32" s="5"/>
      <c r="CP32" s="5" t="s">
        <v>470</v>
      </c>
      <c r="CQ32" s="5" t="s">
        <v>470</v>
      </c>
      <c r="CR32" s="5"/>
      <c r="CS32" s="5" t="s">
        <v>470</v>
      </c>
      <c r="CT32" s="5" t="s">
        <v>470</v>
      </c>
      <c r="CU32" s="5"/>
      <c r="CV32" s="5" t="s">
        <v>470</v>
      </c>
      <c r="CW32" s="5" t="s">
        <v>470</v>
      </c>
      <c r="CX32" s="5"/>
      <c r="CY32" s="5" t="s">
        <v>470</v>
      </c>
      <c r="CZ32" s="5" t="s">
        <v>470</v>
      </c>
      <c r="DA32" s="5"/>
      <c r="DB32" s="5" t="s">
        <v>470</v>
      </c>
      <c r="DC32" s="5" t="s">
        <v>470</v>
      </c>
      <c r="DD32" s="5"/>
      <c r="DE32" s="5">
        <v>60</v>
      </c>
      <c r="DF32" s="5">
        <v>48</v>
      </c>
      <c r="DG32" s="5"/>
      <c r="DH32" s="5"/>
      <c r="DI32" s="5">
        <v>0.625</v>
      </c>
      <c r="DJ32" s="5">
        <v>25.714300000000001</v>
      </c>
      <c r="DK32" s="5">
        <v>14</v>
      </c>
      <c r="DL32" s="5">
        <v>107.75</v>
      </c>
      <c r="DM32" s="5">
        <v>65.625</v>
      </c>
      <c r="DN32" s="5">
        <v>42.1875</v>
      </c>
      <c r="DO32" s="5">
        <v>0.5</v>
      </c>
      <c r="DP32" s="12">
        <v>90</v>
      </c>
      <c r="DQ32" s="5">
        <v>4</v>
      </c>
      <c r="DR32" s="13">
        <v>149.9375</v>
      </c>
      <c r="DS32" s="5">
        <v>107.75</v>
      </c>
      <c r="DT32" s="5">
        <v>42.1875</v>
      </c>
      <c r="DU32" s="5">
        <v>0.4375</v>
      </c>
      <c r="DV32" s="5">
        <v>60</v>
      </c>
      <c r="DW32" s="5">
        <v>6</v>
      </c>
      <c r="DX32" s="5">
        <v>192.03125</v>
      </c>
      <c r="DY32" s="5">
        <v>149.9375</v>
      </c>
      <c r="DZ32" s="5">
        <v>42.1875</v>
      </c>
      <c r="EA32" s="5">
        <v>0.4375</v>
      </c>
      <c r="EB32" s="5">
        <v>45</v>
      </c>
      <c r="EC32" s="5">
        <v>8</v>
      </c>
      <c r="ED32" s="5" t="s">
        <v>470</v>
      </c>
      <c r="EE32" s="5" t="s">
        <v>470</v>
      </c>
      <c r="EF32" s="5" t="s">
        <v>470</v>
      </c>
      <c r="EG32" s="5" t="s">
        <v>470</v>
      </c>
      <c r="EH32" s="5" t="s">
        <v>470</v>
      </c>
      <c r="EI32" s="5" t="s">
        <v>470</v>
      </c>
      <c r="EJ32" s="5" t="s">
        <v>470</v>
      </c>
      <c r="EK32" s="5" t="s">
        <v>470</v>
      </c>
      <c r="EL32" s="5" t="s">
        <v>470</v>
      </c>
      <c r="EM32" s="5" t="s">
        <v>470</v>
      </c>
      <c r="EN32" s="5" t="s">
        <v>470</v>
      </c>
      <c r="EO32" s="5" t="s">
        <v>470</v>
      </c>
      <c r="EP32" s="5" t="s">
        <v>470</v>
      </c>
      <c r="EQ32" s="5" t="s">
        <v>470</v>
      </c>
      <c r="ER32" s="5" t="s">
        <v>470</v>
      </c>
      <c r="ES32" s="5" t="s">
        <v>470</v>
      </c>
      <c r="ET32" s="5" t="s">
        <v>470</v>
      </c>
      <c r="EU32" s="5" t="s">
        <v>470</v>
      </c>
      <c r="EV32" s="5" t="s">
        <v>470</v>
      </c>
      <c r="EW32" s="5" t="s">
        <v>470</v>
      </c>
      <c r="EX32" s="5" t="s">
        <v>470</v>
      </c>
      <c r="EY32" s="5">
        <v>0.3125</v>
      </c>
      <c r="EZ32" s="5">
        <v>173.84375</v>
      </c>
      <c r="FA32" s="5">
        <v>22</v>
      </c>
      <c r="FB32" s="5">
        <v>16.363600000000002</v>
      </c>
      <c r="FC32" s="5">
        <v>45</v>
      </c>
      <c r="FD32" s="5">
        <v>69</v>
      </c>
      <c r="FE32" s="5" t="s">
        <v>495</v>
      </c>
      <c r="FF32" s="5">
        <v>0.25</v>
      </c>
      <c r="FG32" s="5">
        <v>173.875</v>
      </c>
      <c r="FH32" s="5">
        <v>22</v>
      </c>
      <c r="FI32" s="5">
        <v>16.363600000000002</v>
      </c>
      <c r="FJ32" s="5">
        <v>45</v>
      </c>
      <c r="FK32" s="5">
        <v>69</v>
      </c>
      <c r="FL32" s="5" t="s">
        <v>495</v>
      </c>
      <c r="FM32" s="5">
        <v>0.25</v>
      </c>
      <c r="FN32" s="5">
        <v>271.75</v>
      </c>
      <c r="FO32" s="5">
        <v>18</v>
      </c>
      <c r="FP32" s="5">
        <v>20</v>
      </c>
      <c r="FQ32" s="5">
        <v>83.040700000000001</v>
      </c>
      <c r="FR32" s="5">
        <v>0</v>
      </c>
      <c r="FS32" s="5" t="s">
        <v>495</v>
      </c>
      <c r="FT32" s="5">
        <v>44</v>
      </c>
      <c r="FU32" s="5">
        <v>24</v>
      </c>
      <c r="FV32" s="5">
        <v>20</v>
      </c>
      <c r="FW32" s="5">
        <v>0.5</v>
      </c>
      <c r="FX32" s="5">
        <v>4</v>
      </c>
      <c r="FY32" s="5">
        <v>40</v>
      </c>
      <c r="FZ32" s="5">
        <v>50</v>
      </c>
      <c r="GA32" s="5">
        <v>1.125</v>
      </c>
      <c r="GB32" s="5">
        <v>120</v>
      </c>
      <c r="GC32" s="5">
        <v>3</v>
      </c>
      <c r="GD32" s="5">
        <v>23</v>
      </c>
      <c r="GE32" s="5">
        <v>27</v>
      </c>
      <c r="GF32" s="5">
        <v>1</v>
      </c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</row>
    <row r="33" spans="1:201" s="1" customFormat="1" ht="15.75" customHeight="1" x14ac:dyDescent="0.25">
      <c r="A33" s="4" t="s">
        <v>501</v>
      </c>
      <c r="B33" s="5"/>
      <c r="C33" s="5">
        <v>200</v>
      </c>
      <c r="D33" s="5">
        <v>32</v>
      </c>
      <c r="E33" s="6">
        <v>30</v>
      </c>
      <c r="F33" s="5" t="s">
        <v>469</v>
      </c>
      <c r="G33" s="5">
        <v>0</v>
      </c>
      <c r="H33" s="5">
        <f t="shared" si="0"/>
        <v>384</v>
      </c>
      <c r="I33" s="5">
        <f t="shared" si="1"/>
        <v>199</v>
      </c>
      <c r="J33" s="5">
        <f t="shared" si="2"/>
        <v>187</v>
      </c>
      <c r="K33" s="5">
        <v>30</v>
      </c>
      <c r="L33" s="5">
        <v>1</v>
      </c>
      <c r="M33" s="5">
        <v>12</v>
      </c>
      <c r="N33" s="5">
        <v>12</v>
      </c>
      <c r="O33" s="5">
        <v>15</v>
      </c>
      <c r="P33" s="5">
        <v>12</v>
      </c>
      <c r="Q33" s="5">
        <v>24</v>
      </c>
      <c r="R33" s="5" t="s">
        <v>470</v>
      </c>
      <c r="S33" s="5">
        <v>24</v>
      </c>
      <c r="T33" s="5">
        <f t="shared" si="3"/>
        <v>192</v>
      </c>
      <c r="U33" s="5">
        <v>157.24930000000001</v>
      </c>
      <c r="V33" s="5">
        <v>84</v>
      </c>
      <c r="W33" s="5">
        <v>0.5</v>
      </c>
      <c r="X33" s="5">
        <v>30</v>
      </c>
      <c r="Y33" s="5">
        <v>12</v>
      </c>
      <c r="Z33" s="5">
        <v>157.24930000000001</v>
      </c>
      <c r="AA33" s="5">
        <v>122.49850000000001</v>
      </c>
      <c r="AB33" s="5">
        <v>84</v>
      </c>
      <c r="AC33" s="5">
        <v>0.5</v>
      </c>
      <c r="AD33" s="5">
        <v>40</v>
      </c>
      <c r="AE33" s="5">
        <v>9</v>
      </c>
      <c r="AF33" s="5">
        <v>0</v>
      </c>
      <c r="AG33" s="5">
        <v>122.49850000000001</v>
      </c>
      <c r="AH33" s="5">
        <v>87.747799999999998</v>
      </c>
      <c r="AI33" s="5">
        <v>84</v>
      </c>
      <c r="AJ33" s="5">
        <v>0.5</v>
      </c>
      <c r="AK33" s="5">
        <v>45</v>
      </c>
      <c r="AL33" s="5">
        <v>8</v>
      </c>
      <c r="AM33" s="5">
        <v>0</v>
      </c>
      <c r="AN33" s="5">
        <v>87.747799999999998</v>
      </c>
      <c r="AO33" s="5">
        <v>52.557200000000002</v>
      </c>
      <c r="AP33" s="5">
        <v>85.0625</v>
      </c>
      <c r="AQ33" s="5">
        <v>0.625</v>
      </c>
      <c r="AR33" s="5">
        <v>60</v>
      </c>
      <c r="AS33" s="5">
        <v>6</v>
      </c>
      <c r="AT33" s="5"/>
      <c r="AU33" s="5">
        <v>52.557200000000002</v>
      </c>
      <c r="AV33" s="5">
        <v>48</v>
      </c>
      <c r="AW33" s="5">
        <v>22.9375</v>
      </c>
      <c r="AX33" s="5">
        <v>0.75</v>
      </c>
      <c r="AY33" s="5">
        <v>36</v>
      </c>
      <c r="AZ33" s="5">
        <v>10</v>
      </c>
      <c r="BA33" s="5">
        <v>96</v>
      </c>
      <c r="BB33" s="5">
        <v>96</v>
      </c>
      <c r="BC33" s="5">
        <v>96</v>
      </c>
      <c r="BD33" s="5">
        <v>96</v>
      </c>
      <c r="BE33" s="5">
        <v>0.625</v>
      </c>
      <c r="BF33" s="5">
        <v>96</v>
      </c>
      <c r="BG33" s="5">
        <v>96</v>
      </c>
      <c r="BH33" s="5">
        <v>0.625</v>
      </c>
      <c r="BI33" s="5">
        <v>96</v>
      </c>
      <c r="BJ33" s="5">
        <v>96</v>
      </c>
      <c r="BK33" s="5">
        <v>0.625</v>
      </c>
      <c r="BL33" s="5">
        <v>96</v>
      </c>
      <c r="BM33" s="5">
        <v>96</v>
      </c>
      <c r="BN33" s="5">
        <v>0.625</v>
      </c>
      <c r="BO33" s="5">
        <v>96</v>
      </c>
      <c r="BP33" s="5">
        <v>96</v>
      </c>
      <c r="BQ33" s="5">
        <v>0.625</v>
      </c>
      <c r="BR33" s="5">
        <v>96</v>
      </c>
      <c r="BS33" s="5">
        <v>96</v>
      </c>
      <c r="BT33" s="5">
        <v>0.625</v>
      </c>
      <c r="BU33" s="5">
        <v>96</v>
      </c>
      <c r="BV33" s="5">
        <v>96</v>
      </c>
      <c r="BW33" s="5">
        <v>0.625</v>
      </c>
      <c r="BX33" s="5">
        <v>96</v>
      </c>
      <c r="BY33" s="5">
        <v>96</v>
      </c>
      <c r="BZ33" s="5">
        <v>0.625</v>
      </c>
      <c r="CA33" s="5" t="s">
        <v>470</v>
      </c>
      <c r="CB33" s="5" t="s">
        <v>470</v>
      </c>
      <c r="CC33" s="5"/>
      <c r="CD33" s="5" t="s">
        <v>470</v>
      </c>
      <c r="CE33" s="5" t="s">
        <v>470</v>
      </c>
      <c r="CF33" s="5"/>
      <c r="CG33" s="5" t="s">
        <v>470</v>
      </c>
      <c r="CH33" s="5" t="s">
        <v>470</v>
      </c>
      <c r="CI33" s="5"/>
      <c r="CJ33" s="5" t="s">
        <v>470</v>
      </c>
      <c r="CK33" s="5" t="s">
        <v>470</v>
      </c>
      <c r="CL33" s="5"/>
      <c r="CM33" s="5" t="s">
        <v>470</v>
      </c>
      <c r="CN33" s="5" t="s">
        <v>470</v>
      </c>
      <c r="CO33" s="5"/>
      <c r="CP33" s="5" t="s">
        <v>470</v>
      </c>
      <c r="CQ33" s="5" t="s">
        <v>470</v>
      </c>
      <c r="CR33" s="5"/>
      <c r="CS33" s="5" t="s">
        <v>470</v>
      </c>
      <c r="CT33" s="5" t="s">
        <v>470</v>
      </c>
      <c r="CU33" s="5"/>
      <c r="CV33" s="5" t="s">
        <v>470</v>
      </c>
      <c r="CW33" s="5" t="s">
        <v>470</v>
      </c>
      <c r="CX33" s="5"/>
      <c r="CY33" s="5" t="s">
        <v>470</v>
      </c>
      <c r="CZ33" s="5" t="s">
        <v>470</v>
      </c>
      <c r="DA33" s="5"/>
      <c r="DB33" s="5" t="s">
        <v>470</v>
      </c>
      <c r="DC33" s="5" t="s">
        <v>470</v>
      </c>
      <c r="DD33" s="5"/>
      <c r="DE33" s="5">
        <v>60</v>
      </c>
      <c r="DF33" s="5">
        <v>48</v>
      </c>
      <c r="DG33" s="5"/>
      <c r="DH33" s="5"/>
      <c r="DI33" s="5">
        <v>0.625</v>
      </c>
      <c r="DJ33" s="5">
        <v>25.714300000000001</v>
      </c>
      <c r="DK33" s="5">
        <v>14</v>
      </c>
      <c r="DL33" s="5">
        <v>107.75</v>
      </c>
      <c r="DM33" s="5">
        <v>65.625</v>
      </c>
      <c r="DN33" s="5">
        <v>42.1875</v>
      </c>
      <c r="DO33" s="5">
        <v>0.5</v>
      </c>
      <c r="DP33" s="12">
        <v>90</v>
      </c>
      <c r="DQ33" s="5">
        <v>4</v>
      </c>
      <c r="DR33" s="13">
        <v>149.9375</v>
      </c>
      <c r="DS33" s="5">
        <v>107.75</v>
      </c>
      <c r="DT33" s="5">
        <v>42.1875</v>
      </c>
      <c r="DU33" s="5">
        <v>0.4375</v>
      </c>
      <c r="DV33" s="5">
        <v>60</v>
      </c>
      <c r="DW33" s="5">
        <v>6</v>
      </c>
      <c r="DX33" s="5">
        <v>192.03125</v>
      </c>
      <c r="DY33" s="5">
        <v>149.9375</v>
      </c>
      <c r="DZ33" s="5">
        <v>42.1875</v>
      </c>
      <c r="EA33" s="5">
        <v>0.4375</v>
      </c>
      <c r="EB33" s="5">
        <v>45</v>
      </c>
      <c r="EC33" s="5">
        <v>8</v>
      </c>
      <c r="ED33" s="5" t="s">
        <v>470</v>
      </c>
      <c r="EE33" s="5" t="s">
        <v>470</v>
      </c>
      <c r="EF33" s="5" t="s">
        <v>470</v>
      </c>
      <c r="EG33" s="5" t="s">
        <v>470</v>
      </c>
      <c r="EH33" s="5" t="s">
        <v>470</v>
      </c>
      <c r="EI33" s="5" t="s">
        <v>470</v>
      </c>
      <c r="EJ33" s="5" t="s">
        <v>470</v>
      </c>
      <c r="EK33" s="5" t="s">
        <v>470</v>
      </c>
      <c r="EL33" s="5" t="s">
        <v>470</v>
      </c>
      <c r="EM33" s="5" t="s">
        <v>470</v>
      </c>
      <c r="EN33" s="5" t="s">
        <v>470</v>
      </c>
      <c r="EO33" s="5" t="s">
        <v>470</v>
      </c>
      <c r="EP33" s="5" t="s">
        <v>470</v>
      </c>
      <c r="EQ33" s="5" t="s">
        <v>470</v>
      </c>
      <c r="ER33" s="5" t="s">
        <v>470</v>
      </c>
      <c r="ES33" s="5" t="s">
        <v>470</v>
      </c>
      <c r="ET33" s="5" t="s">
        <v>470</v>
      </c>
      <c r="EU33" s="5" t="s">
        <v>470</v>
      </c>
      <c r="EV33" s="5" t="s">
        <v>470</v>
      </c>
      <c r="EW33" s="5" t="s">
        <v>470</v>
      </c>
      <c r="EX33" s="5" t="s">
        <v>470</v>
      </c>
      <c r="EY33" s="5">
        <v>0.3125</v>
      </c>
      <c r="EZ33" s="5">
        <v>173.84375</v>
      </c>
      <c r="FA33" s="5">
        <v>22</v>
      </c>
      <c r="FB33" s="5">
        <v>16.363600000000002</v>
      </c>
      <c r="FC33" s="5">
        <v>45</v>
      </c>
      <c r="FD33" s="5">
        <v>69</v>
      </c>
      <c r="FE33" s="5" t="s">
        <v>495</v>
      </c>
      <c r="FF33" s="5">
        <v>0.25</v>
      </c>
      <c r="FG33" s="5">
        <v>173.875</v>
      </c>
      <c r="FH33" s="5">
        <v>22</v>
      </c>
      <c r="FI33" s="5">
        <v>16.363600000000002</v>
      </c>
      <c r="FJ33" s="5">
        <v>45</v>
      </c>
      <c r="FK33" s="5">
        <v>69</v>
      </c>
      <c r="FL33" s="5" t="s">
        <v>495</v>
      </c>
      <c r="FM33" s="5">
        <v>0.25</v>
      </c>
      <c r="FN33" s="5">
        <v>271.75</v>
      </c>
      <c r="FO33" s="5">
        <v>18</v>
      </c>
      <c r="FP33" s="5">
        <v>20</v>
      </c>
      <c r="FQ33" s="5">
        <v>83.040700000000001</v>
      </c>
      <c r="FR33" s="5">
        <v>0</v>
      </c>
      <c r="FS33" s="5" t="s">
        <v>495</v>
      </c>
      <c r="FT33" s="5">
        <v>44</v>
      </c>
      <c r="FU33" s="5">
        <v>24</v>
      </c>
      <c r="FV33" s="5">
        <v>20</v>
      </c>
      <c r="FW33" s="5">
        <v>0.5</v>
      </c>
      <c r="FX33" s="5">
        <v>4</v>
      </c>
      <c r="FY33" s="5">
        <v>40</v>
      </c>
      <c r="FZ33" s="5">
        <v>50</v>
      </c>
      <c r="GA33" s="5">
        <v>1.125</v>
      </c>
      <c r="GB33" s="5">
        <v>120</v>
      </c>
      <c r="GC33" s="5">
        <v>3</v>
      </c>
      <c r="GD33" s="5">
        <v>23</v>
      </c>
      <c r="GE33" s="5">
        <v>27</v>
      </c>
      <c r="GF33" s="5">
        <v>1</v>
      </c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</row>
    <row r="34" spans="1:201" s="1" customFormat="1" ht="15.75" customHeight="1" x14ac:dyDescent="0.25">
      <c r="A34" s="4" t="s">
        <v>502</v>
      </c>
      <c r="B34" s="5"/>
      <c r="C34" s="5">
        <v>250</v>
      </c>
      <c r="D34" s="5">
        <v>23</v>
      </c>
      <c r="E34" s="6">
        <v>22.333333333300001</v>
      </c>
      <c r="F34" s="5" t="s">
        <v>469</v>
      </c>
      <c r="G34" s="5">
        <v>0</v>
      </c>
      <c r="H34" s="5">
        <f t="shared" si="0"/>
        <v>276</v>
      </c>
      <c r="I34" s="5">
        <f t="shared" si="1"/>
        <v>145</v>
      </c>
      <c r="J34" s="5">
        <f t="shared" si="2"/>
        <v>133</v>
      </c>
      <c r="K34" s="5"/>
      <c r="L34" s="5"/>
      <c r="M34" s="5"/>
      <c r="N34" s="5"/>
      <c r="O34" s="5"/>
      <c r="P34" s="5"/>
      <c r="Q34" s="5"/>
      <c r="R34" s="5"/>
      <c r="S34" s="5"/>
      <c r="T34" s="5">
        <f t="shared" si="3"/>
        <v>138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12"/>
      <c r="DQ34" s="5"/>
      <c r="DR34" s="13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</row>
    <row r="35" spans="1:201" s="1" customFormat="1" ht="15.75" customHeight="1" x14ac:dyDescent="0.25">
      <c r="A35" s="4" t="s">
        <v>503</v>
      </c>
      <c r="B35" s="5"/>
      <c r="C35" s="5">
        <v>250</v>
      </c>
      <c r="D35" s="5">
        <v>25</v>
      </c>
      <c r="E35" s="6">
        <v>25</v>
      </c>
      <c r="F35" s="5" t="s">
        <v>469</v>
      </c>
      <c r="G35" s="5">
        <v>0</v>
      </c>
      <c r="H35" s="5">
        <f t="shared" si="0"/>
        <v>300</v>
      </c>
      <c r="I35" s="5">
        <f t="shared" si="1"/>
        <v>157</v>
      </c>
      <c r="J35" s="5">
        <f t="shared" si="2"/>
        <v>145</v>
      </c>
      <c r="K35" s="5">
        <v>40</v>
      </c>
      <c r="L35" s="5">
        <v>1</v>
      </c>
      <c r="M35" s="5">
        <v>9</v>
      </c>
      <c r="N35" s="5">
        <v>12</v>
      </c>
      <c r="O35" s="5">
        <v>15</v>
      </c>
      <c r="P35" s="5">
        <v>12</v>
      </c>
      <c r="Q35" s="5">
        <v>24</v>
      </c>
      <c r="R35" s="5" t="s">
        <v>470</v>
      </c>
      <c r="S35" s="5">
        <v>24</v>
      </c>
      <c r="T35" s="5">
        <f t="shared" si="3"/>
        <v>150</v>
      </c>
      <c r="U35" s="5">
        <v>122.2255</v>
      </c>
      <c r="V35" s="5">
        <v>84</v>
      </c>
      <c r="W35" s="5">
        <v>0.5</v>
      </c>
      <c r="X35" s="5">
        <v>40</v>
      </c>
      <c r="Y35" s="5">
        <v>9</v>
      </c>
      <c r="Z35" s="5">
        <v>122.2255</v>
      </c>
      <c r="AA35" s="5">
        <v>94.450900000000004</v>
      </c>
      <c r="AB35" s="5">
        <v>84</v>
      </c>
      <c r="AC35" s="5">
        <v>0.5</v>
      </c>
      <c r="AD35" s="5">
        <v>60</v>
      </c>
      <c r="AE35" s="5">
        <v>6</v>
      </c>
      <c r="AF35" s="5">
        <v>0</v>
      </c>
      <c r="AG35" s="5">
        <v>94.450900000000004</v>
      </c>
      <c r="AH35" s="5">
        <v>66.675399999999996</v>
      </c>
      <c r="AI35" s="5">
        <v>84</v>
      </c>
      <c r="AJ35" s="5">
        <v>0.5</v>
      </c>
      <c r="AK35" s="5">
        <v>90</v>
      </c>
      <c r="AL35" s="5">
        <v>4</v>
      </c>
      <c r="AM35" s="5">
        <v>0</v>
      </c>
      <c r="AN35" s="5">
        <v>66.676400000000001</v>
      </c>
      <c r="AO35" s="5">
        <v>57.033299999999997</v>
      </c>
      <c r="AP35" s="5">
        <v>29.1875</v>
      </c>
      <c r="AQ35" s="5">
        <v>0.5</v>
      </c>
      <c r="AR35" s="5">
        <v>90</v>
      </c>
      <c r="AS35" s="5">
        <v>4</v>
      </c>
      <c r="AT35" s="5">
        <v>54</v>
      </c>
      <c r="AU35" s="5">
        <v>57.033299999999997</v>
      </c>
      <c r="AV35" s="5">
        <v>54</v>
      </c>
      <c r="AW35" s="5">
        <v>18.8125</v>
      </c>
      <c r="AX35" s="5">
        <v>0.5625</v>
      </c>
      <c r="AY35" s="5">
        <v>36</v>
      </c>
      <c r="AZ35" s="5">
        <v>10</v>
      </c>
      <c r="BA35" s="5">
        <v>108</v>
      </c>
      <c r="BB35" s="5">
        <v>96</v>
      </c>
      <c r="BC35" s="5">
        <v>108</v>
      </c>
      <c r="BD35" s="5">
        <v>96</v>
      </c>
      <c r="BE35" s="5">
        <v>0.5625</v>
      </c>
      <c r="BF35" s="5">
        <v>108</v>
      </c>
      <c r="BG35" s="5">
        <v>96</v>
      </c>
      <c r="BH35" s="5">
        <v>0.5625</v>
      </c>
      <c r="BI35" s="5">
        <v>108</v>
      </c>
      <c r="BJ35" s="5">
        <v>96</v>
      </c>
      <c r="BK35" s="5">
        <v>0.5625</v>
      </c>
      <c r="BL35" s="5">
        <v>108</v>
      </c>
      <c r="BM35" s="5">
        <v>96</v>
      </c>
      <c r="BN35" s="5">
        <v>0.5625</v>
      </c>
      <c r="BO35" s="5">
        <v>108</v>
      </c>
      <c r="BP35" s="5">
        <v>96</v>
      </c>
      <c r="BQ35" s="5">
        <v>0.5625</v>
      </c>
      <c r="BR35" s="5">
        <v>108</v>
      </c>
      <c r="BS35" s="5">
        <v>96</v>
      </c>
      <c r="BT35" s="5">
        <v>0.5625</v>
      </c>
      <c r="BU35" s="5">
        <v>108</v>
      </c>
      <c r="BV35" s="5">
        <v>96</v>
      </c>
      <c r="BW35" s="5">
        <v>0.5625</v>
      </c>
      <c r="BX35" s="5">
        <v>108</v>
      </c>
      <c r="BY35" s="5">
        <v>96</v>
      </c>
      <c r="BZ35" s="5">
        <v>0.5625</v>
      </c>
      <c r="CA35" s="5" t="s">
        <v>470</v>
      </c>
      <c r="CB35" s="5" t="s">
        <v>470</v>
      </c>
      <c r="CC35" s="5"/>
      <c r="CD35" s="5" t="s">
        <v>470</v>
      </c>
      <c r="CE35" s="5" t="s">
        <v>470</v>
      </c>
      <c r="CF35" s="5"/>
      <c r="CG35" s="5" t="s">
        <v>470</v>
      </c>
      <c r="CH35" s="5" t="s">
        <v>470</v>
      </c>
      <c r="CI35" s="5"/>
      <c r="CJ35" s="5" t="s">
        <v>470</v>
      </c>
      <c r="CK35" s="5" t="s">
        <v>470</v>
      </c>
      <c r="CL35" s="5"/>
      <c r="CM35" s="5" t="s">
        <v>470</v>
      </c>
      <c r="CN35" s="5" t="s">
        <v>470</v>
      </c>
      <c r="CO35" s="5"/>
      <c r="CP35" s="5" t="s">
        <v>470</v>
      </c>
      <c r="CQ35" s="5" t="s">
        <v>470</v>
      </c>
      <c r="CR35" s="5"/>
      <c r="CS35" s="5" t="s">
        <v>470</v>
      </c>
      <c r="CT35" s="5" t="s">
        <v>470</v>
      </c>
      <c r="CU35" s="5"/>
      <c r="CV35" s="5" t="s">
        <v>470</v>
      </c>
      <c r="CW35" s="5" t="s">
        <v>470</v>
      </c>
      <c r="CX35" s="5"/>
      <c r="CY35" s="5" t="s">
        <v>470</v>
      </c>
      <c r="CZ35" s="5" t="s">
        <v>470</v>
      </c>
      <c r="DA35" s="5"/>
      <c r="DB35" s="5" t="s">
        <v>470</v>
      </c>
      <c r="DC35" s="5" t="s">
        <v>470</v>
      </c>
      <c r="DD35" s="5"/>
      <c r="DE35" s="5">
        <v>60</v>
      </c>
      <c r="DF35" s="5">
        <v>54</v>
      </c>
      <c r="DG35" s="5">
        <v>71.570400000000006</v>
      </c>
      <c r="DH35" s="5">
        <v>42.4375</v>
      </c>
      <c r="DI35" s="5">
        <v>0.6875</v>
      </c>
      <c r="DJ35" s="5">
        <v>22.5</v>
      </c>
      <c r="DK35" s="5">
        <v>16</v>
      </c>
      <c r="DL35" s="5">
        <v>116.875</v>
      </c>
      <c r="DM35" s="5">
        <v>71.593760000000003</v>
      </c>
      <c r="DN35" s="5">
        <v>43.3125</v>
      </c>
      <c r="DO35" s="5">
        <v>0.5625</v>
      </c>
      <c r="DP35" s="12">
        <v>60</v>
      </c>
      <c r="DQ35" s="5">
        <v>6</v>
      </c>
      <c r="DR35" s="13">
        <v>162.1875</v>
      </c>
      <c r="DS35" s="5">
        <v>116.875</v>
      </c>
      <c r="DT35" s="5">
        <v>45.3125</v>
      </c>
      <c r="DU35" s="5">
        <v>0.5</v>
      </c>
      <c r="DV35" s="5">
        <v>60</v>
      </c>
      <c r="DW35" s="5">
        <v>6</v>
      </c>
      <c r="DX35" s="5">
        <v>207.515625</v>
      </c>
      <c r="DY35" s="5">
        <v>162.1875</v>
      </c>
      <c r="DZ35" s="5">
        <v>45.3125</v>
      </c>
      <c r="EA35" s="5">
        <v>0.4375</v>
      </c>
      <c r="EB35" s="5">
        <v>45</v>
      </c>
      <c r="EC35" s="5">
        <v>8</v>
      </c>
      <c r="ED35" s="5" t="s">
        <v>470</v>
      </c>
      <c r="EE35" s="5" t="s">
        <v>470</v>
      </c>
      <c r="EF35" s="5" t="s">
        <v>470</v>
      </c>
      <c r="EG35" s="5" t="s">
        <v>470</v>
      </c>
      <c r="EH35" s="5" t="s">
        <v>470</v>
      </c>
      <c r="EI35" s="5" t="s">
        <v>470</v>
      </c>
      <c r="EJ35" s="5" t="s">
        <v>470</v>
      </c>
      <c r="EK35" s="5" t="s">
        <v>470</v>
      </c>
      <c r="EL35" s="5" t="s">
        <v>470</v>
      </c>
      <c r="EM35" s="5" t="s">
        <v>470</v>
      </c>
      <c r="EN35" s="5" t="s">
        <v>470</v>
      </c>
      <c r="EO35" s="5" t="s">
        <v>470</v>
      </c>
      <c r="EP35" s="5" t="s">
        <v>470</v>
      </c>
      <c r="EQ35" s="5" t="s">
        <v>470</v>
      </c>
      <c r="ER35" s="5" t="s">
        <v>470</v>
      </c>
      <c r="ES35" s="5" t="s">
        <v>470</v>
      </c>
      <c r="ET35" s="5" t="s">
        <v>470</v>
      </c>
      <c r="EU35" s="5" t="s">
        <v>470</v>
      </c>
      <c r="EV35" s="5" t="s">
        <v>470</v>
      </c>
      <c r="EW35" s="5" t="s">
        <v>470</v>
      </c>
      <c r="EX35" s="5" t="s">
        <v>470</v>
      </c>
      <c r="EY35" s="5">
        <v>0.375</v>
      </c>
      <c r="EZ35" s="5">
        <v>185.84375</v>
      </c>
      <c r="FA35" s="5">
        <v>24</v>
      </c>
      <c r="FB35" s="5">
        <v>15</v>
      </c>
      <c r="FC35" s="5">
        <v>45</v>
      </c>
      <c r="FD35" s="5">
        <v>76</v>
      </c>
      <c r="FE35" s="5">
        <v>43.667000000000002</v>
      </c>
      <c r="FF35" s="5">
        <v>0.25</v>
      </c>
      <c r="FG35" s="5">
        <v>185.875</v>
      </c>
      <c r="FH35" s="5">
        <v>24</v>
      </c>
      <c r="FI35" s="5">
        <v>15</v>
      </c>
      <c r="FJ35" s="5">
        <v>45</v>
      </c>
      <c r="FK35" s="5">
        <v>76</v>
      </c>
      <c r="FL35" s="5">
        <v>43.667000000000002</v>
      </c>
      <c r="FM35" s="5">
        <v>0.25</v>
      </c>
      <c r="FN35" s="5">
        <v>293.34375</v>
      </c>
      <c r="FO35" s="5">
        <v>20</v>
      </c>
      <c r="FP35" s="5">
        <v>18</v>
      </c>
      <c r="FQ35" s="5">
        <v>83.554450000000003</v>
      </c>
      <c r="FR35" s="5">
        <v>0</v>
      </c>
      <c r="FS35" s="5">
        <v>43.667000000000002</v>
      </c>
      <c r="FT35" s="5">
        <v>50</v>
      </c>
      <c r="FU35" s="5">
        <v>21</v>
      </c>
      <c r="FV35" s="5">
        <v>29</v>
      </c>
      <c r="FW35" s="5">
        <v>0.5</v>
      </c>
      <c r="FX35" s="5">
        <v>4</v>
      </c>
      <c r="FY35" s="5">
        <v>46</v>
      </c>
      <c r="FZ35" s="5">
        <v>56</v>
      </c>
      <c r="GA35" s="5">
        <v>1.125</v>
      </c>
      <c r="GB35" s="5">
        <v>120</v>
      </c>
      <c r="GC35" s="5">
        <v>3</v>
      </c>
      <c r="GD35" s="5">
        <v>20</v>
      </c>
      <c r="GE35" s="5">
        <v>24</v>
      </c>
      <c r="GF35" s="5">
        <v>1</v>
      </c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</row>
    <row r="36" spans="1:201" s="1" customFormat="1" ht="15.75" customHeight="1" x14ac:dyDescent="0.25">
      <c r="A36" s="4" t="s">
        <v>503</v>
      </c>
      <c r="B36" s="5" t="s">
        <v>504</v>
      </c>
      <c r="C36" s="5">
        <v>250</v>
      </c>
      <c r="D36" s="5">
        <v>25</v>
      </c>
      <c r="E36" s="6">
        <v>25</v>
      </c>
      <c r="F36" s="5" t="s">
        <v>469</v>
      </c>
      <c r="G36" s="5">
        <v>0</v>
      </c>
      <c r="H36" s="5">
        <f t="shared" si="0"/>
        <v>300</v>
      </c>
      <c r="I36" s="5">
        <f t="shared" si="1"/>
        <v>157</v>
      </c>
      <c r="J36" s="5">
        <f t="shared" si="2"/>
        <v>145</v>
      </c>
      <c r="K36" s="5">
        <v>40</v>
      </c>
      <c r="L36" s="5">
        <v>1</v>
      </c>
      <c r="M36" s="5">
        <v>9</v>
      </c>
      <c r="N36" s="5">
        <v>12</v>
      </c>
      <c r="O36" s="5">
        <v>15</v>
      </c>
      <c r="P36" s="5">
        <v>12</v>
      </c>
      <c r="Q36" s="5">
        <v>24</v>
      </c>
      <c r="R36" s="5" t="s">
        <v>470</v>
      </c>
      <c r="S36" s="5">
        <v>24</v>
      </c>
      <c r="T36" s="5">
        <f>I36-7</f>
        <v>150</v>
      </c>
      <c r="U36" s="5">
        <v>122.2255</v>
      </c>
      <c r="V36" s="5">
        <v>84</v>
      </c>
      <c r="W36" s="5">
        <v>0.5</v>
      </c>
      <c r="X36" s="5">
        <v>40</v>
      </c>
      <c r="Y36" s="5">
        <v>9</v>
      </c>
      <c r="Z36" s="5">
        <v>122.2255</v>
      </c>
      <c r="AA36" s="5">
        <v>94.450900000000004</v>
      </c>
      <c r="AB36" s="5">
        <v>84</v>
      </c>
      <c r="AC36" s="5">
        <v>0.5</v>
      </c>
      <c r="AD36" s="5">
        <v>60</v>
      </c>
      <c r="AE36" s="5">
        <v>6</v>
      </c>
      <c r="AF36" s="5">
        <v>0</v>
      </c>
      <c r="AG36" s="5">
        <v>94.450900000000004</v>
      </c>
      <c r="AH36" s="5">
        <v>66.675399999999996</v>
      </c>
      <c r="AI36" s="5">
        <v>84</v>
      </c>
      <c r="AJ36" s="5">
        <v>0.5</v>
      </c>
      <c r="AK36" s="5">
        <v>90</v>
      </c>
      <c r="AL36" s="5">
        <v>4</v>
      </c>
      <c r="AM36" s="5">
        <v>0</v>
      </c>
      <c r="AN36" s="5">
        <v>66.676400000000001</v>
      </c>
      <c r="AO36" s="5">
        <v>57.033299999999997</v>
      </c>
      <c r="AP36" s="5">
        <v>29.1875</v>
      </c>
      <c r="AQ36" s="5">
        <v>0.5</v>
      </c>
      <c r="AR36" s="5">
        <v>90</v>
      </c>
      <c r="AS36" s="5">
        <v>4</v>
      </c>
      <c r="AT36" s="5">
        <v>54</v>
      </c>
      <c r="AU36" s="5">
        <v>57.033299999999997</v>
      </c>
      <c r="AV36" s="5">
        <v>54</v>
      </c>
      <c r="AW36" s="5">
        <v>18.8125</v>
      </c>
      <c r="AX36" s="5">
        <v>0.5625</v>
      </c>
      <c r="AY36" s="5">
        <v>36</v>
      </c>
      <c r="AZ36" s="5">
        <v>10</v>
      </c>
      <c r="BA36" s="5">
        <v>108</v>
      </c>
      <c r="BB36" s="5">
        <v>96</v>
      </c>
      <c r="BC36" s="5">
        <v>108</v>
      </c>
      <c r="BD36" s="5">
        <v>96</v>
      </c>
      <c r="BE36" s="5">
        <v>0.5625</v>
      </c>
      <c r="BF36" s="5">
        <v>108</v>
      </c>
      <c r="BG36" s="5">
        <v>96</v>
      </c>
      <c r="BH36" s="5">
        <v>0.5625</v>
      </c>
      <c r="BI36" s="5">
        <v>108</v>
      </c>
      <c r="BJ36" s="5">
        <v>96</v>
      </c>
      <c r="BK36" s="5">
        <v>0.5625</v>
      </c>
      <c r="BL36" s="5">
        <v>108</v>
      </c>
      <c r="BM36" s="5">
        <v>96</v>
      </c>
      <c r="BN36" s="5">
        <v>0.5625</v>
      </c>
      <c r="BO36" s="5">
        <v>108</v>
      </c>
      <c r="BP36" s="5">
        <v>96</v>
      </c>
      <c r="BQ36" s="5">
        <v>0.5625</v>
      </c>
      <c r="BR36" s="5">
        <v>108</v>
      </c>
      <c r="BS36" s="5">
        <v>96</v>
      </c>
      <c r="BT36" s="5">
        <v>0.5625</v>
      </c>
      <c r="BU36" s="5">
        <v>108</v>
      </c>
      <c r="BV36" s="5">
        <v>96</v>
      </c>
      <c r="BW36" s="5">
        <v>0.5625</v>
      </c>
      <c r="BX36" s="5">
        <v>108</v>
      </c>
      <c r="BY36" s="5">
        <v>96</v>
      </c>
      <c r="BZ36" s="5">
        <v>0.5625</v>
      </c>
      <c r="CA36" s="5" t="s">
        <v>470</v>
      </c>
      <c r="CB36" s="5" t="s">
        <v>470</v>
      </c>
      <c r="CC36" s="5"/>
      <c r="CD36" s="5" t="s">
        <v>470</v>
      </c>
      <c r="CE36" s="5" t="s">
        <v>470</v>
      </c>
      <c r="CF36" s="5"/>
      <c r="CG36" s="5" t="s">
        <v>470</v>
      </c>
      <c r="CH36" s="5" t="s">
        <v>470</v>
      </c>
      <c r="CI36" s="5"/>
      <c r="CJ36" s="5" t="s">
        <v>470</v>
      </c>
      <c r="CK36" s="5" t="s">
        <v>470</v>
      </c>
      <c r="CL36" s="5"/>
      <c r="CM36" s="5" t="s">
        <v>470</v>
      </c>
      <c r="CN36" s="5" t="s">
        <v>470</v>
      </c>
      <c r="CO36" s="5"/>
      <c r="CP36" s="5" t="s">
        <v>470</v>
      </c>
      <c r="CQ36" s="5" t="s">
        <v>470</v>
      </c>
      <c r="CR36" s="5"/>
      <c r="CS36" s="5" t="s">
        <v>470</v>
      </c>
      <c r="CT36" s="5" t="s">
        <v>470</v>
      </c>
      <c r="CU36" s="5"/>
      <c r="CV36" s="5" t="s">
        <v>470</v>
      </c>
      <c r="CW36" s="5" t="s">
        <v>470</v>
      </c>
      <c r="CX36" s="5"/>
      <c r="CY36" s="5" t="s">
        <v>470</v>
      </c>
      <c r="CZ36" s="5" t="s">
        <v>470</v>
      </c>
      <c r="DA36" s="5"/>
      <c r="DB36" s="5" t="s">
        <v>470</v>
      </c>
      <c r="DC36" s="5" t="s">
        <v>470</v>
      </c>
      <c r="DD36" s="5"/>
      <c r="DE36" s="5">
        <v>60</v>
      </c>
      <c r="DF36" s="5">
        <v>54</v>
      </c>
      <c r="DG36" s="5">
        <v>71.570400000000006</v>
      </c>
      <c r="DH36" s="5">
        <v>42.4375</v>
      </c>
      <c r="DI36" s="5">
        <v>0.6875</v>
      </c>
      <c r="DJ36" s="5">
        <v>22.5</v>
      </c>
      <c r="DK36" s="5">
        <v>16</v>
      </c>
      <c r="DL36" s="5">
        <v>116.875</v>
      </c>
      <c r="DM36" s="5">
        <v>71.593760000000003</v>
      </c>
      <c r="DN36" s="5">
        <v>43.3125</v>
      </c>
      <c r="DO36" s="5">
        <v>0.5625</v>
      </c>
      <c r="DP36" s="12">
        <v>60</v>
      </c>
      <c r="DQ36" s="5">
        <v>6</v>
      </c>
      <c r="DR36" s="13">
        <v>162.1875</v>
      </c>
      <c r="DS36" s="5">
        <v>116.875</v>
      </c>
      <c r="DT36" s="5">
        <v>45.3125</v>
      </c>
      <c r="DU36" s="5">
        <v>0.5</v>
      </c>
      <c r="DV36" s="5">
        <v>60</v>
      </c>
      <c r="DW36" s="5">
        <v>6</v>
      </c>
      <c r="DX36" s="5">
        <v>207.515625</v>
      </c>
      <c r="DY36" s="5">
        <v>162.1875</v>
      </c>
      <c r="DZ36" s="5">
        <v>45.3125</v>
      </c>
      <c r="EA36" s="5">
        <v>0.4375</v>
      </c>
      <c r="EB36" s="5">
        <v>45</v>
      </c>
      <c r="EC36" s="5">
        <v>8</v>
      </c>
      <c r="ED36" s="5" t="s">
        <v>470</v>
      </c>
      <c r="EE36" s="5" t="s">
        <v>470</v>
      </c>
      <c r="EF36" s="5" t="s">
        <v>470</v>
      </c>
      <c r="EG36" s="5" t="s">
        <v>470</v>
      </c>
      <c r="EH36" s="5" t="s">
        <v>470</v>
      </c>
      <c r="EI36" s="5" t="s">
        <v>470</v>
      </c>
      <c r="EJ36" s="5" t="s">
        <v>470</v>
      </c>
      <c r="EK36" s="5" t="s">
        <v>470</v>
      </c>
      <c r="EL36" s="5" t="s">
        <v>470</v>
      </c>
      <c r="EM36" s="5" t="s">
        <v>470</v>
      </c>
      <c r="EN36" s="5" t="s">
        <v>470</v>
      </c>
      <c r="EO36" s="5" t="s">
        <v>470</v>
      </c>
      <c r="EP36" s="5" t="s">
        <v>470</v>
      </c>
      <c r="EQ36" s="5" t="s">
        <v>470</v>
      </c>
      <c r="ER36" s="5" t="s">
        <v>470</v>
      </c>
      <c r="ES36" s="5" t="s">
        <v>470</v>
      </c>
      <c r="ET36" s="5" t="s">
        <v>470</v>
      </c>
      <c r="EU36" s="5" t="s">
        <v>470</v>
      </c>
      <c r="EV36" s="5" t="s">
        <v>470</v>
      </c>
      <c r="EW36" s="5" t="s">
        <v>470</v>
      </c>
      <c r="EX36" s="5" t="s">
        <v>470</v>
      </c>
      <c r="EY36" s="5">
        <v>0.375</v>
      </c>
      <c r="EZ36" s="5">
        <v>185.84375</v>
      </c>
      <c r="FA36" s="5">
        <v>24</v>
      </c>
      <c r="FB36" s="5">
        <v>15</v>
      </c>
      <c r="FC36" s="5">
        <v>45</v>
      </c>
      <c r="FD36" s="5">
        <v>76</v>
      </c>
      <c r="FE36" s="5">
        <v>43.667000000000002</v>
      </c>
      <c r="FF36" s="5">
        <v>0.25</v>
      </c>
      <c r="FG36" s="5">
        <v>185.875</v>
      </c>
      <c r="FH36" s="5">
        <v>24</v>
      </c>
      <c r="FI36" s="5">
        <v>15</v>
      </c>
      <c r="FJ36" s="5">
        <v>45</v>
      </c>
      <c r="FK36" s="5">
        <v>76</v>
      </c>
      <c r="FL36" s="5">
        <v>43.667000000000002</v>
      </c>
      <c r="FM36" s="5">
        <v>0.25</v>
      </c>
      <c r="FN36" s="5">
        <v>293.34375</v>
      </c>
      <c r="FO36" s="5">
        <v>20</v>
      </c>
      <c r="FP36" s="5">
        <v>18</v>
      </c>
      <c r="FQ36" s="5">
        <v>83.554450000000003</v>
      </c>
      <c r="FR36" s="5">
        <v>0</v>
      </c>
      <c r="FS36" s="5">
        <v>43.667000000000002</v>
      </c>
      <c r="FT36" s="5">
        <v>50</v>
      </c>
      <c r="FU36" s="5">
        <v>21</v>
      </c>
      <c r="FV36" s="5">
        <v>29</v>
      </c>
      <c r="FW36" s="5">
        <v>0.5</v>
      </c>
      <c r="FX36" s="5">
        <v>4</v>
      </c>
      <c r="FY36" s="5">
        <v>46</v>
      </c>
      <c r="FZ36" s="5">
        <v>56</v>
      </c>
      <c r="GA36" s="5">
        <v>1.125</v>
      </c>
      <c r="GB36" s="5">
        <v>120</v>
      </c>
      <c r="GC36" s="5">
        <v>3</v>
      </c>
      <c r="GD36" s="5">
        <v>20</v>
      </c>
      <c r="GE36" s="5">
        <v>24</v>
      </c>
      <c r="GF36" s="5">
        <v>1</v>
      </c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</row>
    <row r="37" spans="1:201" s="1" customFormat="1" ht="15.75" customHeight="1" x14ac:dyDescent="0.25">
      <c r="A37" s="4" t="s">
        <v>505</v>
      </c>
      <c r="B37" s="5"/>
      <c r="C37" s="5">
        <v>250</v>
      </c>
      <c r="D37" s="5">
        <v>28</v>
      </c>
      <c r="E37" s="6">
        <v>25</v>
      </c>
      <c r="F37" s="5" t="s">
        <v>469</v>
      </c>
      <c r="G37" s="5">
        <v>0</v>
      </c>
      <c r="H37" s="5">
        <f t="shared" si="0"/>
        <v>336</v>
      </c>
      <c r="I37" s="5">
        <f t="shared" si="1"/>
        <v>175</v>
      </c>
      <c r="J37" s="5">
        <f t="shared" si="2"/>
        <v>163</v>
      </c>
      <c r="K37" s="5">
        <v>40</v>
      </c>
      <c r="L37" s="5">
        <v>1.125</v>
      </c>
      <c r="M37" s="5">
        <v>9</v>
      </c>
      <c r="N37" s="5"/>
      <c r="O37" s="5"/>
      <c r="P37" s="5"/>
      <c r="Q37" s="5"/>
      <c r="R37" s="5" t="s">
        <v>470</v>
      </c>
      <c r="S37" s="5"/>
      <c r="T37" s="5">
        <f t="shared" si="3"/>
        <v>168</v>
      </c>
      <c r="U37" s="5">
        <v>134.81735</v>
      </c>
      <c r="V37" s="5">
        <v>84</v>
      </c>
      <c r="W37" s="5">
        <v>0.4375</v>
      </c>
      <c r="X37" s="5">
        <v>40</v>
      </c>
      <c r="Y37" s="5">
        <v>9</v>
      </c>
      <c r="Z37" s="5">
        <v>134.81735</v>
      </c>
      <c r="AA37" s="5">
        <v>101.6347</v>
      </c>
      <c r="AB37" s="5">
        <v>84</v>
      </c>
      <c r="AC37" s="5">
        <v>0.5</v>
      </c>
      <c r="AD37" s="5">
        <v>45</v>
      </c>
      <c r="AE37" s="5">
        <v>8</v>
      </c>
      <c r="AF37" s="5">
        <v>0</v>
      </c>
      <c r="AG37" s="5">
        <v>101.6347</v>
      </c>
      <c r="AH37" s="5">
        <v>68.45205</v>
      </c>
      <c r="AI37" s="5">
        <v>84</v>
      </c>
      <c r="AJ37" s="5">
        <v>0.5625</v>
      </c>
      <c r="AK37" s="5">
        <v>60</v>
      </c>
      <c r="AL37" s="5">
        <v>6</v>
      </c>
      <c r="AM37" s="5">
        <v>0</v>
      </c>
      <c r="AN37" s="5">
        <v>68.45205</v>
      </c>
      <c r="AO37" s="5">
        <v>58.205950000000001</v>
      </c>
      <c r="AP37" s="5">
        <v>25.9375</v>
      </c>
      <c r="AQ37" s="5">
        <v>0.6825</v>
      </c>
      <c r="AR37" s="5">
        <v>90</v>
      </c>
      <c r="AS37" s="5">
        <v>4</v>
      </c>
      <c r="AT37" s="5">
        <v>54</v>
      </c>
      <c r="AU37" s="5">
        <v>58.205950000000001</v>
      </c>
      <c r="AV37" s="5">
        <v>54</v>
      </c>
      <c r="AW37" s="5">
        <v>22.0625</v>
      </c>
      <c r="AX37" s="5">
        <v>0.6875</v>
      </c>
      <c r="AY37" s="5">
        <v>36</v>
      </c>
      <c r="AZ37" s="5">
        <v>10</v>
      </c>
      <c r="BA37" s="5">
        <v>108</v>
      </c>
      <c r="BB37" s="5">
        <v>96</v>
      </c>
      <c r="BC37" s="5">
        <v>108</v>
      </c>
      <c r="BD37" s="5">
        <v>96</v>
      </c>
      <c r="BE37" s="5">
        <v>0.5625</v>
      </c>
      <c r="BF37" s="5">
        <v>108</v>
      </c>
      <c r="BG37" s="5">
        <v>96</v>
      </c>
      <c r="BH37" s="5">
        <v>0.5625</v>
      </c>
      <c r="BI37" s="5">
        <v>108</v>
      </c>
      <c r="BJ37" s="5">
        <v>96</v>
      </c>
      <c r="BK37" s="5">
        <v>0.5625</v>
      </c>
      <c r="BL37" s="5">
        <v>108</v>
      </c>
      <c r="BM37" s="5">
        <v>96</v>
      </c>
      <c r="BN37" s="5">
        <v>0.5625</v>
      </c>
      <c r="BO37" s="5">
        <v>108</v>
      </c>
      <c r="BP37" s="5">
        <v>96</v>
      </c>
      <c r="BQ37" s="5">
        <v>0.5625</v>
      </c>
      <c r="BR37" s="5">
        <v>108</v>
      </c>
      <c r="BS37" s="5">
        <v>96</v>
      </c>
      <c r="BT37" s="5">
        <v>0.5625</v>
      </c>
      <c r="BU37" s="5">
        <v>108</v>
      </c>
      <c r="BV37" s="5">
        <v>96</v>
      </c>
      <c r="BW37" s="5">
        <v>0.5625</v>
      </c>
      <c r="BX37" s="5">
        <v>108</v>
      </c>
      <c r="BY37" s="5">
        <v>96</v>
      </c>
      <c r="BZ37" s="5">
        <v>0.5625</v>
      </c>
      <c r="CA37" s="5" t="s">
        <v>470</v>
      </c>
      <c r="CB37" s="5" t="s">
        <v>470</v>
      </c>
      <c r="CC37" s="5"/>
      <c r="CD37" s="5" t="s">
        <v>470</v>
      </c>
      <c r="CE37" s="5" t="s">
        <v>470</v>
      </c>
      <c r="CF37" s="5"/>
      <c r="CG37" s="5" t="s">
        <v>470</v>
      </c>
      <c r="CH37" s="5" t="s">
        <v>470</v>
      </c>
      <c r="CI37" s="5"/>
      <c r="CJ37" s="5" t="s">
        <v>470</v>
      </c>
      <c r="CK37" s="5" t="s">
        <v>470</v>
      </c>
      <c r="CL37" s="5"/>
      <c r="CM37" s="5" t="s">
        <v>470</v>
      </c>
      <c r="CN37" s="5" t="s">
        <v>470</v>
      </c>
      <c r="CO37" s="5"/>
      <c r="CP37" s="5" t="s">
        <v>470</v>
      </c>
      <c r="CQ37" s="5" t="s">
        <v>470</v>
      </c>
      <c r="CR37" s="5"/>
      <c r="CS37" s="5" t="s">
        <v>470</v>
      </c>
      <c r="CT37" s="5" t="s">
        <v>470</v>
      </c>
      <c r="CU37" s="5"/>
      <c r="CV37" s="5" t="s">
        <v>470</v>
      </c>
      <c r="CW37" s="5" t="s">
        <v>470</v>
      </c>
      <c r="CX37" s="5"/>
      <c r="CY37" s="5" t="s">
        <v>470</v>
      </c>
      <c r="CZ37" s="5" t="s">
        <v>470</v>
      </c>
      <c r="DA37" s="5"/>
      <c r="DB37" s="5" t="s">
        <v>470</v>
      </c>
      <c r="DC37" s="5" t="s">
        <v>470</v>
      </c>
      <c r="DD37" s="5"/>
      <c r="DE37" s="5">
        <v>60</v>
      </c>
      <c r="DF37" s="5">
        <v>54</v>
      </c>
      <c r="DG37" s="5">
        <v>71.570400000000006</v>
      </c>
      <c r="DH37" s="5">
        <v>42.4375</v>
      </c>
      <c r="DI37" s="5">
        <v>0.6875</v>
      </c>
      <c r="DJ37" s="5">
        <v>22.5</v>
      </c>
      <c r="DK37" s="5">
        <v>16</v>
      </c>
      <c r="DL37" s="5">
        <v>116.875</v>
      </c>
      <c r="DM37" s="5">
        <v>71.593760000000003</v>
      </c>
      <c r="DN37" s="5">
        <v>43.3125</v>
      </c>
      <c r="DO37" s="5">
        <v>0.5625</v>
      </c>
      <c r="DP37" s="12">
        <v>60</v>
      </c>
      <c r="DQ37" s="5">
        <v>6</v>
      </c>
      <c r="DR37" s="13">
        <v>162.1875</v>
      </c>
      <c r="DS37" s="5">
        <v>116.875</v>
      </c>
      <c r="DT37" s="5">
        <v>45.3125</v>
      </c>
      <c r="DU37" s="5">
        <v>0.5</v>
      </c>
      <c r="DV37" s="5">
        <v>60</v>
      </c>
      <c r="DW37" s="5">
        <v>6</v>
      </c>
      <c r="DX37" s="5">
        <v>207.515625</v>
      </c>
      <c r="DY37" s="5">
        <v>162.1875</v>
      </c>
      <c r="DZ37" s="5">
        <v>45.3125</v>
      </c>
      <c r="EA37" s="5">
        <v>0.4375</v>
      </c>
      <c r="EB37" s="5">
        <v>45</v>
      </c>
      <c r="EC37" s="5">
        <v>8</v>
      </c>
      <c r="ED37" s="5" t="s">
        <v>470</v>
      </c>
      <c r="EE37" s="5" t="s">
        <v>470</v>
      </c>
      <c r="EF37" s="5" t="s">
        <v>470</v>
      </c>
      <c r="EG37" s="5" t="s">
        <v>470</v>
      </c>
      <c r="EH37" s="5" t="s">
        <v>470</v>
      </c>
      <c r="EI37" s="5" t="s">
        <v>470</v>
      </c>
      <c r="EJ37" s="5" t="s">
        <v>470</v>
      </c>
      <c r="EK37" s="5" t="s">
        <v>470</v>
      </c>
      <c r="EL37" s="5" t="s">
        <v>470</v>
      </c>
      <c r="EM37" s="5" t="s">
        <v>470</v>
      </c>
      <c r="EN37" s="5" t="s">
        <v>470</v>
      </c>
      <c r="EO37" s="5" t="s">
        <v>470</v>
      </c>
      <c r="EP37" s="5" t="s">
        <v>470</v>
      </c>
      <c r="EQ37" s="5" t="s">
        <v>470</v>
      </c>
      <c r="ER37" s="5" t="s">
        <v>470</v>
      </c>
      <c r="ES37" s="5" t="s">
        <v>470</v>
      </c>
      <c r="ET37" s="5" t="s">
        <v>470</v>
      </c>
      <c r="EU37" s="5" t="s">
        <v>470</v>
      </c>
      <c r="EV37" s="5" t="s">
        <v>470</v>
      </c>
      <c r="EW37" s="5" t="s">
        <v>470</v>
      </c>
      <c r="EX37" s="5" t="s">
        <v>470</v>
      </c>
      <c r="EY37" s="5">
        <v>0.375</v>
      </c>
      <c r="EZ37" s="5">
        <v>185.84375</v>
      </c>
      <c r="FA37" s="5">
        <v>24</v>
      </c>
      <c r="FB37" s="5">
        <v>15</v>
      </c>
      <c r="FC37" s="5">
        <v>45</v>
      </c>
      <c r="FD37" s="5">
        <v>76</v>
      </c>
      <c r="FE37" s="5">
        <v>43.667000000000002</v>
      </c>
      <c r="FF37" s="5">
        <v>0.25</v>
      </c>
      <c r="FG37" s="5">
        <v>185.875</v>
      </c>
      <c r="FH37" s="5">
        <v>24</v>
      </c>
      <c r="FI37" s="5">
        <v>15</v>
      </c>
      <c r="FJ37" s="5">
        <v>45</v>
      </c>
      <c r="FK37" s="5">
        <v>76</v>
      </c>
      <c r="FL37" s="5">
        <v>43.667000000000002</v>
      </c>
      <c r="FM37" s="5">
        <v>0.25</v>
      </c>
      <c r="FN37" s="5">
        <v>293.34375</v>
      </c>
      <c r="FO37" s="5">
        <v>20</v>
      </c>
      <c r="FP37" s="5">
        <v>18</v>
      </c>
      <c r="FQ37" s="5">
        <v>83.554450000000003</v>
      </c>
      <c r="FR37" s="5">
        <v>0</v>
      </c>
      <c r="FS37" s="5">
        <v>43.667000000000002</v>
      </c>
      <c r="FT37" s="5">
        <v>50</v>
      </c>
      <c r="FU37" s="5">
        <v>21</v>
      </c>
      <c r="FV37" s="5">
        <v>29</v>
      </c>
      <c r="FW37" s="5">
        <v>0.5</v>
      </c>
      <c r="FX37" s="5">
        <v>4</v>
      </c>
      <c r="FY37" s="5">
        <v>46</v>
      </c>
      <c r="FZ37" s="5">
        <v>56</v>
      </c>
      <c r="GA37" s="5">
        <v>1.125</v>
      </c>
      <c r="GB37" s="5">
        <v>120</v>
      </c>
      <c r="GC37" s="5">
        <v>3</v>
      </c>
      <c r="GD37" s="5">
        <v>23</v>
      </c>
      <c r="GE37" s="5">
        <v>27</v>
      </c>
      <c r="GF37" s="5">
        <v>1</v>
      </c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</row>
    <row r="38" spans="1:201" s="1" customFormat="1" ht="15.75" customHeight="1" x14ac:dyDescent="0.25">
      <c r="A38" s="4" t="s">
        <v>506</v>
      </c>
      <c r="B38" s="5"/>
      <c r="C38" s="5">
        <v>250</v>
      </c>
      <c r="D38" s="5">
        <v>30</v>
      </c>
      <c r="E38" s="6">
        <v>25</v>
      </c>
      <c r="F38" s="5" t="s">
        <v>469</v>
      </c>
      <c r="G38" s="5">
        <v>0</v>
      </c>
      <c r="H38" s="5">
        <f t="shared" si="0"/>
        <v>360</v>
      </c>
      <c r="I38" s="5">
        <f t="shared" ref="I38:I68" si="4">D38*12/2+7</f>
        <v>187</v>
      </c>
      <c r="J38" s="5">
        <f t="shared" si="2"/>
        <v>175</v>
      </c>
      <c r="K38" s="5">
        <v>30</v>
      </c>
      <c r="L38" s="5">
        <v>1.0625</v>
      </c>
      <c r="M38" s="5">
        <v>12</v>
      </c>
      <c r="N38" s="5"/>
      <c r="O38" s="5"/>
      <c r="P38" s="5"/>
      <c r="Q38" s="5"/>
      <c r="R38" s="5" t="s">
        <v>470</v>
      </c>
      <c r="S38" s="5"/>
      <c r="T38" s="5">
        <f t="shared" ref="T38:T68" si="5">I38-7</f>
        <v>180</v>
      </c>
      <c r="U38" s="5">
        <v>143.18340000000001</v>
      </c>
      <c r="V38" s="5">
        <v>84</v>
      </c>
      <c r="W38" s="5">
        <v>0.5</v>
      </c>
      <c r="X38" s="5">
        <v>30</v>
      </c>
      <c r="Y38" s="5">
        <v>12</v>
      </c>
      <c r="Z38" s="5">
        <v>143.18340000000001</v>
      </c>
      <c r="AA38" s="5">
        <v>106.3668</v>
      </c>
      <c r="AB38" s="5">
        <v>84</v>
      </c>
      <c r="AC38" s="5">
        <v>0.5</v>
      </c>
      <c r="AD38" s="5">
        <v>36</v>
      </c>
      <c r="AE38" s="5">
        <v>10</v>
      </c>
      <c r="AF38" s="5">
        <v>0</v>
      </c>
      <c r="AG38" s="5">
        <v>106.3668</v>
      </c>
      <c r="AH38" s="5">
        <v>69.550200000000004</v>
      </c>
      <c r="AI38" s="5">
        <v>84</v>
      </c>
      <c r="AJ38" s="5">
        <v>0.625</v>
      </c>
      <c r="AK38" s="5">
        <v>45</v>
      </c>
      <c r="AL38" s="5">
        <v>8</v>
      </c>
      <c r="AM38" s="5">
        <v>0</v>
      </c>
      <c r="AN38" s="5">
        <v>69.550200000000004</v>
      </c>
      <c r="AO38" s="5">
        <v>59.048200000000001</v>
      </c>
      <c r="AP38" s="5">
        <v>23.910599999999999</v>
      </c>
      <c r="AQ38" s="5">
        <v>0.75</v>
      </c>
      <c r="AR38" s="5">
        <v>60</v>
      </c>
      <c r="AS38" s="5">
        <v>6</v>
      </c>
      <c r="AT38" s="5">
        <v>54</v>
      </c>
      <c r="AU38" s="5">
        <v>59.048499999999997</v>
      </c>
      <c r="AV38" s="5">
        <v>54</v>
      </c>
      <c r="AW38" s="5">
        <v>24.089400000000001</v>
      </c>
      <c r="AX38" s="5">
        <v>0.75</v>
      </c>
      <c r="AY38" s="5">
        <v>36</v>
      </c>
      <c r="AZ38" s="5">
        <v>10</v>
      </c>
      <c r="BA38" s="5">
        <v>108</v>
      </c>
      <c r="BB38" s="5">
        <v>96</v>
      </c>
      <c r="BC38" s="5">
        <v>108</v>
      </c>
      <c r="BD38" s="5">
        <v>96</v>
      </c>
      <c r="BE38" s="5">
        <v>0.5625</v>
      </c>
      <c r="BF38" s="5">
        <v>108</v>
      </c>
      <c r="BG38" s="5">
        <v>96</v>
      </c>
      <c r="BH38" s="5">
        <v>0.5625</v>
      </c>
      <c r="BI38" s="5">
        <v>108</v>
      </c>
      <c r="BJ38" s="5">
        <v>96</v>
      </c>
      <c r="BK38" s="5">
        <v>0.5625</v>
      </c>
      <c r="BL38" s="5">
        <v>108</v>
      </c>
      <c r="BM38" s="5">
        <v>96</v>
      </c>
      <c r="BN38" s="5">
        <v>0.5625</v>
      </c>
      <c r="BO38" s="5">
        <v>108</v>
      </c>
      <c r="BP38" s="5">
        <v>96</v>
      </c>
      <c r="BQ38" s="5">
        <v>0.5625</v>
      </c>
      <c r="BR38" s="5">
        <v>108</v>
      </c>
      <c r="BS38" s="5">
        <v>96</v>
      </c>
      <c r="BT38" s="5">
        <v>0.5625</v>
      </c>
      <c r="BU38" s="5">
        <v>108</v>
      </c>
      <c r="BV38" s="5">
        <v>96</v>
      </c>
      <c r="BW38" s="5">
        <v>0.5625</v>
      </c>
      <c r="BX38" s="5">
        <v>108</v>
      </c>
      <c r="BY38" s="5">
        <v>96</v>
      </c>
      <c r="BZ38" s="5">
        <v>0.5625</v>
      </c>
      <c r="CA38" s="5" t="s">
        <v>470</v>
      </c>
      <c r="CB38" s="5" t="s">
        <v>470</v>
      </c>
      <c r="CC38" s="5"/>
      <c r="CD38" s="5" t="s">
        <v>470</v>
      </c>
      <c r="CE38" s="5" t="s">
        <v>470</v>
      </c>
      <c r="CF38" s="5"/>
      <c r="CG38" s="5" t="s">
        <v>470</v>
      </c>
      <c r="CH38" s="5" t="s">
        <v>470</v>
      </c>
      <c r="CI38" s="5"/>
      <c r="CJ38" s="5" t="s">
        <v>470</v>
      </c>
      <c r="CK38" s="5" t="s">
        <v>470</v>
      </c>
      <c r="CL38" s="5"/>
      <c r="CM38" s="5" t="s">
        <v>470</v>
      </c>
      <c r="CN38" s="5" t="s">
        <v>470</v>
      </c>
      <c r="CO38" s="5"/>
      <c r="CP38" s="5" t="s">
        <v>470</v>
      </c>
      <c r="CQ38" s="5" t="s">
        <v>470</v>
      </c>
      <c r="CR38" s="5"/>
      <c r="CS38" s="5" t="s">
        <v>470</v>
      </c>
      <c r="CT38" s="5" t="s">
        <v>470</v>
      </c>
      <c r="CU38" s="5"/>
      <c r="CV38" s="5" t="s">
        <v>470</v>
      </c>
      <c r="CW38" s="5" t="s">
        <v>470</v>
      </c>
      <c r="CX38" s="5"/>
      <c r="CY38" s="5" t="s">
        <v>470</v>
      </c>
      <c r="CZ38" s="5" t="s">
        <v>470</v>
      </c>
      <c r="DA38" s="5"/>
      <c r="DB38" s="5" t="s">
        <v>470</v>
      </c>
      <c r="DC38" s="5" t="s">
        <v>470</v>
      </c>
      <c r="DD38" s="5"/>
      <c r="DE38" s="5">
        <v>60</v>
      </c>
      <c r="DF38" s="5">
        <v>54</v>
      </c>
      <c r="DG38" s="5">
        <v>71.570400000000006</v>
      </c>
      <c r="DH38" s="5">
        <v>42.4375</v>
      </c>
      <c r="DI38" s="5">
        <v>0.6875</v>
      </c>
      <c r="DJ38" s="5">
        <v>22.5</v>
      </c>
      <c r="DK38" s="5">
        <v>16</v>
      </c>
      <c r="DL38" s="5">
        <v>116.875</v>
      </c>
      <c r="DM38" s="5">
        <v>71.593760000000003</v>
      </c>
      <c r="DN38" s="5">
        <v>43.3125</v>
      </c>
      <c r="DO38" s="5">
        <v>0.5625</v>
      </c>
      <c r="DP38" s="12">
        <v>60</v>
      </c>
      <c r="DQ38" s="5">
        <v>6</v>
      </c>
      <c r="DR38" s="13">
        <v>162.1875</v>
      </c>
      <c r="DS38" s="5">
        <v>116.875</v>
      </c>
      <c r="DT38" s="5">
        <v>45.3125</v>
      </c>
      <c r="DU38" s="5">
        <v>0.5</v>
      </c>
      <c r="DV38" s="5">
        <v>60</v>
      </c>
      <c r="DW38" s="5">
        <v>6</v>
      </c>
      <c r="DX38" s="5">
        <v>207.515625</v>
      </c>
      <c r="DY38" s="5">
        <v>162.1875</v>
      </c>
      <c r="DZ38" s="5">
        <v>45.3125</v>
      </c>
      <c r="EA38" s="5">
        <v>0.4375</v>
      </c>
      <c r="EB38" s="5">
        <v>45</v>
      </c>
      <c r="EC38" s="5">
        <v>8</v>
      </c>
      <c r="ED38" s="5" t="s">
        <v>470</v>
      </c>
      <c r="EE38" s="5" t="s">
        <v>470</v>
      </c>
      <c r="EF38" s="5" t="s">
        <v>470</v>
      </c>
      <c r="EG38" s="5" t="s">
        <v>470</v>
      </c>
      <c r="EH38" s="5" t="s">
        <v>470</v>
      </c>
      <c r="EI38" s="5" t="s">
        <v>470</v>
      </c>
      <c r="EJ38" s="5" t="s">
        <v>470</v>
      </c>
      <c r="EK38" s="5" t="s">
        <v>470</v>
      </c>
      <c r="EL38" s="5" t="s">
        <v>470</v>
      </c>
      <c r="EM38" s="5" t="s">
        <v>470</v>
      </c>
      <c r="EN38" s="5" t="s">
        <v>470</v>
      </c>
      <c r="EO38" s="5" t="s">
        <v>470</v>
      </c>
      <c r="EP38" s="5" t="s">
        <v>470</v>
      </c>
      <c r="EQ38" s="5" t="s">
        <v>470</v>
      </c>
      <c r="ER38" s="5" t="s">
        <v>470</v>
      </c>
      <c r="ES38" s="5" t="s">
        <v>470</v>
      </c>
      <c r="ET38" s="5" t="s">
        <v>470</v>
      </c>
      <c r="EU38" s="5" t="s">
        <v>470</v>
      </c>
      <c r="EV38" s="5" t="s">
        <v>470</v>
      </c>
      <c r="EW38" s="5" t="s">
        <v>470</v>
      </c>
      <c r="EX38" s="5" t="s">
        <v>470</v>
      </c>
      <c r="EY38" s="5">
        <v>0.375</v>
      </c>
      <c r="EZ38" s="5">
        <v>185.84375</v>
      </c>
      <c r="FA38" s="5">
        <v>24</v>
      </c>
      <c r="FB38" s="5">
        <v>15</v>
      </c>
      <c r="FC38" s="5">
        <v>45</v>
      </c>
      <c r="FD38" s="5">
        <v>76</v>
      </c>
      <c r="FE38" s="5">
        <v>43.667000000000002</v>
      </c>
      <c r="FF38" s="5">
        <v>0.25</v>
      </c>
      <c r="FG38" s="5">
        <v>185.875</v>
      </c>
      <c r="FH38" s="5">
        <v>24</v>
      </c>
      <c r="FI38" s="5">
        <v>15</v>
      </c>
      <c r="FJ38" s="5">
        <v>45</v>
      </c>
      <c r="FK38" s="5">
        <v>76</v>
      </c>
      <c r="FL38" s="5">
        <v>43.667000000000002</v>
      </c>
      <c r="FM38" s="5">
        <v>0.25</v>
      </c>
      <c r="FN38" s="5">
        <v>293.34375</v>
      </c>
      <c r="FO38" s="5">
        <v>20</v>
      </c>
      <c r="FP38" s="5">
        <v>18</v>
      </c>
      <c r="FQ38" s="5">
        <v>83.554450000000003</v>
      </c>
      <c r="FR38" s="5">
        <v>0</v>
      </c>
      <c r="FS38" s="5">
        <v>43.667000000000002</v>
      </c>
      <c r="FT38" s="5">
        <v>50</v>
      </c>
      <c r="FU38" s="5">
        <v>21</v>
      </c>
      <c r="FV38" s="5">
        <v>29</v>
      </c>
      <c r="FW38" s="5">
        <v>0.5</v>
      </c>
      <c r="FX38" s="5">
        <v>4</v>
      </c>
      <c r="FY38" s="5">
        <v>46</v>
      </c>
      <c r="FZ38" s="5">
        <v>56</v>
      </c>
      <c r="GA38" s="5">
        <v>1.125</v>
      </c>
      <c r="GB38" s="5">
        <v>120</v>
      </c>
      <c r="GC38" s="5">
        <v>3</v>
      </c>
      <c r="GD38" s="5">
        <v>23</v>
      </c>
      <c r="GE38" s="5">
        <v>27</v>
      </c>
      <c r="GF38" s="5">
        <v>1</v>
      </c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</row>
    <row r="39" spans="1:201" s="1" customFormat="1" ht="15.75" customHeight="1" x14ac:dyDescent="0.25">
      <c r="A39" s="4" t="s">
        <v>507</v>
      </c>
      <c r="B39" s="5"/>
      <c r="C39" s="5">
        <v>250</v>
      </c>
      <c r="D39" s="5">
        <v>30</v>
      </c>
      <c r="E39" s="6">
        <v>30</v>
      </c>
      <c r="F39" s="5" t="s">
        <v>469</v>
      </c>
      <c r="G39" s="5">
        <v>0</v>
      </c>
      <c r="H39" s="5">
        <f t="shared" si="0"/>
        <v>360</v>
      </c>
      <c r="I39" s="5">
        <f t="shared" si="4"/>
        <v>187</v>
      </c>
      <c r="J39" s="5">
        <f t="shared" si="2"/>
        <v>175</v>
      </c>
      <c r="K39" s="5">
        <v>30</v>
      </c>
      <c r="L39" s="5">
        <v>1.125</v>
      </c>
      <c r="M39" s="5">
        <v>12</v>
      </c>
      <c r="N39" s="5"/>
      <c r="O39" s="5"/>
      <c r="P39" s="5"/>
      <c r="Q39" s="5"/>
      <c r="R39" s="5" t="s">
        <v>470</v>
      </c>
      <c r="S39" s="5"/>
      <c r="T39" s="5">
        <f t="shared" si="5"/>
        <v>180</v>
      </c>
      <c r="U39" s="5">
        <v>149.71809999999999</v>
      </c>
      <c r="V39" s="5">
        <v>84</v>
      </c>
      <c r="W39" s="5">
        <v>0.5</v>
      </c>
      <c r="X39" s="5">
        <v>30</v>
      </c>
      <c r="Y39" s="5">
        <v>12</v>
      </c>
      <c r="Z39" s="5">
        <v>149.71809999999999</v>
      </c>
      <c r="AA39" s="5">
        <v>119.4361</v>
      </c>
      <c r="AB39" s="5">
        <v>84</v>
      </c>
      <c r="AC39" s="5">
        <v>0.5</v>
      </c>
      <c r="AD39" s="5">
        <v>36</v>
      </c>
      <c r="AE39" s="5">
        <v>10</v>
      </c>
      <c r="AF39" s="5">
        <v>0</v>
      </c>
      <c r="AG39" s="5">
        <v>119.4361</v>
      </c>
      <c r="AH39" s="5">
        <v>89.154200000000003</v>
      </c>
      <c r="AI39" s="5">
        <v>84</v>
      </c>
      <c r="AJ39" s="5">
        <v>0.625</v>
      </c>
      <c r="AK39" s="5">
        <v>45</v>
      </c>
      <c r="AL39" s="5">
        <v>8</v>
      </c>
      <c r="AM39" s="5">
        <v>0</v>
      </c>
      <c r="AN39" s="5">
        <v>89.154200000000003</v>
      </c>
      <c r="AO39" s="5">
        <v>57.555700000000002</v>
      </c>
      <c r="AP39" s="5">
        <v>87.625</v>
      </c>
      <c r="AQ39" s="5">
        <v>0.75</v>
      </c>
      <c r="AR39" s="5">
        <v>60</v>
      </c>
      <c r="AS39" s="5">
        <v>6</v>
      </c>
      <c r="AT39" s="5">
        <v>54</v>
      </c>
      <c r="AU39" s="5">
        <v>57.555700000000002</v>
      </c>
      <c r="AV39" s="5">
        <v>54</v>
      </c>
      <c r="AW39" s="5">
        <v>20.375</v>
      </c>
      <c r="AX39" s="5">
        <v>0.9375</v>
      </c>
      <c r="AY39" s="5">
        <v>36</v>
      </c>
      <c r="AZ39" s="5">
        <v>10</v>
      </c>
      <c r="BA39" s="5">
        <v>108</v>
      </c>
      <c r="BB39" s="5">
        <v>96</v>
      </c>
      <c r="BC39" s="5">
        <v>108</v>
      </c>
      <c r="BD39" s="5">
        <v>96</v>
      </c>
      <c r="BE39" s="5">
        <v>0.5625</v>
      </c>
      <c r="BF39" s="5">
        <v>108</v>
      </c>
      <c r="BG39" s="5">
        <v>96</v>
      </c>
      <c r="BH39" s="5">
        <v>0.5625</v>
      </c>
      <c r="BI39" s="5">
        <v>108</v>
      </c>
      <c r="BJ39" s="5">
        <v>96</v>
      </c>
      <c r="BK39" s="5">
        <v>0.5625</v>
      </c>
      <c r="BL39" s="5">
        <v>108</v>
      </c>
      <c r="BM39" s="5">
        <v>96</v>
      </c>
      <c r="BN39" s="5">
        <v>0.5625</v>
      </c>
      <c r="BO39" s="5">
        <v>108</v>
      </c>
      <c r="BP39" s="5">
        <v>96</v>
      </c>
      <c r="BQ39" s="5">
        <v>0.5625</v>
      </c>
      <c r="BR39" s="5">
        <v>108</v>
      </c>
      <c r="BS39" s="5">
        <v>96</v>
      </c>
      <c r="BT39" s="5">
        <v>0.5625</v>
      </c>
      <c r="BU39" s="5">
        <v>108</v>
      </c>
      <c r="BV39" s="5">
        <v>96</v>
      </c>
      <c r="BW39" s="5">
        <v>0.5625</v>
      </c>
      <c r="BX39" s="5">
        <v>108</v>
      </c>
      <c r="BY39" s="5">
        <v>96</v>
      </c>
      <c r="BZ39" s="5">
        <v>0.5625</v>
      </c>
      <c r="CA39" s="5" t="s">
        <v>470</v>
      </c>
      <c r="CB39" s="5" t="s">
        <v>470</v>
      </c>
      <c r="CC39" s="5"/>
      <c r="CD39" s="5" t="s">
        <v>470</v>
      </c>
      <c r="CE39" s="5" t="s">
        <v>470</v>
      </c>
      <c r="CF39" s="5"/>
      <c r="CG39" s="5" t="s">
        <v>470</v>
      </c>
      <c r="CH39" s="5" t="s">
        <v>470</v>
      </c>
      <c r="CI39" s="5"/>
      <c r="CJ39" s="5" t="s">
        <v>470</v>
      </c>
      <c r="CK39" s="5" t="s">
        <v>470</v>
      </c>
      <c r="CL39" s="5"/>
      <c r="CM39" s="5" t="s">
        <v>470</v>
      </c>
      <c r="CN39" s="5" t="s">
        <v>470</v>
      </c>
      <c r="CO39" s="5"/>
      <c r="CP39" s="5" t="s">
        <v>470</v>
      </c>
      <c r="CQ39" s="5" t="s">
        <v>470</v>
      </c>
      <c r="CR39" s="5"/>
      <c r="CS39" s="5" t="s">
        <v>470</v>
      </c>
      <c r="CT39" s="5" t="s">
        <v>470</v>
      </c>
      <c r="CU39" s="5"/>
      <c r="CV39" s="5" t="s">
        <v>470</v>
      </c>
      <c r="CW39" s="5" t="s">
        <v>470</v>
      </c>
      <c r="CX39" s="5"/>
      <c r="CY39" s="5" t="s">
        <v>470</v>
      </c>
      <c r="CZ39" s="5" t="s">
        <v>470</v>
      </c>
      <c r="DA39" s="5"/>
      <c r="DB39" s="5" t="s">
        <v>470</v>
      </c>
      <c r="DC39" s="5" t="s">
        <v>470</v>
      </c>
      <c r="DD39" s="5"/>
      <c r="DE39" s="5">
        <v>60</v>
      </c>
      <c r="DF39" s="5">
        <v>54</v>
      </c>
      <c r="DG39" s="5">
        <v>71.570400000000006</v>
      </c>
      <c r="DH39" s="5">
        <v>42.4375</v>
      </c>
      <c r="DI39" s="5">
        <v>0.6875</v>
      </c>
      <c r="DJ39" s="5">
        <v>22.5</v>
      </c>
      <c r="DK39" s="5">
        <v>16</v>
      </c>
      <c r="DL39" s="5">
        <v>116.875</v>
      </c>
      <c r="DM39" s="5">
        <v>71.593760000000003</v>
      </c>
      <c r="DN39" s="5">
        <v>43.3125</v>
      </c>
      <c r="DO39" s="5">
        <v>0.5625</v>
      </c>
      <c r="DP39" s="12">
        <v>60</v>
      </c>
      <c r="DQ39" s="5">
        <v>6</v>
      </c>
      <c r="DR39" s="13">
        <v>162.1875</v>
      </c>
      <c r="DS39" s="5">
        <v>116.875</v>
      </c>
      <c r="DT39" s="5">
        <v>45.3125</v>
      </c>
      <c r="DU39" s="5">
        <v>0.5</v>
      </c>
      <c r="DV39" s="5">
        <v>60</v>
      </c>
      <c r="DW39" s="5">
        <v>6</v>
      </c>
      <c r="DX39" s="5">
        <v>207.515625</v>
      </c>
      <c r="DY39" s="5">
        <v>162.1875</v>
      </c>
      <c r="DZ39" s="5">
        <v>45.3125</v>
      </c>
      <c r="EA39" s="5">
        <v>0.4375</v>
      </c>
      <c r="EB39" s="5">
        <v>45</v>
      </c>
      <c r="EC39" s="5">
        <v>8</v>
      </c>
      <c r="ED39" s="5" t="s">
        <v>470</v>
      </c>
      <c r="EE39" s="5" t="s">
        <v>470</v>
      </c>
      <c r="EF39" s="5" t="s">
        <v>470</v>
      </c>
      <c r="EG39" s="5" t="s">
        <v>470</v>
      </c>
      <c r="EH39" s="5" t="s">
        <v>470</v>
      </c>
      <c r="EI39" s="5" t="s">
        <v>470</v>
      </c>
      <c r="EJ39" s="5" t="s">
        <v>470</v>
      </c>
      <c r="EK39" s="5" t="s">
        <v>470</v>
      </c>
      <c r="EL39" s="5" t="s">
        <v>470</v>
      </c>
      <c r="EM39" s="5" t="s">
        <v>470</v>
      </c>
      <c r="EN39" s="5" t="s">
        <v>470</v>
      </c>
      <c r="EO39" s="5" t="s">
        <v>470</v>
      </c>
      <c r="EP39" s="5" t="s">
        <v>470</v>
      </c>
      <c r="EQ39" s="5" t="s">
        <v>470</v>
      </c>
      <c r="ER39" s="5" t="s">
        <v>470</v>
      </c>
      <c r="ES39" s="5" t="s">
        <v>470</v>
      </c>
      <c r="ET39" s="5" t="s">
        <v>470</v>
      </c>
      <c r="EU39" s="5" t="s">
        <v>470</v>
      </c>
      <c r="EV39" s="5" t="s">
        <v>470</v>
      </c>
      <c r="EW39" s="5" t="s">
        <v>470</v>
      </c>
      <c r="EX39" s="5" t="s">
        <v>470</v>
      </c>
      <c r="EY39" s="5">
        <v>0.375</v>
      </c>
      <c r="EZ39" s="5">
        <v>185.84375</v>
      </c>
      <c r="FA39" s="5">
        <v>24</v>
      </c>
      <c r="FB39" s="5">
        <v>15</v>
      </c>
      <c r="FC39" s="5">
        <v>45</v>
      </c>
      <c r="FD39" s="5">
        <v>76</v>
      </c>
      <c r="FE39" s="5">
        <v>43.667000000000002</v>
      </c>
      <c r="FF39" s="5">
        <v>0.25</v>
      </c>
      <c r="FG39" s="5">
        <v>185.875</v>
      </c>
      <c r="FH39" s="5">
        <v>24</v>
      </c>
      <c r="FI39" s="5">
        <v>15</v>
      </c>
      <c r="FJ39" s="5">
        <v>45</v>
      </c>
      <c r="FK39" s="5">
        <v>76</v>
      </c>
      <c r="FL39" s="5">
        <v>43.667000000000002</v>
      </c>
      <c r="FM39" s="5">
        <v>0.25</v>
      </c>
      <c r="FN39" s="5">
        <v>293.34375</v>
      </c>
      <c r="FO39" s="5">
        <v>20</v>
      </c>
      <c r="FP39" s="5">
        <v>18</v>
      </c>
      <c r="FQ39" s="5">
        <v>83.554450000000003</v>
      </c>
      <c r="FR39" s="5">
        <v>0</v>
      </c>
      <c r="FS39" s="5">
        <v>43.667000000000002</v>
      </c>
      <c r="FT39" s="5">
        <v>50</v>
      </c>
      <c r="FU39" s="5">
        <v>21</v>
      </c>
      <c r="FV39" s="5">
        <v>29</v>
      </c>
      <c r="FW39" s="5">
        <v>0.5</v>
      </c>
      <c r="FX39" s="5">
        <v>4</v>
      </c>
      <c r="FY39" s="5">
        <v>46</v>
      </c>
      <c r="FZ39" s="5">
        <v>56</v>
      </c>
      <c r="GA39" s="5">
        <v>1.125</v>
      </c>
      <c r="GB39" s="5">
        <v>120</v>
      </c>
      <c r="GC39" s="5">
        <v>3</v>
      </c>
      <c r="GD39" s="5">
        <v>23</v>
      </c>
      <c r="GE39" s="5">
        <v>27</v>
      </c>
      <c r="GF39" s="5">
        <v>1</v>
      </c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</row>
    <row r="40" spans="1:201" s="1" customFormat="1" ht="15.75" customHeight="1" x14ac:dyDescent="0.25">
      <c r="A40" s="4" t="s">
        <v>508</v>
      </c>
      <c r="B40" s="5"/>
      <c r="C40" s="5">
        <v>250</v>
      </c>
      <c r="D40" s="5">
        <v>32</v>
      </c>
      <c r="E40" s="6">
        <v>25</v>
      </c>
      <c r="F40" s="5" t="s">
        <v>469</v>
      </c>
      <c r="G40" s="5">
        <v>0</v>
      </c>
      <c r="H40" s="5">
        <f t="shared" si="0"/>
        <v>384</v>
      </c>
      <c r="I40" s="5">
        <f t="shared" si="4"/>
        <v>199</v>
      </c>
      <c r="J40" s="5">
        <f t="shared" si="2"/>
        <v>187</v>
      </c>
      <c r="K40" s="5">
        <v>30</v>
      </c>
      <c r="L40" s="5">
        <v>1.0625</v>
      </c>
      <c r="M40" s="5">
        <v>12</v>
      </c>
      <c r="N40" s="5"/>
      <c r="O40" s="5"/>
      <c r="P40" s="5"/>
      <c r="Q40" s="5"/>
      <c r="R40" s="5" t="s">
        <v>470</v>
      </c>
      <c r="S40" s="5"/>
      <c r="T40" s="5">
        <f t="shared" si="5"/>
        <v>192</v>
      </c>
      <c r="U40" s="5">
        <v>151.51009999999999</v>
      </c>
      <c r="V40" s="5">
        <v>84</v>
      </c>
      <c r="W40" s="5">
        <v>0.5</v>
      </c>
      <c r="X40" s="5">
        <v>30</v>
      </c>
      <c r="Y40" s="5">
        <v>12</v>
      </c>
      <c r="Z40" s="5">
        <v>151.51009999999999</v>
      </c>
      <c r="AA40" s="5">
        <v>111.02030000000001</v>
      </c>
      <c r="AB40" s="5">
        <v>84</v>
      </c>
      <c r="AC40" s="5">
        <v>0.5</v>
      </c>
      <c r="AD40" s="5">
        <v>40</v>
      </c>
      <c r="AE40" s="5">
        <v>9</v>
      </c>
      <c r="AF40" s="5">
        <v>0</v>
      </c>
      <c r="AG40" s="5">
        <v>111.02030000000001</v>
      </c>
      <c r="AH40" s="5">
        <v>70.5304</v>
      </c>
      <c r="AI40" s="5">
        <v>84</v>
      </c>
      <c r="AJ40" s="5">
        <v>0.625</v>
      </c>
      <c r="AK40" s="5">
        <v>45</v>
      </c>
      <c r="AL40" s="5">
        <v>8</v>
      </c>
      <c r="AM40" s="5">
        <v>0</v>
      </c>
      <c r="AN40" s="5">
        <v>70.5304</v>
      </c>
      <c r="AO40" s="5">
        <v>59.951300000000003</v>
      </c>
      <c r="AP40" s="5">
        <v>21.9375</v>
      </c>
      <c r="AQ40" s="5">
        <v>0.75</v>
      </c>
      <c r="AR40" s="5">
        <v>90</v>
      </c>
      <c r="AS40" s="5">
        <v>4</v>
      </c>
      <c r="AT40" s="5">
        <v>54</v>
      </c>
      <c r="AU40" s="5">
        <v>59.951300000000003</v>
      </c>
      <c r="AV40" s="5">
        <v>54</v>
      </c>
      <c r="AW40" s="5">
        <v>26.0625</v>
      </c>
      <c r="AX40" s="5">
        <v>0.75</v>
      </c>
      <c r="AY40" s="5">
        <v>36</v>
      </c>
      <c r="AZ40" s="5">
        <v>10</v>
      </c>
      <c r="BA40" s="5">
        <v>108</v>
      </c>
      <c r="BB40" s="5">
        <v>96</v>
      </c>
      <c r="BC40" s="5">
        <v>108</v>
      </c>
      <c r="BD40" s="5">
        <v>96</v>
      </c>
      <c r="BE40" s="5">
        <v>0.5625</v>
      </c>
      <c r="BF40" s="5">
        <v>108</v>
      </c>
      <c r="BG40" s="5">
        <v>96</v>
      </c>
      <c r="BH40" s="5">
        <v>0.5625</v>
      </c>
      <c r="BI40" s="5">
        <v>108</v>
      </c>
      <c r="BJ40" s="5">
        <v>96</v>
      </c>
      <c r="BK40" s="5">
        <v>0.5625</v>
      </c>
      <c r="BL40" s="5">
        <v>108</v>
      </c>
      <c r="BM40" s="5">
        <v>96</v>
      </c>
      <c r="BN40" s="5">
        <v>0.5625</v>
      </c>
      <c r="BO40" s="5">
        <v>108</v>
      </c>
      <c r="BP40" s="5">
        <v>96</v>
      </c>
      <c r="BQ40" s="5">
        <v>0.5625</v>
      </c>
      <c r="BR40" s="5">
        <v>108</v>
      </c>
      <c r="BS40" s="5">
        <v>96</v>
      </c>
      <c r="BT40" s="5">
        <v>0.5625</v>
      </c>
      <c r="BU40" s="5">
        <v>108</v>
      </c>
      <c r="BV40" s="5">
        <v>96</v>
      </c>
      <c r="BW40" s="5">
        <v>0.5625</v>
      </c>
      <c r="BX40" s="5">
        <v>108</v>
      </c>
      <c r="BY40" s="5">
        <v>96</v>
      </c>
      <c r="BZ40" s="5">
        <v>0.5625</v>
      </c>
      <c r="CA40" s="5" t="s">
        <v>470</v>
      </c>
      <c r="CB40" s="5" t="s">
        <v>470</v>
      </c>
      <c r="CC40" s="5"/>
      <c r="CD40" s="5" t="s">
        <v>470</v>
      </c>
      <c r="CE40" s="5" t="s">
        <v>470</v>
      </c>
      <c r="CF40" s="5"/>
      <c r="CG40" s="5" t="s">
        <v>470</v>
      </c>
      <c r="CH40" s="5" t="s">
        <v>470</v>
      </c>
      <c r="CI40" s="5"/>
      <c r="CJ40" s="5" t="s">
        <v>470</v>
      </c>
      <c r="CK40" s="5" t="s">
        <v>470</v>
      </c>
      <c r="CL40" s="5"/>
      <c r="CM40" s="5" t="s">
        <v>470</v>
      </c>
      <c r="CN40" s="5" t="s">
        <v>470</v>
      </c>
      <c r="CO40" s="5"/>
      <c r="CP40" s="5" t="s">
        <v>470</v>
      </c>
      <c r="CQ40" s="5" t="s">
        <v>470</v>
      </c>
      <c r="CR40" s="5"/>
      <c r="CS40" s="5" t="s">
        <v>470</v>
      </c>
      <c r="CT40" s="5" t="s">
        <v>470</v>
      </c>
      <c r="CU40" s="5"/>
      <c r="CV40" s="5" t="s">
        <v>470</v>
      </c>
      <c r="CW40" s="5" t="s">
        <v>470</v>
      </c>
      <c r="CX40" s="5"/>
      <c r="CY40" s="5" t="s">
        <v>470</v>
      </c>
      <c r="CZ40" s="5" t="s">
        <v>470</v>
      </c>
      <c r="DA40" s="5"/>
      <c r="DB40" s="5" t="s">
        <v>470</v>
      </c>
      <c r="DC40" s="5" t="s">
        <v>470</v>
      </c>
      <c r="DD40" s="5"/>
      <c r="DE40" s="5">
        <v>60</v>
      </c>
      <c r="DF40" s="5">
        <v>54</v>
      </c>
      <c r="DG40" s="5">
        <v>71.570400000000006</v>
      </c>
      <c r="DH40" s="5">
        <v>42.4375</v>
      </c>
      <c r="DI40" s="5">
        <v>0.6875</v>
      </c>
      <c r="DJ40" s="5">
        <v>22.5</v>
      </c>
      <c r="DK40" s="5">
        <v>16</v>
      </c>
      <c r="DL40" s="5">
        <v>116.875</v>
      </c>
      <c r="DM40" s="5">
        <v>71.593760000000003</v>
      </c>
      <c r="DN40" s="5">
        <v>43.3125</v>
      </c>
      <c r="DO40" s="5">
        <v>0.5625</v>
      </c>
      <c r="DP40" s="12">
        <v>60</v>
      </c>
      <c r="DQ40" s="5">
        <v>6</v>
      </c>
      <c r="DR40" s="13">
        <v>162.1875</v>
      </c>
      <c r="DS40" s="5">
        <v>116.875</v>
      </c>
      <c r="DT40" s="5">
        <v>45.3125</v>
      </c>
      <c r="DU40" s="5">
        <v>0.5</v>
      </c>
      <c r="DV40" s="5">
        <v>60</v>
      </c>
      <c r="DW40" s="5">
        <v>6</v>
      </c>
      <c r="DX40" s="5">
        <v>207.515625</v>
      </c>
      <c r="DY40" s="5">
        <v>162.1875</v>
      </c>
      <c r="DZ40" s="5">
        <v>45.3125</v>
      </c>
      <c r="EA40" s="5">
        <v>0.4375</v>
      </c>
      <c r="EB40" s="5">
        <v>45</v>
      </c>
      <c r="EC40" s="5">
        <v>8</v>
      </c>
      <c r="ED40" s="5" t="s">
        <v>470</v>
      </c>
      <c r="EE40" s="5" t="s">
        <v>470</v>
      </c>
      <c r="EF40" s="5" t="s">
        <v>470</v>
      </c>
      <c r="EG40" s="5" t="s">
        <v>470</v>
      </c>
      <c r="EH40" s="5" t="s">
        <v>470</v>
      </c>
      <c r="EI40" s="5" t="s">
        <v>470</v>
      </c>
      <c r="EJ40" s="5" t="s">
        <v>470</v>
      </c>
      <c r="EK40" s="5" t="s">
        <v>470</v>
      </c>
      <c r="EL40" s="5" t="s">
        <v>470</v>
      </c>
      <c r="EM40" s="5" t="s">
        <v>470</v>
      </c>
      <c r="EN40" s="5" t="s">
        <v>470</v>
      </c>
      <c r="EO40" s="5" t="s">
        <v>470</v>
      </c>
      <c r="EP40" s="5" t="s">
        <v>470</v>
      </c>
      <c r="EQ40" s="5" t="s">
        <v>470</v>
      </c>
      <c r="ER40" s="5" t="s">
        <v>470</v>
      </c>
      <c r="ES40" s="5" t="s">
        <v>470</v>
      </c>
      <c r="ET40" s="5" t="s">
        <v>470</v>
      </c>
      <c r="EU40" s="5" t="s">
        <v>470</v>
      </c>
      <c r="EV40" s="5" t="s">
        <v>470</v>
      </c>
      <c r="EW40" s="5" t="s">
        <v>470</v>
      </c>
      <c r="EX40" s="5" t="s">
        <v>470</v>
      </c>
      <c r="EY40" s="5">
        <v>0.375</v>
      </c>
      <c r="EZ40" s="5">
        <v>185.84375</v>
      </c>
      <c r="FA40" s="5">
        <v>24</v>
      </c>
      <c r="FB40" s="5">
        <v>15</v>
      </c>
      <c r="FC40" s="5">
        <v>45</v>
      </c>
      <c r="FD40" s="5">
        <v>76</v>
      </c>
      <c r="FE40" s="5">
        <v>43.667000000000002</v>
      </c>
      <c r="FF40" s="5">
        <v>0.25</v>
      </c>
      <c r="FG40" s="5">
        <v>185.875</v>
      </c>
      <c r="FH40" s="5">
        <v>24</v>
      </c>
      <c r="FI40" s="5">
        <v>15</v>
      </c>
      <c r="FJ40" s="5">
        <v>45</v>
      </c>
      <c r="FK40" s="5">
        <v>76</v>
      </c>
      <c r="FL40" s="5">
        <v>43.667000000000002</v>
      </c>
      <c r="FM40" s="5">
        <v>0.25</v>
      </c>
      <c r="FN40" s="5">
        <v>293.34375</v>
      </c>
      <c r="FO40" s="5">
        <v>20</v>
      </c>
      <c r="FP40" s="5">
        <v>18</v>
      </c>
      <c r="FQ40" s="5">
        <v>83.554450000000003</v>
      </c>
      <c r="FR40" s="5">
        <v>0</v>
      </c>
      <c r="FS40" s="5">
        <v>43.667000000000002</v>
      </c>
      <c r="FT40" s="5">
        <v>50</v>
      </c>
      <c r="FU40" s="5">
        <v>21</v>
      </c>
      <c r="FV40" s="5">
        <v>29</v>
      </c>
      <c r="FW40" s="5">
        <v>0.5</v>
      </c>
      <c r="FX40" s="5">
        <v>4</v>
      </c>
      <c r="FY40" s="5">
        <v>46</v>
      </c>
      <c r="FZ40" s="5">
        <v>56</v>
      </c>
      <c r="GA40" s="5">
        <v>1.125</v>
      </c>
      <c r="GB40" s="5">
        <v>120</v>
      </c>
      <c r="GC40" s="5">
        <v>3</v>
      </c>
      <c r="GD40" s="5">
        <v>23</v>
      </c>
      <c r="GE40" s="5">
        <v>27</v>
      </c>
      <c r="GF40" s="5">
        <v>1</v>
      </c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</row>
    <row r="41" spans="1:201" s="1" customFormat="1" ht="15.75" customHeight="1" x14ac:dyDescent="0.25">
      <c r="A41" s="4" t="s">
        <v>509</v>
      </c>
      <c r="B41" s="5"/>
      <c r="C41" s="5">
        <v>250</v>
      </c>
      <c r="D41" s="5">
        <v>34</v>
      </c>
      <c r="E41" s="6">
        <v>30</v>
      </c>
      <c r="F41" s="5" t="s">
        <v>469</v>
      </c>
      <c r="G41" s="5">
        <v>0</v>
      </c>
      <c r="H41" s="5">
        <f t="shared" si="0"/>
        <v>408</v>
      </c>
      <c r="I41" s="5">
        <f t="shared" si="4"/>
        <v>211</v>
      </c>
      <c r="J41" s="5">
        <f t="shared" si="2"/>
        <v>199</v>
      </c>
      <c r="K41" s="5">
        <v>30</v>
      </c>
      <c r="L41" s="5">
        <v>1</v>
      </c>
      <c r="M41" s="5">
        <v>12</v>
      </c>
      <c r="N41" s="5"/>
      <c r="O41" s="5"/>
      <c r="P41" s="5"/>
      <c r="Q41" s="5"/>
      <c r="R41" s="5" t="s">
        <v>470</v>
      </c>
      <c r="S41" s="5"/>
      <c r="T41" s="5">
        <f t="shared" si="5"/>
        <v>204</v>
      </c>
      <c r="U41" s="5">
        <v>167.75210000000001</v>
      </c>
      <c r="V41" s="5">
        <v>84</v>
      </c>
      <c r="W41" s="5">
        <v>0.5</v>
      </c>
      <c r="X41" s="5">
        <v>30</v>
      </c>
      <c r="Y41" s="5">
        <v>12</v>
      </c>
      <c r="Z41" s="5">
        <v>167.75210000000001</v>
      </c>
      <c r="AA41" s="5">
        <v>131.5043</v>
      </c>
      <c r="AB41" s="5">
        <v>84</v>
      </c>
      <c r="AC41" s="5">
        <v>0.5</v>
      </c>
      <c r="AD41" s="5">
        <v>36</v>
      </c>
      <c r="AE41" s="5">
        <v>10</v>
      </c>
      <c r="AF41" s="5">
        <v>0</v>
      </c>
      <c r="AG41" s="5">
        <v>131.5043</v>
      </c>
      <c r="AH41" s="5">
        <v>95.256399999999999</v>
      </c>
      <c r="AI41" s="5">
        <v>84</v>
      </c>
      <c r="AJ41" s="5">
        <v>0.5</v>
      </c>
      <c r="AK41" s="5">
        <v>45</v>
      </c>
      <c r="AL41" s="5">
        <v>8</v>
      </c>
      <c r="AM41" s="5">
        <v>0</v>
      </c>
      <c r="AN41" s="5">
        <v>95.256399999999999</v>
      </c>
      <c r="AO41" s="5">
        <v>58.910299999999999</v>
      </c>
      <c r="AP41" s="5">
        <v>84.25</v>
      </c>
      <c r="AQ41" s="5">
        <v>0.6875</v>
      </c>
      <c r="AR41" s="5">
        <v>60</v>
      </c>
      <c r="AS41" s="5">
        <v>6</v>
      </c>
      <c r="AT41" s="5">
        <v>54</v>
      </c>
      <c r="AU41" s="5">
        <v>58.910299999999999</v>
      </c>
      <c r="AV41" s="5">
        <v>54</v>
      </c>
      <c r="AW41" s="5">
        <v>23.75</v>
      </c>
      <c r="AX41" s="5">
        <v>0.75</v>
      </c>
      <c r="AY41" s="5">
        <v>36</v>
      </c>
      <c r="AZ41" s="5">
        <v>10</v>
      </c>
      <c r="BA41" s="5">
        <v>108</v>
      </c>
      <c r="BB41" s="5">
        <v>96</v>
      </c>
      <c r="BC41" s="5">
        <v>108</v>
      </c>
      <c r="BD41" s="5">
        <v>96</v>
      </c>
      <c r="BE41" s="5">
        <v>0.5625</v>
      </c>
      <c r="BF41" s="5">
        <v>108</v>
      </c>
      <c r="BG41" s="5">
        <v>96</v>
      </c>
      <c r="BH41" s="5">
        <v>0.5625</v>
      </c>
      <c r="BI41" s="5">
        <v>108</v>
      </c>
      <c r="BJ41" s="5">
        <v>96</v>
      </c>
      <c r="BK41" s="5">
        <v>0.5625</v>
      </c>
      <c r="BL41" s="5">
        <v>108</v>
      </c>
      <c r="BM41" s="5">
        <v>96</v>
      </c>
      <c r="BN41" s="5">
        <v>0.5625</v>
      </c>
      <c r="BO41" s="5">
        <v>108</v>
      </c>
      <c r="BP41" s="5">
        <v>96</v>
      </c>
      <c r="BQ41" s="5">
        <v>0.5625</v>
      </c>
      <c r="BR41" s="5">
        <v>108</v>
      </c>
      <c r="BS41" s="5">
        <v>96</v>
      </c>
      <c r="BT41" s="5">
        <v>0.5625</v>
      </c>
      <c r="BU41" s="5">
        <v>108</v>
      </c>
      <c r="BV41" s="5">
        <v>96</v>
      </c>
      <c r="BW41" s="5">
        <v>0.5625</v>
      </c>
      <c r="BX41" s="5">
        <v>108</v>
      </c>
      <c r="BY41" s="5">
        <v>96</v>
      </c>
      <c r="BZ41" s="5">
        <v>0.5625</v>
      </c>
      <c r="CA41" s="5" t="s">
        <v>470</v>
      </c>
      <c r="CB41" s="5" t="s">
        <v>470</v>
      </c>
      <c r="CC41" s="5"/>
      <c r="CD41" s="5" t="s">
        <v>470</v>
      </c>
      <c r="CE41" s="5" t="s">
        <v>470</v>
      </c>
      <c r="CF41" s="5"/>
      <c r="CG41" s="5" t="s">
        <v>470</v>
      </c>
      <c r="CH41" s="5" t="s">
        <v>470</v>
      </c>
      <c r="CI41" s="5"/>
      <c r="CJ41" s="5" t="s">
        <v>470</v>
      </c>
      <c r="CK41" s="5" t="s">
        <v>470</v>
      </c>
      <c r="CL41" s="5"/>
      <c r="CM41" s="5" t="s">
        <v>470</v>
      </c>
      <c r="CN41" s="5" t="s">
        <v>470</v>
      </c>
      <c r="CO41" s="5"/>
      <c r="CP41" s="5" t="s">
        <v>470</v>
      </c>
      <c r="CQ41" s="5" t="s">
        <v>470</v>
      </c>
      <c r="CR41" s="5"/>
      <c r="CS41" s="5" t="s">
        <v>470</v>
      </c>
      <c r="CT41" s="5" t="s">
        <v>470</v>
      </c>
      <c r="CU41" s="5"/>
      <c r="CV41" s="5" t="s">
        <v>470</v>
      </c>
      <c r="CW41" s="5" t="s">
        <v>470</v>
      </c>
      <c r="CX41" s="5"/>
      <c r="CY41" s="5" t="s">
        <v>470</v>
      </c>
      <c r="CZ41" s="5" t="s">
        <v>470</v>
      </c>
      <c r="DA41" s="5"/>
      <c r="DB41" s="5" t="s">
        <v>470</v>
      </c>
      <c r="DC41" s="5" t="s">
        <v>470</v>
      </c>
      <c r="DD41" s="5"/>
      <c r="DE41" s="5">
        <v>60</v>
      </c>
      <c r="DF41" s="5">
        <v>54</v>
      </c>
      <c r="DG41" s="5">
        <v>71.570400000000006</v>
      </c>
      <c r="DH41" s="5">
        <v>42.4375</v>
      </c>
      <c r="DI41" s="5">
        <v>0.6875</v>
      </c>
      <c r="DJ41" s="5">
        <v>22.5</v>
      </c>
      <c r="DK41" s="5">
        <v>16</v>
      </c>
      <c r="DL41" s="5">
        <v>116.875</v>
      </c>
      <c r="DM41" s="5">
        <v>71.593760000000003</v>
      </c>
      <c r="DN41" s="5">
        <v>43.3125</v>
      </c>
      <c r="DO41" s="5">
        <v>0.5625</v>
      </c>
      <c r="DP41" s="12">
        <v>60</v>
      </c>
      <c r="DQ41" s="5">
        <v>6</v>
      </c>
      <c r="DR41" s="13">
        <v>162.1875</v>
      </c>
      <c r="DS41" s="5">
        <v>116.875</v>
      </c>
      <c r="DT41" s="5">
        <v>45.3125</v>
      </c>
      <c r="DU41" s="5">
        <v>0.5</v>
      </c>
      <c r="DV41" s="5">
        <v>60</v>
      </c>
      <c r="DW41" s="5">
        <v>6</v>
      </c>
      <c r="DX41" s="5">
        <v>207.515625</v>
      </c>
      <c r="DY41" s="5">
        <v>162.1875</v>
      </c>
      <c r="DZ41" s="5">
        <v>45.3125</v>
      </c>
      <c r="EA41" s="5">
        <v>0.4375</v>
      </c>
      <c r="EB41" s="5">
        <v>45</v>
      </c>
      <c r="EC41" s="5">
        <v>8</v>
      </c>
      <c r="ED41" s="5" t="s">
        <v>470</v>
      </c>
      <c r="EE41" s="5" t="s">
        <v>470</v>
      </c>
      <c r="EF41" s="5" t="s">
        <v>470</v>
      </c>
      <c r="EG41" s="5" t="s">
        <v>470</v>
      </c>
      <c r="EH41" s="5" t="s">
        <v>470</v>
      </c>
      <c r="EI41" s="5" t="s">
        <v>470</v>
      </c>
      <c r="EJ41" s="5" t="s">
        <v>470</v>
      </c>
      <c r="EK41" s="5" t="s">
        <v>470</v>
      </c>
      <c r="EL41" s="5" t="s">
        <v>470</v>
      </c>
      <c r="EM41" s="5" t="s">
        <v>470</v>
      </c>
      <c r="EN41" s="5" t="s">
        <v>470</v>
      </c>
      <c r="EO41" s="5" t="s">
        <v>470</v>
      </c>
      <c r="EP41" s="5" t="s">
        <v>470</v>
      </c>
      <c r="EQ41" s="5" t="s">
        <v>470</v>
      </c>
      <c r="ER41" s="5" t="s">
        <v>470</v>
      </c>
      <c r="ES41" s="5" t="s">
        <v>470</v>
      </c>
      <c r="ET41" s="5" t="s">
        <v>470</v>
      </c>
      <c r="EU41" s="5" t="s">
        <v>470</v>
      </c>
      <c r="EV41" s="5" t="s">
        <v>470</v>
      </c>
      <c r="EW41" s="5" t="s">
        <v>470</v>
      </c>
      <c r="EX41" s="5" t="s">
        <v>470</v>
      </c>
      <c r="EY41" s="5">
        <v>0.375</v>
      </c>
      <c r="EZ41" s="5">
        <v>185.84375</v>
      </c>
      <c r="FA41" s="5">
        <v>24</v>
      </c>
      <c r="FB41" s="5">
        <v>15</v>
      </c>
      <c r="FC41" s="5">
        <v>45</v>
      </c>
      <c r="FD41" s="5">
        <v>76</v>
      </c>
      <c r="FE41" s="5">
        <v>43.667000000000002</v>
      </c>
      <c r="FF41" s="5">
        <v>0.25</v>
      </c>
      <c r="FG41" s="5">
        <v>185.875</v>
      </c>
      <c r="FH41" s="5">
        <v>24</v>
      </c>
      <c r="FI41" s="5">
        <v>15</v>
      </c>
      <c r="FJ41" s="5">
        <v>45</v>
      </c>
      <c r="FK41" s="5">
        <v>76</v>
      </c>
      <c r="FL41" s="5">
        <v>43.667000000000002</v>
      </c>
      <c r="FM41" s="5">
        <v>0.25</v>
      </c>
      <c r="FN41" s="5">
        <v>293.34375</v>
      </c>
      <c r="FO41" s="5">
        <v>20</v>
      </c>
      <c r="FP41" s="5">
        <v>18</v>
      </c>
      <c r="FQ41" s="5">
        <v>83.554450000000003</v>
      </c>
      <c r="FR41" s="5">
        <v>0</v>
      </c>
      <c r="FS41" s="5">
        <v>43.667000000000002</v>
      </c>
      <c r="FT41" s="5">
        <v>50</v>
      </c>
      <c r="FU41" s="5">
        <v>21</v>
      </c>
      <c r="FV41" s="5">
        <v>29</v>
      </c>
      <c r="FW41" s="5">
        <v>0.5</v>
      </c>
      <c r="FX41" s="5">
        <v>4</v>
      </c>
      <c r="FY41" s="5">
        <v>46</v>
      </c>
      <c r="FZ41" s="5">
        <v>56</v>
      </c>
      <c r="GA41" s="5">
        <v>1.125</v>
      </c>
      <c r="GB41" s="5">
        <v>120</v>
      </c>
      <c r="GC41" s="5">
        <v>3</v>
      </c>
      <c r="GD41" s="5">
        <v>23</v>
      </c>
      <c r="GE41" s="5">
        <v>27</v>
      </c>
      <c r="GF41" s="5">
        <v>1</v>
      </c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</row>
    <row r="42" spans="1:201" s="1" customFormat="1" ht="15.75" customHeight="1" x14ac:dyDescent="0.25">
      <c r="A42" s="4" t="s">
        <v>510</v>
      </c>
      <c r="B42" s="5"/>
      <c r="C42" s="5">
        <v>250</v>
      </c>
      <c r="D42" s="5">
        <v>40</v>
      </c>
      <c r="E42" s="6">
        <v>30</v>
      </c>
      <c r="F42" s="5" t="s">
        <v>469</v>
      </c>
      <c r="G42" s="5">
        <v>0</v>
      </c>
      <c r="H42" s="5">
        <f t="shared" si="0"/>
        <v>480</v>
      </c>
      <c r="I42" s="5">
        <f t="shared" si="4"/>
        <v>247</v>
      </c>
      <c r="J42" s="5">
        <f t="shared" si="2"/>
        <v>235</v>
      </c>
      <c r="K42" s="5">
        <v>25.714285714285701</v>
      </c>
      <c r="L42" s="5">
        <v>1</v>
      </c>
      <c r="M42" s="5">
        <v>14</v>
      </c>
      <c r="N42" s="5"/>
      <c r="O42" s="5"/>
      <c r="P42" s="5"/>
      <c r="Q42" s="5"/>
      <c r="R42" s="5" t="s">
        <v>470</v>
      </c>
      <c r="S42" s="5"/>
      <c r="T42" s="5">
        <f t="shared" si="5"/>
        <v>240</v>
      </c>
      <c r="U42" s="5">
        <v>194.6934</v>
      </c>
      <c r="V42" s="5">
        <v>84</v>
      </c>
      <c r="W42" s="5">
        <v>0.5</v>
      </c>
      <c r="X42" s="5">
        <v>25.714285714285701</v>
      </c>
      <c r="Y42" s="5">
        <v>14</v>
      </c>
      <c r="Z42" s="5">
        <v>194.6934</v>
      </c>
      <c r="AA42" s="5">
        <v>149.3869</v>
      </c>
      <c r="AB42" s="5">
        <v>84</v>
      </c>
      <c r="AC42" s="5">
        <v>0.5</v>
      </c>
      <c r="AD42" s="5">
        <v>30</v>
      </c>
      <c r="AE42" s="5">
        <v>12</v>
      </c>
      <c r="AF42" s="5">
        <v>0</v>
      </c>
      <c r="AG42" s="5">
        <v>149.3869</v>
      </c>
      <c r="AH42" s="5">
        <v>104.08029999999999</v>
      </c>
      <c r="AI42" s="5">
        <v>84</v>
      </c>
      <c r="AJ42" s="5">
        <v>0.5</v>
      </c>
      <c r="AK42" s="5">
        <v>36</v>
      </c>
      <c r="AL42" s="5">
        <v>10</v>
      </c>
      <c r="AM42" s="5">
        <v>0</v>
      </c>
      <c r="AN42" s="5">
        <v>104.08029999999999</v>
      </c>
      <c r="AO42" s="5">
        <v>61.191600000000001</v>
      </c>
      <c r="AP42" s="5">
        <v>79.5</v>
      </c>
      <c r="AQ42" s="5">
        <v>0.5</v>
      </c>
      <c r="AR42" s="5">
        <v>60</v>
      </c>
      <c r="AS42" s="5">
        <v>6</v>
      </c>
      <c r="AT42" s="5">
        <v>54</v>
      </c>
      <c r="AU42" s="5">
        <v>61.191600000000001</v>
      </c>
      <c r="AV42" s="5">
        <v>54</v>
      </c>
      <c r="AW42" s="5">
        <v>28.5</v>
      </c>
      <c r="AX42" s="5">
        <v>0.5625</v>
      </c>
      <c r="AY42" s="5">
        <v>36</v>
      </c>
      <c r="AZ42" s="5">
        <v>10</v>
      </c>
      <c r="BA42" s="5">
        <v>108</v>
      </c>
      <c r="BB42" s="5">
        <v>96</v>
      </c>
      <c r="BC42" s="5">
        <v>108</v>
      </c>
      <c r="BD42" s="5">
        <v>96</v>
      </c>
      <c r="BE42" s="5">
        <v>0.5625</v>
      </c>
      <c r="BF42" s="5">
        <v>108</v>
      </c>
      <c r="BG42" s="5">
        <v>96</v>
      </c>
      <c r="BH42" s="5">
        <v>0.5625</v>
      </c>
      <c r="BI42" s="5">
        <v>108</v>
      </c>
      <c r="BJ42" s="5">
        <v>96</v>
      </c>
      <c r="BK42" s="5">
        <v>0.5625</v>
      </c>
      <c r="BL42" s="5">
        <v>108</v>
      </c>
      <c r="BM42" s="5">
        <v>96</v>
      </c>
      <c r="BN42" s="5">
        <v>0.5625</v>
      </c>
      <c r="BO42" s="5">
        <v>108</v>
      </c>
      <c r="BP42" s="5">
        <v>96</v>
      </c>
      <c r="BQ42" s="5">
        <v>0.5625</v>
      </c>
      <c r="BR42" s="5">
        <v>108</v>
      </c>
      <c r="BS42" s="5">
        <v>96</v>
      </c>
      <c r="BT42" s="5">
        <v>0.5625</v>
      </c>
      <c r="BU42" s="5">
        <v>108</v>
      </c>
      <c r="BV42" s="5">
        <v>96</v>
      </c>
      <c r="BW42" s="5">
        <v>0.5625</v>
      </c>
      <c r="BX42" s="5">
        <v>108</v>
      </c>
      <c r="BY42" s="5">
        <v>96</v>
      </c>
      <c r="BZ42" s="5">
        <v>0.5625</v>
      </c>
      <c r="CA42" s="5" t="s">
        <v>470</v>
      </c>
      <c r="CB42" s="5" t="s">
        <v>470</v>
      </c>
      <c r="CC42" s="5"/>
      <c r="CD42" s="5" t="s">
        <v>470</v>
      </c>
      <c r="CE42" s="5" t="s">
        <v>470</v>
      </c>
      <c r="CF42" s="5"/>
      <c r="CG42" s="5" t="s">
        <v>470</v>
      </c>
      <c r="CH42" s="5" t="s">
        <v>470</v>
      </c>
      <c r="CI42" s="5"/>
      <c r="CJ42" s="5" t="s">
        <v>470</v>
      </c>
      <c r="CK42" s="5" t="s">
        <v>470</v>
      </c>
      <c r="CL42" s="5"/>
      <c r="CM42" s="5" t="s">
        <v>470</v>
      </c>
      <c r="CN42" s="5" t="s">
        <v>470</v>
      </c>
      <c r="CO42" s="5"/>
      <c r="CP42" s="5" t="s">
        <v>470</v>
      </c>
      <c r="CQ42" s="5" t="s">
        <v>470</v>
      </c>
      <c r="CR42" s="5"/>
      <c r="CS42" s="5" t="s">
        <v>470</v>
      </c>
      <c r="CT42" s="5" t="s">
        <v>470</v>
      </c>
      <c r="CU42" s="5"/>
      <c r="CV42" s="5" t="s">
        <v>470</v>
      </c>
      <c r="CW42" s="5" t="s">
        <v>470</v>
      </c>
      <c r="CX42" s="5"/>
      <c r="CY42" s="5" t="s">
        <v>470</v>
      </c>
      <c r="CZ42" s="5" t="s">
        <v>470</v>
      </c>
      <c r="DA42" s="5"/>
      <c r="DB42" s="5" t="s">
        <v>470</v>
      </c>
      <c r="DC42" s="5" t="s">
        <v>470</v>
      </c>
      <c r="DD42" s="5"/>
      <c r="DE42" s="5">
        <v>60</v>
      </c>
      <c r="DF42" s="5">
        <v>54</v>
      </c>
      <c r="DG42" s="5">
        <v>71.570400000000006</v>
      </c>
      <c r="DH42" s="5">
        <v>42.4375</v>
      </c>
      <c r="DI42" s="5">
        <v>0.6875</v>
      </c>
      <c r="DJ42" s="5">
        <v>22.5</v>
      </c>
      <c r="DK42" s="5">
        <v>16</v>
      </c>
      <c r="DL42" s="5">
        <v>116.875</v>
      </c>
      <c r="DM42" s="5">
        <v>71.593760000000003</v>
      </c>
      <c r="DN42" s="5">
        <v>43.3125</v>
      </c>
      <c r="DO42" s="5">
        <v>0.5625</v>
      </c>
      <c r="DP42" s="12">
        <v>60</v>
      </c>
      <c r="DQ42" s="5">
        <v>6</v>
      </c>
      <c r="DR42" s="13">
        <v>162.1875</v>
      </c>
      <c r="DS42" s="5">
        <v>116.875</v>
      </c>
      <c r="DT42" s="5">
        <v>45.3125</v>
      </c>
      <c r="DU42" s="5">
        <v>0.5</v>
      </c>
      <c r="DV42" s="5">
        <v>60</v>
      </c>
      <c r="DW42" s="5">
        <v>6</v>
      </c>
      <c r="DX42" s="5">
        <v>207.515625</v>
      </c>
      <c r="DY42" s="5">
        <v>162.1875</v>
      </c>
      <c r="DZ42" s="5">
        <v>45.3125</v>
      </c>
      <c r="EA42" s="5">
        <v>0.4375</v>
      </c>
      <c r="EB42" s="5">
        <v>45</v>
      </c>
      <c r="EC42" s="5">
        <v>8</v>
      </c>
      <c r="ED42" s="5" t="s">
        <v>470</v>
      </c>
      <c r="EE42" s="5" t="s">
        <v>470</v>
      </c>
      <c r="EF42" s="5" t="s">
        <v>470</v>
      </c>
      <c r="EG42" s="5" t="s">
        <v>470</v>
      </c>
      <c r="EH42" s="5" t="s">
        <v>470</v>
      </c>
      <c r="EI42" s="5" t="s">
        <v>470</v>
      </c>
      <c r="EJ42" s="5" t="s">
        <v>470</v>
      </c>
      <c r="EK42" s="5" t="s">
        <v>470</v>
      </c>
      <c r="EL42" s="5" t="s">
        <v>470</v>
      </c>
      <c r="EM42" s="5" t="s">
        <v>470</v>
      </c>
      <c r="EN42" s="5" t="s">
        <v>470</v>
      </c>
      <c r="EO42" s="5" t="s">
        <v>470</v>
      </c>
      <c r="EP42" s="5" t="s">
        <v>470</v>
      </c>
      <c r="EQ42" s="5" t="s">
        <v>470</v>
      </c>
      <c r="ER42" s="5" t="s">
        <v>470</v>
      </c>
      <c r="ES42" s="5" t="s">
        <v>470</v>
      </c>
      <c r="ET42" s="5" t="s">
        <v>470</v>
      </c>
      <c r="EU42" s="5" t="s">
        <v>470</v>
      </c>
      <c r="EV42" s="5" t="s">
        <v>470</v>
      </c>
      <c r="EW42" s="5" t="s">
        <v>470</v>
      </c>
      <c r="EX42" s="5" t="s">
        <v>470</v>
      </c>
      <c r="EY42" s="5">
        <v>0.375</v>
      </c>
      <c r="EZ42" s="5">
        <v>185.84375</v>
      </c>
      <c r="FA42" s="5">
        <v>24</v>
      </c>
      <c r="FB42" s="5">
        <v>15</v>
      </c>
      <c r="FC42" s="5">
        <v>45</v>
      </c>
      <c r="FD42" s="5">
        <v>76</v>
      </c>
      <c r="FE42" s="5">
        <v>43.667000000000002</v>
      </c>
      <c r="FF42" s="5">
        <v>0.25</v>
      </c>
      <c r="FG42" s="5">
        <v>185.875</v>
      </c>
      <c r="FH42" s="5">
        <v>24</v>
      </c>
      <c r="FI42" s="5">
        <v>15</v>
      </c>
      <c r="FJ42" s="5">
        <v>45</v>
      </c>
      <c r="FK42" s="5">
        <v>76</v>
      </c>
      <c r="FL42" s="5">
        <v>43.667000000000002</v>
      </c>
      <c r="FM42" s="5">
        <v>0.25</v>
      </c>
      <c r="FN42" s="5">
        <v>293.34375</v>
      </c>
      <c r="FO42" s="5">
        <v>20</v>
      </c>
      <c r="FP42" s="5">
        <v>18</v>
      </c>
      <c r="FQ42" s="5">
        <v>83.554450000000003</v>
      </c>
      <c r="FR42" s="5">
        <v>0</v>
      </c>
      <c r="FS42" s="5">
        <v>43.667000000000002</v>
      </c>
      <c r="FT42" s="5">
        <v>50</v>
      </c>
      <c r="FU42" s="5">
        <v>21</v>
      </c>
      <c r="FV42" s="5">
        <v>29</v>
      </c>
      <c r="FW42" s="5">
        <v>0.5</v>
      </c>
      <c r="FX42" s="5">
        <v>4</v>
      </c>
      <c r="FY42" s="5">
        <v>46</v>
      </c>
      <c r="FZ42" s="5">
        <v>56</v>
      </c>
      <c r="GA42" s="5">
        <v>1.125</v>
      </c>
      <c r="GB42" s="5">
        <v>120</v>
      </c>
      <c r="GC42" s="5">
        <v>3</v>
      </c>
      <c r="GD42" s="5">
        <v>23</v>
      </c>
      <c r="GE42" s="5">
        <v>27</v>
      </c>
      <c r="GF42" s="5">
        <v>1</v>
      </c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</row>
    <row r="43" spans="1:201" s="1" customFormat="1" ht="15.75" customHeight="1" x14ac:dyDescent="0.25">
      <c r="A43" s="4" t="s">
        <v>511</v>
      </c>
      <c r="B43" s="5"/>
      <c r="C43" s="5">
        <v>300</v>
      </c>
      <c r="D43" s="5">
        <v>21</v>
      </c>
      <c r="E43" s="6">
        <v>22.333333333300001</v>
      </c>
      <c r="F43" s="5" t="s">
        <v>469</v>
      </c>
      <c r="G43" s="5">
        <v>0</v>
      </c>
      <c r="H43" s="5">
        <f t="shared" si="0"/>
        <v>252</v>
      </c>
      <c r="I43" s="5">
        <f t="shared" si="4"/>
        <v>133</v>
      </c>
      <c r="J43" s="5">
        <f t="shared" si="2"/>
        <v>121</v>
      </c>
      <c r="K43" s="5">
        <v>45</v>
      </c>
      <c r="L43" s="5">
        <v>1.4375</v>
      </c>
      <c r="M43" s="5">
        <v>8</v>
      </c>
      <c r="N43" s="5">
        <v>30</v>
      </c>
      <c r="O43" s="5">
        <v>6</v>
      </c>
      <c r="P43" s="5">
        <v>30</v>
      </c>
      <c r="Q43" s="5">
        <v>60</v>
      </c>
      <c r="R43" s="5" t="s">
        <v>470</v>
      </c>
      <c r="S43" s="5">
        <v>60</v>
      </c>
      <c r="T43" s="5">
        <f t="shared" si="5"/>
        <v>126</v>
      </c>
      <c r="U43" s="5">
        <v>101.8929</v>
      </c>
      <c r="V43" s="5">
        <v>87</v>
      </c>
      <c r="W43" s="5">
        <v>0.5625</v>
      </c>
      <c r="X43" s="5">
        <v>45</v>
      </c>
      <c r="Y43" s="5">
        <v>8</v>
      </c>
      <c r="Z43" s="5">
        <v>101.8929</v>
      </c>
      <c r="AA43" s="5">
        <v>78.617199999999997</v>
      </c>
      <c r="AB43" s="5">
        <v>84</v>
      </c>
      <c r="AC43" s="5">
        <v>0.625</v>
      </c>
      <c r="AD43" s="5">
        <v>60</v>
      </c>
      <c r="AE43" s="5">
        <v>6</v>
      </c>
      <c r="AF43" s="5">
        <v>0</v>
      </c>
      <c r="AG43" s="5">
        <v>78.617199999999997</v>
      </c>
      <c r="AH43" s="5">
        <v>56.178699999999999</v>
      </c>
      <c r="AI43" s="5">
        <v>81</v>
      </c>
      <c r="AJ43" s="5">
        <v>0.6875</v>
      </c>
      <c r="AK43" s="5">
        <v>90</v>
      </c>
      <c r="AL43" s="5">
        <v>4</v>
      </c>
      <c r="AM43" s="5"/>
      <c r="AN43" s="5">
        <v>56.178699999999999</v>
      </c>
      <c r="AO43" s="5">
        <v>54</v>
      </c>
      <c r="AP43" s="5">
        <v>16</v>
      </c>
      <c r="AQ43" s="5">
        <v>0.75</v>
      </c>
      <c r="AR43" s="5">
        <v>36</v>
      </c>
      <c r="AS43" s="5">
        <v>10</v>
      </c>
      <c r="AT43" s="5" t="s">
        <v>470</v>
      </c>
      <c r="AU43" s="5" t="s">
        <v>470</v>
      </c>
      <c r="AV43" s="5" t="s">
        <v>470</v>
      </c>
      <c r="AW43" s="5" t="s">
        <v>470</v>
      </c>
      <c r="AX43" s="5" t="s">
        <v>470</v>
      </c>
      <c r="AY43" s="5" t="s">
        <v>470</v>
      </c>
      <c r="AZ43" s="5" t="s">
        <v>470</v>
      </c>
      <c r="BA43" s="5">
        <v>108</v>
      </c>
      <c r="BB43" s="5">
        <v>96</v>
      </c>
      <c r="BC43" s="5">
        <v>108</v>
      </c>
      <c r="BD43" s="5">
        <v>96</v>
      </c>
      <c r="BE43" s="5">
        <v>0.75</v>
      </c>
      <c r="BF43" s="5">
        <v>108</v>
      </c>
      <c r="BG43" s="5">
        <v>96</v>
      </c>
      <c r="BH43" s="5">
        <v>0.75</v>
      </c>
      <c r="BI43" s="5">
        <v>108</v>
      </c>
      <c r="BJ43" s="5">
        <v>96</v>
      </c>
      <c r="BK43" s="5">
        <v>0.75</v>
      </c>
      <c r="BL43" s="5">
        <v>108</v>
      </c>
      <c r="BM43" s="5">
        <v>96</v>
      </c>
      <c r="BN43" s="5">
        <v>0.75</v>
      </c>
      <c r="BO43" s="5">
        <v>108</v>
      </c>
      <c r="BP43" s="5">
        <v>96</v>
      </c>
      <c r="BQ43" s="5">
        <v>0.75</v>
      </c>
      <c r="BR43" s="5">
        <v>108</v>
      </c>
      <c r="BS43" s="5">
        <v>96</v>
      </c>
      <c r="BT43" s="5">
        <v>0.75</v>
      </c>
      <c r="BU43" s="5">
        <v>108</v>
      </c>
      <c r="BV43" s="5">
        <v>96</v>
      </c>
      <c r="BW43" s="5">
        <v>0.75</v>
      </c>
      <c r="BX43" s="5">
        <v>108</v>
      </c>
      <c r="BY43" s="5">
        <v>96</v>
      </c>
      <c r="BZ43" s="5">
        <v>0.75</v>
      </c>
      <c r="CA43" s="5" t="s">
        <v>470</v>
      </c>
      <c r="CB43" s="5" t="s">
        <v>470</v>
      </c>
      <c r="CC43" s="5"/>
      <c r="CD43" s="5" t="s">
        <v>470</v>
      </c>
      <c r="CE43" s="5" t="s">
        <v>470</v>
      </c>
      <c r="CF43" s="5"/>
      <c r="CG43" s="5" t="s">
        <v>470</v>
      </c>
      <c r="CH43" s="5" t="s">
        <v>470</v>
      </c>
      <c r="CI43" s="5"/>
      <c r="CJ43" s="5" t="s">
        <v>470</v>
      </c>
      <c r="CK43" s="5" t="s">
        <v>470</v>
      </c>
      <c r="CL43" s="5"/>
      <c r="CM43" s="5" t="s">
        <v>470</v>
      </c>
      <c r="CN43" s="5" t="s">
        <v>470</v>
      </c>
      <c r="CO43" s="5"/>
      <c r="CP43" s="5" t="s">
        <v>470</v>
      </c>
      <c r="CQ43" s="5" t="s">
        <v>470</v>
      </c>
      <c r="CR43" s="5"/>
      <c r="CS43" s="5" t="s">
        <v>470</v>
      </c>
      <c r="CT43" s="5" t="s">
        <v>470</v>
      </c>
      <c r="CU43" s="5"/>
      <c r="CV43" s="5" t="s">
        <v>470</v>
      </c>
      <c r="CW43" s="5" t="s">
        <v>470</v>
      </c>
      <c r="CX43" s="5"/>
      <c r="CY43" s="5" t="s">
        <v>470</v>
      </c>
      <c r="CZ43" s="5" t="s">
        <v>470</v>
      </c>
      <c r="DA43" s="5"/>
      <c r="DB43" s="5" t="s">
        <v>470</v>
      </c>
      <c r="DC43" s="5" t="s">
        <v>470</v>
      </c>
      <c r="DD43" s="5"/>
      <c r="DE43" s="5"/>
      <c r="DF43" s="5">
        <v>60</v>
      </c>
      <c r="DG43" s="5">
        <v>54</v>
      </c>
      <c r="DH43" s="5"/>
      <c r="DI43" s="5">
        <v>0.75</v>
      </c>
      <c r="DJ43" s="5">
        <v>22.5</v>
      </c>
      <c r="DK43" s="5">
        <v>16</v>
      </c>
      <c r="DL43" s="5">
        <v>121.40625</v>
      </c>
      <c r="DM43" s="5">
        <v>71.59375</v>
      </c>
      <c r="DN43" s="5">
        <v>49.8125</v>
      </c>
      <c r="DO43" s="5">
        <v>0.6875</v>
      </c>
      <c r="DP43" s="12">
        <v>60</v>
      </c>
      <c r="DQ43" s="5">
        <v>6</v>
      </c>
      <c r="DR43" s="13">
        <v>171.21875</v>
      </c>
      <c r="DS43" s="5">
        <v>121.40625</v>
      </c>
      <c r="DT43" s="5">
        <v>49.8125</v>
      </c>
      <c r="DU43" s="5">
        <v>0.5625</v>
      </c>
      <c r="DV43" s="5">
        <v>60</v>
      </c>
      <c r="DW43" s="5">
        <v>6</v>
      </c>
      <c r="DX43" s="5">
        <v>221</v>
      </c>
      <c r="DY43" s="5">
        <v>171.21875</v>
      </c>
      <c r="DZ43" s="5">
        <v>49.8125</v>
      </c>
      <c r="EA43" s="5">
        <v>0.5</v>
      </c>
      <c r="EB43" s="5">
        <v>45</v>
      </c>
      <c r="EC43" s="5">
        <v>8</v>
      </c>
      <c r="ED43" s="5" t="s">
        <v>470</v>
      </c>
      <c r="EE43" s="5" t="s">
        <v>470</v>
      </c>
      <c r="EF43" s="5" t="s">
        <v>470</v>
      </c>
      <c r="EG43" s="5" t="s">
        <v>470</v>
      </c>
      <c r="EH43" s="5" t="s">
        <v>470</v>
      </c>
      <c r="EI43" s="5" t="s">
        <v>470</v>
      </c>
      <c r="EJ43" s="5" t="s">
        <v>470</v>
      </c>
      <c r="EK43" s="5" t="s">
        <v>470</v>
      </c>
      <c r="EL43" s="5" t="s">
        <v>470</v>
      </c>
      <c r="EM43" s="5" t="s">
        <v>470</v>
      </c>
      <c r="EN43" s="5" t="s">
        <v>470</v>
      </c>
      <c r="EO43" s="5" t="s">
        <v>470</v>
      </c>
      <c r="EP43" s="5"/>
      <c r="EQ43" s="5"/>
      <c r="ER43" s="5"/>
      <c r="ES43" s="5"/>
      <c r="ET43" s="5"/>
      <c r="EU43" s="5"/>
      <c r="EV43" s="5"/>
      <c r="EW43" s="5"/>
      <c r="EX43" s="5"/>
      <c r="EY43" s="5">
        <v>0.375</v>
      </c>
      <c r="EZ43" s="5">
        <v>197.8125</v>
      </c>
      <c r="FA43" s="5">
        <v>24</v>
      </c>
      <c r="FB43" s="5">
        <v>15</v>
      </c>
      <c r="FC43" s="5">
        <v>45</v>
      </c>
      <c r="FD43" s="5">
        <v>81</v>
      </c>
      <c r="FE43" s="5" t="s">
        <v>512</v>
      </c>
      <c r="FF43" s="5">
        <v>0.25</v>
      </c>
      <c r="FG43" s="5">
        <v>197.875</v>
      </c>
      <c r="FH43" s="5">
        <v>25</v>
      </c>
      <c r="FI43" s="5">
        <v>14.4</v>
      </c>
      <c r="FJ43" s="5">
        <v>45</v>
      </c>
      <c r="FK43" s="5">
        <v>81</v>
      </c>
      <c r="FL43" s="5" t="s">
        <v>512</v>
      </c>
      <c r="FM43" s="5">
        <v>0.25</v>
      </c>
      <c r="FN43" s="5">
        <v>312.6875</v>
      </c>
      <c r="FO43" s="5">
        <v>20</v>
      </c>
      <c r="FP43" s="5">
        <v>18</v>
      </c>
      <c r="FQ43" s="5">
        <v>83.953199999999995</v>
      </c>
      <c r="FR43" s="5">
        <v>0</v>
      </c>
      <c r="FS43" s="5" t="s">
        <v>512</v>
      </c>
      <c r="FT43" s="5">
        <v>50</v>
      </c>
      <c r="FU43" s="5">
        <v>21</v>
      </c>
      <c r="FV43" s="5">
        <v>29</v>
      </c>
      <c r="FW43" s="5">
        <v>0.5</v>
      </c>
      <c r="FX43" s="5">
        <v>4</v>
      </c>
      <c r="FY43" s="5">
        <v>46</v>
      </c>
      <c r="FZ43" s="5">
        <v>56</v>
      </c>
      <c r="GA43" s="5">
        <v>1.25</v>
      </c>
      <c r="GB43" s="5">
        <v>120</v>
      </c>
      <c r="GC43" s="5">
        <v>3</v>
      </c>
      <c r="GD43" s="5">
        <v>20</v>
      </c>
      <c r="GE43" s="5">
        <v>24</v>
      </c>
      <c r="GF43" s="5">
        <v>1</v>
      </c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</row>
    <row r="44" spans="1:201" s="1" customFormat="1" ht="15.75" customHeight="1" x14ac:dyDescent="0.25">
      <c r="A44" s="4" t="s">
        <v>513</v>
      </c>
      <c r="B44" s="5"/>
      <c r="C44" s="5">
        <v>300</v>
      </c>
      <c r="D44" s="5">
        <v>23</v>
      </c>
      <c r="E44" s="6">
        <v>22.333333333300001</v>
      </c>
      <c r="F44" s="5" t="s">
        <v>469</v>
      </c>
      <c r="G44" s="5">
        <v>0</v>
      </c>
      <c r="H44" s="5">
        <f t="shared" si="0"/>
        <v>276</v>
      </c>
      <c r="I44" s="5">
        <f t="shared" si="4"/>
        <v>145</v>
      </c>
      <c r="J44" s="5">
        <f t="shared" si="2"/>
        <v>133</v>
      </c>
      <c r="K44" s="5">
        <v>45</v>
      </c>
      <c r="L44" s="5">
        <v>1.125</v>
      </c>
      <c r="M44" s="5">
        <v>8</v>
      </c>
      <c r="N44" s="5"/>
      <c r="O44" s="5"/>
      <c r="P44" s="5"/>
      <c r="Q44" s="5"/>
      <c r="R44" s="5"/>
      <c r="S44" s="5"/>
      <c r="T44" s="5">
        <f t="shared" si="5"/>
        <v>138</v>
      </c>
      <c r="U44" s="5">
        <v>110.703125</v>
      </c>
      <c r="V44" s="5">
        <v>84</v>
      </c>
      <c r="W44" s="5">
        <v>0.4375</v>
      </c>
      <c r="X44" s="5">
        <v>45</v>
      </c>
      <c r="Y44" s="5">
        <v>8</v>
      </c>
      <c r="Z44" s="5">
        <v>110.703125</v>
      </c>
      <c r="AA44" s="5">
        <v>83.40625</v>
      </c>
      <c r="AB44" s="5">
        <v>84</v>
      </c>
      <c r="AC44" s="5">
        <v>0.5</v>
      </c>
      <c r="AD44" s="5">
        <v>60</v>
      </c>
      <c r="AE44" s="5">
        <v>6</v>
      </c>
      <c r="AF44" s="5">
        <v>0</v>
      </c>
      <c r="AG44" s="5">
        <v>83.40625</v>
      </c>
      <c r="AH44" s="5">
        <v>56.9375</v>
      </c>
      <c r="AI44" s="5">
        <v>81.4375</v>
      </c>
      <c r="AJ44" s="5">
        <v>0.625</v>
      </c>
      <c r="AK44" s="5">
        <v>90</v>
      </c>
      <c r="AL44" s="5">
        <v>4</v>
      </c>
      <c r="AM44" s="5"/>
      <c r="AN44" s="5">
        <v>56.9375</v>
      </c>
      <c r="AO44" s="5">
        <v>54</v>
      </c>
      <c r="AP44" s="5">
        <v>18.5625</v>
      </c>
      <c r="AQ44" s="5">
        <v>0.625</v>
      </c>
      <c r="AR44" s="5">
        <v>36</v>
      </c>
      <c r="AS44" s="5">
        <v>10</v>
      </c>
      <c r="AT44" s="5" t="s">
        <v>470</v>
      </c>
      <c r="AU44" s="5" t="s">
        <v>470</v>
      </c>
      <c r="AV44" s="5" t="s">
        <v>470</v>
      </c>
      <c r="AW44" s="5" t="s">
        <v>470</v>
      </c>
      <c r="AX44" s="5" t="s">
        <v>470</v>
      </c>
      <c r="AY44" s="5" t="s">
        <v>470</v>
      </c>
      <c r="AZ44" s="5" t="s">
        <v>470</v>
      </c>
      <c r="BA44" s="5">
        <v>108</v>
      </c>
      <c r="BB44" s="5">
        <v>96</v>
      </c>
      <c r="BC44" s="5">
        <v>108</v>
      </c>
      <c r="BD44" s="5">
        <v>96</v>
      </c>
      <c r="BE44" s="5">
        <v>0.75</v>
      </c>
      <c r="BF44" s="5">
        <v>108</v>
      </c>
      <c r="BG44" s="5">
        <v>96</v>
      </c>
      <c r="BH44" s="5">
        <v>0.75</v>
      </c>
      <c r="BI44" s="5">
        <v>108</v>
      </c>
      <c r="BJ44" s="5">
        <v>96</v>
      </c>
      <c r="BK44" s="5">
        <v>0.75</v>
      </c>
      <c r="BL44" s="5">
        <v>108</v>
      </c>
      <c r="BM44" s="5">
        <v>96</v>
      </c>
      <c r="BN44" s="5">
        <v>0.75</v>
      </c>
      <c r="BO44" s="5">
        <v>108</v>
      </c>
      <c r="BP44" s="5">
        <v>96</v>
      </c>
      <c r="BQ44" s="5">
        <v>0.75</v>
      </c>
      <c r="BR44" s="5">
        <v>108</v>
      </c>
      <c r="BS44" s="5">
        <v>96</v>
      </c>
      <c r="BT44" s="5">
        <v>0.75</v>
      </c>
      <c r="BU44" s="5">
        <v>108</v>
      </c>
      <c r="BV44" s="5">
        <v>96</v>
      </c>
      <c r="BW44" s="5">
        <v>0.75</v>
      </c>
      <c r="BX44" s="5">
        <v>108</v>
      </c>
      <c r="BY44" s="5">
        <v>96</v>
      </c>
      <c r="BZ44" s="5">
        <v>0.75</v>
      </c>
      <c r="CA44" s="5" t="s">
        <v>470</v>
      </c>
      <c r="CB44" s="5" t="s">
        <v>470</v>
      </c>
      <c r="CC44" s="5"/>
      <c r="CD44" s="5" t="s">
        <v>470</v>
      </c>
      <c r="CE44" s="5" t="s">
        <v>470</v>
      </c>
      <c r="CF44" s="5"/>
      <c r="CG44" s="5" t="s">
        <v>470</v>
      </c>
      <c r="CH44" s="5" t="s">
        <v>470</v>
      </c>
      <c r="CI44" s="5"/>
      <c r="CJ44" s="5" t="s">
        <v>470</v>
      </c>
      <c r="CK44" s="5" t="s">
        <v>470</v>
      </c>
      <c r="CL44" s="5"/>
      <c r="CM44" s="5" t="s">
        <v>470</v>
      </c>
      <c r="CN44" s="5" t="s">
        <v>470</v>
      </c>
      <c r="CO44" s="5"/>
      <c r="CP44" s="5" t="s">
        <v>470</v>
      </c>
      <c r="CQ44" s="5" t="s">
        <v>470</v>
      </c>
      <c r="CR44" s="5"/>
      <c r="CS44" s="5" t="s">
        <v>470</v>
      </c>
      <c r="CT44" s="5" t="s">
        <v>470</v>
      </c>
      <c r="CU44" s="5"/>
      <c r="CV44" s="5" t="s">
        <v>470</v>
      </c>
      <c r="CW44" s="5" t="s">
        <v>470</v>
      </c>
      <c r="CX44" s="5"/>
      <c r="CY44" s="5" t="s">
        <v>470</v>
      </c>
      <c r="CZ44" s="5" t="s">
        <v>470</v>
      </c>
      <c r="DA44" s="5"/>
      <c r="DB44" s="5" t="s">
        <v>470</v>
      </c>
      <c r="DC44" s="5" t="s">
        <v>470</v>
      </c>
      <c r="DD44" s="5"/>
      <c r="DE44" s="5"/>
      <c r="DF44" s="5">
        <v>60</v>
      </c>
      <c r="DG44" s="5">
        <v>54</v>
      </c>
      <c r="DH44" s="5"/>
      <c r="DI44" s="5">
        <v>0.75</v>
      </c>
      <c r="DJ44" s="5">
        <v>22.5</v>
      </c>
      <c r="DK44" s="5">
        <v>16</v>
      </c>
      <c r="DL44" s="5">
        <v>121.40625</v>
      </c>
      <c r="DM44" s="5">
        <v>71.59375</v>
      </c>
      <c r="DN44" s="5">
        <v>49.8125</v>
      </c>
      <c r="DO44" s="5">
        <v>0.6875</v>
      </c>
      <c r="DP44" s="12">
        <v>60</v>
      </c>
      <c r="DQ44" s="5">
        <v>6</v>
      </c>
      <c r="DR44" s="13">
        <v>171.21875</v>
      </c>
      <c r="DS44" s="5">
        <v>121.40625</v>
      </c>
      <c r="DT44" s="5">
        <v>49.8125</v>
      </c>
      <c r="DU44" s="5">
        <v>0.5625</v>
      </c>
      <c r="DV44" s="5">
        <v>60</v>
      </c>
      <c r="DW44" s="5">
        <v>6</v>
      </c>
      <c r="DX44" s="5">
        <v>221</v>
      </c>
      <c r="DY44" s="5">
        <v>171.21875</v>
      </c>
      <c r="DZ44" s="5">
        <v>49.8125</v>
      </c>
      <c r="EA44" s="5">
        <v>0.5</v>
      </c>
      <c r="EB44" s="5">
        <v>45</v>
      </c>
      <c r="EC44" s="5">
        <v>8</v>
      </c>
      <c r="ED44" s="5" t="s">
        <v>470</v>
      </c>
      <c r="EE44" s="5" t="s">
        <v>470</v>
      </c>
      <c r="EF44" s="5" t="s">
        <v>470</v>
      </c>
      <c r="EG44" s="5" t="s">
        <v>470</v>
      </c>
      <c r="EH44" s="5" t="s">
        <v>470</v>
      </c>
      <c r="EI44" s="5" t="s">
        <v>470</v>
      </c>
      <c r="EJ44" s="5" t="s">
        <v>470</v>
      </c>
      <c r="EK44" s="5" t="s">
        <v>470</v>
      </c>
      <c r="EL44" s="5" t="s">
        <v>470</v>
      </c>
      <c r="EM44" s="5" t="s">
        <v>470</v>
      </c>
      <c r="EN44" s="5" t="s">
        <v>470</v>
      </c>
      <c r="EO44" s="5" t="s">
        <v>470</v>
      </c>
      <c r="EP44" s="5"/>
      <c r="EQ44" s="5"/>
      <c r="ER44" s="5"/>
      <c r="ES44" s="5"/>
      <c r="ET44" s="5"/>
      <c r="EU44" s="5"/>
      <c r="EV44" s="5"/>
      <c r="EW44" s="5"/>
      <c r="EX44" s="5"/>
      <c r="EY44" s="5">
        <v>0.375</v>
      </c>
      <c r="EZ44" s="5">
        <v>197.8125</v>
      </c>
      <c r="FA44" s="5">
        <v>24</v>
      </c>
      <c r="FB44" s="5">
        <v>15</v>
      </c>
      <c r="FC44" s="5">
        <v>45</v>
      </c>
      <c r="FD44" s="5">
        <v>81</v>
      </c>
      <c r="FE44" s="5" t="s">
        <v>512</v>
      </c>
      <c r="FF44" s="5">
        <v>0.25</v>
      </c>
      <c r="FG44" s="5">
        <v>197.875</v>
      </c>
      <c r="FH44" s="5">
        <v>25</v>
      </c>
      <c r="FI44" s="5">
        <v>14.4</v>
      </c>
      <c r="FJ44" s="5">
        <v>45</v>
      </c>
      <c r="FK44" s="5">
        <v>81</v>
      </c>
      <c r="FL44" s="5" t="s">
        <v>512</v>
      </c>
      <c r="FM44" s="5">
        <v>0.25</v>
      </c>
      <c r="FN44" s="5">
        <v>312.6875</v>
      </c>
      <c r="FO44" s="5">
        <v>20</v>
      </c>
      <c r="FP44" s="5">
        <v>18</v>
      </c>
      <c r="FQ44" s="5">
        <v>83.953199999999995</v>
      </c>
      <c r="FR44" s="5">
        <v>0</v>
      </c>
      <c r="FS44" s="5" t="s">
        <v>512</v>
      </c>
      <c r="FT44" s="5">
        <v>50</v>
      </c>
      <c r="FU44" s="5">
        <v>21</v>
      </c>
      <c r="FV44" s="5">
        <v>29</v>
      </c>
      <c r="FW44" s="5">
        <v>0.5</v>
      </c>
      <c r="FX44" s="5">
        <v>4</v>
      </c>
      <c r="FY44" s="5">
        <v>46</v>
      </c>
      <c r="FZ44" s="5">
        <v>56</v>
      </c>
      <c r="GA44" s="5">
        <v>1.25</v>
      </c>
      <c r="GB44" s="5">
        <v>120</v>
      </c>
      <c r="GC44" s="5">
        <v>3</v>
      </c>
      <c r="GD44" s="5">
        <v>20</v>
      </c>
      <c r="GE44" s="5">
        <v>24</v>
      </c>
      <c r="GF44" s="5">
        <v>1</v>
      </c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</row>
    <row r="45" spans="1:201" s="1" customFormat="1" ht="15.75" customHeight="1" x14ac:dyDescent="0.25">
      <c r="A45" s="4" t="s">
        <v>514</v>
      </c>
      <c r="B45" s="5"/>
      <c r="C45" s="5">
        <v>300</v>
      </c>
      <c r="D45" s="5">
        <v>25</v>
      </c>
      <c r="E45" s="6">
        <v>25</v>
      </c>
      <c r="F45" s="5" t="s">
        <v>469</v>
      </c>
      <c r="G45" s="5">
        <v>0</v>
      </c>
      <c r="H45" s="5">
        <f t="shared" si="0"/>
        <v>300</v>
      </c>
      <c r="I45" s="5">
        <f t="shared" si="4"/>
        <v>157</v>
      </c>
      <c r="J45" s="5">
        <f t="shared" si="2"/>
        <v>145</v>
      </c>
      <c r="K45" s="5">
        <v>40</v>
      </c>
      <c r="L45" s="5">
        <v>1.25</v>
      </c>
      <c r="M45" s="5">
        <v>9</v>
      </c>
      <c r="N45" s="5">
        <v>20</v>
      </c>
      <c r="O45" s="5">
        <v>9</v>
      </c>
      <c r="P45" s="5">
        <v>20</v>
      </c>
      <c r="Q45" s="5">
        <v>40</v>
      </c>
      <c r="R45" s="5" t="s">
        <v>470</v>
      </c>
      <c r="S45" s="5">
        <v>40</v>
      </c>
      <c r="T45" s="5">
        <f t="shared" si="5"/>
        <v>150</v>
      </c>
      <c r="U45" s="5">
        <v>122.2255</v>
      </c>
      <c r="V45" s="5">
        <v>84</v>
      </c>
      <c r="W45" s="5">
        <v>0.5</v>
      </c>
      <c r="X45" s="5">
        <v>40</v>
      </c>
      <c r="Y45" s="5">
        <v>9</v>
      </c>
      <c r="Z45" s="5">
        <v>122.2255</v>
      </c>
      <c r="AA45" s="5">
        <v>94.450900000000004</v>
      </c>
      <c r="AB45" s="5">
        <v>84</v>
      </c>
      <c r="AC45" s="5">
        <v>0.5625</v>
      </c>
      <c r="AD45" s="5">
        <v>60</v>
      </c>
      <c r="AE45" s="5">
        <v>6</v>
      </c>
      <c r="AF45" s="5">
        <v>0</v>
      </c>
      <c r="AG45" s="5">
        <v>94.450900000000004</v>
      </c>
      <c r="AH45" s="5">
        <v>66.676400000000001</v>
      </c>
      <c r="AI45" s="5">
        <v>84</v>
      </c>
      <c r="AJ45" s="5">
        <v>0.6875</v>
      </c>
      <c r="AK45" s="5">
        <v>90</v>
      </c>
      <c r="AL45" s="5">
        <v>4</v>
      </c>
      <c r="AM45" s="5">
        <v>0</v>
      </c>
      <c r="AN45" s="5">
        <v>66.676400000000001</v>
      </c>
      <c r="AO45" s="5">
        <v>57.033299999999997</v>
      </c>
      <c r="AP45" s="5">
        <v>29.1875</v>
      </c>
      <c r="AQ45" s="5">
        <v>0.8125</v>
      </c>
      <c r="AR45" s="5">
        <v>90</v>
      </c>
      <c r="AS45" s="5">
        <v>4</v>
      </c>
      <c r="AT45" s="5">
        <v>60</v>
      </c>
      <c r="AU45" s="5">
        <v>57.033299999999997</v>
      </c>
      <c r="AV45" s="5">
        <v>54</v>
      </c>
      <c r="AW45" s="5">
        <v>18.8125</v>
      </c>
      <c r="AX45" s="5">
        <v>0.8125</v>
      </c>
      <c r="AY45" s="5">
        <v>36</v>
      </c>
      <c r="AZ45" s="5">
        <v>10</v>
      </c>
      <c r="BA45" s="5">
        <v>108</v>
      </c>
      <c r="BB45" s="5">
        <v>96</v>
      </c>
      <c r="BC45" s="5">
        <v>108</v>
      </c>
      <c r="BD45" s="5">
        <v>96</v>
      </c>
      <c r="BE45" s="5">
        <v>0.75</v>
      </c>
      <c r="BF45" s="5">
        <v>108</v>
      </c>
      <c r="BG45" s="5">
        <v>96</v>
      </c>
      <c r="BH45" s="5">
        <v>0.75</v>
      </c>
      <c r="BI45" s="5">
        <v>108</v>
      </c>
      <c r="BJ45" s="5">
        <v>96</v>
      </c>
      <c r="BK45" s="5">
        <v>0.75</v>
      </c>
      <c r="BL45" s="5">
        <v>108</v>
      </c>
      <c r="BM45" s="5">
        <v>96</v>
      </c>
      <c r="BN45" s="5">
        <v>0.75</v>
      </c>
      <c r="BO45" s="5">
        <v>108</v>
      </c>
      <c r="BP45" s="5">
        <v>96</v>
      </c>
      <c r="BQ45" s="5">
        <v>0.75</v>
      </c>
      <c r="BR45" s="5">
        <v>108</v>
      </c>
      <c r="BS45" s="5">
        <v>96</v>
      </c>
      <c r="BT45" s="5">
        <v>0.75</v>
      </c>
      <c r="BU45" s="5">
        <v>108</v>
      </c>
      <c r="BV45" s="5">
        <v>96</v>
      </c>
      <c r="BW45" s="5">
        <v>0.75</v>
      </c>
      <c r="BX45" s="5">
        <v>108</v>
      </c>
      <c r="BY45" s="5">
        <v>96</v>
      </c>
      <c r="BZ45" s="5">
        <v>0.75</v>
      </c>
      <c r="CA45" s="5" t="s">
        <v>470</v>
      </c>
      <c r="CB45" s="5" t="s">
        <v>470</v>
      </c>
      <c r="CC45" s="5"/>
      <c r="CD45" s="5" t="s">
        <v>470</v>
      </c>
      <c r="CE45" s="5" t="s">
        <v>470</v>
      </c>
      <c r="CF45" s="5"/>
      <c r="CG45" s="5" t="s">
        <v>470</v>
      </c>
      <c r="CH45" s="5" t="s">
        <v>470</v>
      </c>
      <c r="CI45" s="5"/>
      <c r="CJ45" s="5" t="s">
        <v>470</v>
      </c>
      <c r="CK45" s="5" t="s">
        <v>470</v>
      </c>
      <c r="CL45" s="5"/>
      <c r="CM45" s="5" t="s">
        <v>470</v>
      </c>
      <c r="CN45" s="5" t="s">
        <v>470</v>
      </c>
      <c r="CO45" s="5"/>
      <c r="CP45" s="5" t="s">
        <v>470</v>
      </c>
      <c r="CQ45" s="5" t="s">
        <v>470</v>
      </c>
      <c r="CR45" s="5"/>
      <c r="CS45" s="5" t="s">
        <v>470</v>
      </c>
      <c r="CT45" s="5" t="s">
        <v>470</v>
      </c>
      <c r="CU45" s="5"/>
      <c r="CV45" s="5" t="s">
        <v>470</v>
      </c>
      <c r="CW45" s="5" t="s">
        <v>470</v>
      </c>
      <c r="CX45" s="5"/>
      <c r="CY45" s="5" t="s">
        <v>470</v>
      </c>
      <c r="CZ45" s="5" t="s">
        <v>470</v>
      </c>
      <c r="DA45" s="5"/>
      <c r="DB45" s="5" t="s">
        <v>470</v>
      </c>
      <c r="DC45" s="5" t="s">
        <v>470</v>
      </c>
      <c r="DD45" s="5"/>
      <c r="DE45" s="5">
        <v>60</v>
      </c>
      <c r="DF45" s="5">
        <v>54</v>
      </c>
      <c r="DG45" s="5">
        <v>71.59375</v>
      </c>
      <c r="DH45" s="5" t="s">
        <v>515</v>
      </c>
      <c r="DI45" s="5">
        <v>0.75</v>
      </c>
      <c r="DJ45" s="5">
        <v>22.5</v>
      </c>
      <c r="DK45" s="5">
        <v>16</v>
      </c>
      <c r="DL45" s="5">
        <v>121.40625</v>
      </c>
      <c r="DM45" s="5">
        <v>71.59375</v>
      </c>
      <c r="DN45" s="5">
        <v>49.8125</v>
      </c>
      <c r="DO45" s="5">
        <v>0.6875</v>
      </c>
      <c r="DP45" s="12">
        <v>60</v>
      </c>
      <c r="DQ45" s="5">
        <v>6</v>
      </c>
      <c r="DR45" s="13">
        <v>171.21875</v>
      </c>
      <c r="DS45" s="5">
        <v>121.40625</v>
      </c>
      <c r="DT45" s="5">
        <v>49.8125</v>
      </c>
      <c r="DU45" s="5">
        <v>0.5625</v>
      </c>
      <c r="DV45" s="5">
        <v>60</v>
      </c>
      <c r="DW45" s="5">
        <v>6</v>
      </c>
      <c r="DX45" s="5">
        <v>221</v>
      </c>
      <c r="DY45" s="5">
        <v>171.21875</v>
      </c>
      <c r="DZ45" s="5">
        <v>49.8125</v>
      </c>
      <c r="EA45" s="5">
        <v>0.5</v>
      </c>
      <c r="EB45" s="5">
        <v>45</v>
      </c>
      <c r="EC45" s="5">
        <v>8</v>
      </c>
      <c r="ED45" s="5" t="s">
        <v>470</v>
      </c>
      <c r="EE45" s="5" t="s">
        <v>470</v>
      </c>
      <c r="EF45" s="5" t="s">
        <v>470</v>
      </c>
      <c r="EG45" s="5" t="s">
        <v>470</v>
      </c>
      <c r="EH45" s="5" t="s">
        <v>470</v>
      </c>
      <c r="EI45" s="5" t="s">
        <v>470</v>
      </c>
      <c r="EJ45" s="5" t="s">
        <v>470</v>
      </c>
      <c r="EK45" s="5" t="s">
        <v>470</v>
      </c>
      <c r="EL45" s="5" t="s">
        <v>470</v>
      </c>
      <c r="EM45" s="5" t="s">
        <v>470</v>
      </c>
      <c r="EN45" s="5" t="s">
        <v>470</v>
      </c>
      <c r="EO45" s="5" t="s">
        <v>470</v>
      </c>
      <c r="EP45" s="5"/>
      <c r="EQ45" s="5"/>
      <c r="ER45" s="5"/>
      <c r="ES45" s="5"/>
      <c r="ET45" s="5"/>
      <c r="EU45" s="5"/>
      <c r="EV45" s="5"/>
      <c r="EW45" s="5"/>
      <c r="EX45" s="5"/>
      <c r="EY45" s="5">
        <v>0.375</v>
      </c>
      <c r="EZ45" s="5">
        <v>197.8125</v>
      </c>
      <c r="FA45" s="5">
        <v>24</v>
      </c>
      <c r="FB45" s="5">
        <v>15</v>
      </c>
      <c r="FC45" s="5">
        <v>15</v>
      </c>
      <c r="FD45" s="5">
        <v>81</v>
      </c>
      <c r="FE45" s="5" t="s">
        <v>512</v>
      </c>
      <c r="FF45" s="5">
        <v>0.25</v>
      </c>
      <c r="FG45" s="5">
        <v>197.875</v>
      </c>
      <c r="FH45" s="5">
        <v>25</v>
      </c>
      <c r="FI45" s="5">
        <v>14.4</v>
      </c>
      <c r="FJ45" s="5">
        <v>45</v>
      </c>
      <c r="FK45" s="5">
        <v>81</v>
      </c>
      <c r="FL45" s="5" t="s">
        <v>512</v>
      </c>
      <c r="FM45" s="5">
        <v>0.25</v>
      </c>
      <c r="FN45" s="5">
        <v>312.6875</v>
      </c>
      <c r="FO45" s="5">
        <v>20</v>
      </c>
      <c r="FP45" s="5">
        <v>18</v>
      </c>
      <c r="FQ45" s="5">
        <v>83.953199999999995</v>
      </c>
      <c r="FR45" s="5">
        <v>0</v>
      </c>
      <c r="FS45" s="5" t="s">
        <v>512</v>
      </c>
      <c r="FT45" s="5">
        <v>50</v>
      </c>
      <c r="FU45" s="5">
        <v>21</v>
      </c>
      <c r="FV45" s="5">
        <v>29</v>
      </c>
      <c r="FW45" s="5">
        <v>0.5</v>
      </c>
      <c r="FX45" s="5">
        <v>4</v>
      </c>
      <c r="FY45" s="5">
        <v>46</v>
      </c>
      <c r="FZ45" s="5">
        <v>56</v>
      </c>
      <c r="GA45" s="5">
        <v>1.25</v>
      </c>
      <c r="GB45" s="5">
        <v>120</v>
      </c>
      <c r="GC45" s="5">
        <v>3</v>
      </c>
      <c r="GD45" s="5">
        <v>20</v>
      </c>
      <c r="GE45" s="5">
        <v>24</v>
      </c>
      <c r="GF45" s="5">
        <v>1</v>
      </c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</row>
    <row r="46" spans="1:201" s="1" customFormat="1" ht="15.75" customHeight="1" x14ac:dyDescent="0.25">
      <c r="A46" s="4" t="s">
        <v>516</v>
      </c>
      <c r="B46" s="5"/>
      <c r="C46" s="5">
        <v>300</v>
      </c>
      <c r="D46" s="5">
        <v>28</v>
      </c>
      <c r="E46" s="6">
        <v>25</v>
      </c>
      <c r="F46" s="5" t="s">
        <v>469</v>
      </c>
      <c r="G46" s="5">
        <v>0</v>
      </c>
      <c r="H46" s="5">
        <f t="shared" si="0"/>
        <v>336</v>
      </c>
      <c r="I46" s="5">
        <f t="shared" si="4"/>
        <v>175</v>
      </c>
      <c r="J46" s="5">
        <f t="shared" si="2"/>
        <v>163</v>
      </c>
      <c r="K46" s="5">
        <v>40</v>
      </c>
      <c r="L46" s="5">
        <v>1.1875</v>
      </c>
      <c r="M46" s="5">
        <v>9</v>
      </c>
      <c r="N46" s="5">
        <v>16</v>
      </c>
      <c r="O46" s="5">
        <v>11.25</v>
      </c>
      <c r="P46" s="5">
        <v>16</v>
      </c>
      <c r="Q46" s="5">
        <v>32</v>
      </c>
      <c r="R46" s="5" t="s">
        <v>470</v>
      </c>
      <c r="S46" s="5">
        <v>32</v>
      </c>
      <c r="T46" s="5">
        <f t="shared" si="5"/>
        <v>168</v>
      </c>
      <c r="U46" s="5">
        <v>134.81735</v>
      </c>
      <c r="V46" s="5">
        <v>84</v>
      </c>
      <c r="W46" s="5">
        <v>0.5</v>
      </c>
      <c r="X46" s="5">
        <v>40</v>
      </c>
      <c r="Y46" s="5">
        <v>9</v>
      </c>
      <c r="Z46" s="5">
        <v>134.81735</v>
      </c>
      <c r="AA46" s="5">
        <v>101.6347</v>
      </c>
      <c r="AB46" s="5">
        <v>84</v>
      </c>
      <c r="AC46" s="5">
        <v>0.5</v>
      </c>
      <c r="AD46" s="5">
        <v>45</v>
      </c>
      <c r="AE46" s="5">
        <v>8</v>
      </c>
      <c r="AF46" s="5">
        <v>0</v>
      </c>
      <c r="AG46" s="5">
        <v>101.6347</v>
      </c>
      <c r="AH46" s="5">
        <v>68.45205</v>
      </c>
      <c r="AI46" s="5">
        <v>84</v>
      </c>
      <c r="AJ46" s="5">
        <v>0.625</v>
      </c>
      <c r="AK46" s="5">
        <v>60</v>
      </c>
      <c r="AL46" s="5">
        <v>6</v>
      </c>
      <c r="AM46" s="5">
        <v>0</v>
      </c>
      <c r="AN46" s="5">
        <v>68.45205</v>
      </c>
      <c r="AO46" s="5">
        <v>58.205950000000001</v>
      </c>
      <c r="AP46" s="5">
        <v>25.9375</v>
      </c>
      <c r="AQ46" s="5">
        <v>0.6875</v>
      </c>
      <c r="AR46" s="5">
        <v>90</v>
      </c>
      <c r="AS46" s="5">
        <v>4</v>
      </c>
      <c r="AT46" s="5"/>
      <c r="AU46" s="5">
        <v>58.205950000000001</v>
      </c>
      <c r="AV46" s="5">
        <v>54</v>
      </c>
      <c r="AW46" s="5">
        <v>22.0625</v>
      </c>
      <c r="AX46" s="5">
        <v>0.6875</v>
      </c>
      <c r="AY46" s="5">
        <v>36</v>
      </c>
      <c r="AZ46" s="5">
        <v>10</v>
      </c>
      <c r="BA46" s="5">
        <v>108</v>
      </c>
      <c r="BB46" s="5">
        <v>96</v>
      </c>
      <c r="BC46" s="5">
        <v>108</v>
      </c>
      <c r="BD46" s="5">
        <v>96</v>
      </c>
      <c r="BE46" s="5">
        <v>0.75</v>
      </c>
      <c r="BF46" s="5">
        <v>108</v>
      </c>
      <c r="BG46" s="5">
        <v>96</v>
      </c>
      <c r="BH46" s="5">
        <v>0.75</v>
      </c>
      <c r="BI46" s="5">
        <v>108</v>
      </c>
      <c r="BJ46" s="5">
        <v>96</v>
      </c>
      <c r="BK46" s="5">
        <v>0.75</v>
      </c>
      <c r="BL46" s="5">
        <v>108</v>
      </c>
      <c r="BM46" s="5">
        <v>96</v>
      </c>
      <c r="BN46" s="5">
        <v>0.75</v>
      </c>
      <c r="BO46" s="5">
        <v>108</v>
      </c>
      <c r="BP46" s="5">
        <v>96</v>
      </c>
      <c r="BQ46" s="5">
        <v>0.75</v>
      </c>
      <c r="BR46" s="5">
        <v>108</v>
      </c>
      <c r="BS46" s="5">
        <v>96</v>
      </c>
      <c r="BT46" s="5">
        <v>0.75</v>
      </c>
      <c r="BU46" s="5">
        <v>108</v>
      </c>
      <c r="BV46" s="5">
        <v>96</v>
      </c>
      <c r="BW46" s="5">
        <v>0.75</v>
      </c>
      <c r="BX46" s="5">
        <v>108</v>
      </c>
      <c r="BY46" s="5">
        <v>96</v>
      </c>
      <c r="BZ46" s="5">
        <v>0.75</v>
      </c>
      <c r="CA46" s="5" t="s">
        <v>470</v>
      </c>
      <c r="CB46" s="5" t="s">
        <v>470</v>
      </c>
      <c r="CC46" s="5"/>
      <c r="CD46" s="5" t="s">
        <v>470</v>
      </c>
      <c r="CE46" s="5" t="s">
        <v>470</v>
      </c>
      <c r="CF46" s="5"/>
      <c r="CG46" s="5" t="s">
        <v>470</v>
      </c>
      <c r="CH46" s="5" t="s">
        <v>470</v>
      </c>
      <c r="CI46" s="5"/>
      <c r="CJ46" s="5" t="s">
        <v>470</v>
      </c>
      <c r="CK46" s="5" t="s">
        <v>470</v>
      </c>
      <c r="CL46" s="5"/>
      <c r="CM46" s="5" t="s">
        <v>470</v>
      </c>
      <c r="CN46" s="5" t="s">
        <v>470</v>
      </c>
      <c r="CO46" s="5"/>
      <c r="CP46" s="5" t="s">
        <v>470</v>
      </c>
      <c r="CQ46" s="5" t="s">
        <v>470</v>
      </c>
      <c r="CR46" s="5"/>
      <c r="CS46" s="5" t="s">
        <v>470</v>
      </c>
      <c r="CT46" s="5" t="s">
        <v>470</v>
      </c>
      <c r="CU46" s="5"/>
      <c r="CV46" s="5" t="s">
        <v>470</v>
      </c>
      <c r="CW46" s="5" t="s">
        <v>470</v>
      </c>
      <c r="CX46" s="5"/>
      <c r="CY46" s="5" t="s">
        <v>470</v>
      </c>
      <c r="CZ46" s="5" t="s">
        <v>470</v>
      </c>
      <c r="DA46" s="5"/>
      <c r="DB46" s="5" t="s">
        <v>470</v>
      </c>
      <c r="DC46" s="5" t="s">
        <v>470</v>
      </c>
      <c r="DD46" s="5"/>
      <c r="DE46" s="5"/>
      <c r="DF46" s="5">
        <v>60</v>
      </c>
      <c r="DG46" s="5">
        <v>54</v>
      </c>
      <c r="DH46" s="5"/>
      <c r="DI46" s="5">
        <v>0.75</v>
      </c>
      <c r="DJ46" s="5">
        <v>22.5</v>
      </c>
      <c r="DK46" s="5">
        <v>16</v>
      </c>
      <c r="DL46" s="5">
        <v>121.40625</v>
      </c>
      <c r="DM46" s="5">
        <v>71.59375</v>
      </c>
      <c r="DN46" s="5">
        <v>49.8125</v>
      </c>
      <c r="DO46" s="5">
        <v>0.6875</v>
      </c>
      <c r="DP46" s="12">
        <v>60</v>
      </c>
      <c r="DQ46" s="5">
        <v>6</v>
      </c>
      <c r="DR46" s="13">
        <v>171.21875</v>
      </c>
      <c r="DS46" s="5">
        <v>121.40625</v>
      </c>
      <c r="DT46" s="5">
        <v>49.8125</v>
      </c>
      <c r="DU46" s="5">
        <v>0.5625</v>
      </c>
      <c r="DV46" s="5">
        <v>60</v>
      </c>
      <c r="DW46" s="5">
        <v>6</v>
      </c>
      <c r="DX46" s="5">
        <v>221</v>
      </c>
      <c r="DY46" s="5">
        <v>171.21875</v>
      </c>
      <c r="DZ46" s="5">
        <v>49.8125</v>
      </c>
      <c r="EA46" s="5">
        <v>0.5</v>
      </c>
      <c r="EB46" s="5">
        <v>45</v>
      </c>
      <c r="EC46" s="5">
        <v>8</v>
      </c>
      <c r="ED46" s="5" t="s">
        <v>470</v>
      </c>
      <c r="EE46" s="5" t="s">
        <v>470</v>
      </c>
      <c r="EF46" s="5" t="s">
        <v>470</v>
      </c>
      <c r="EG46" s="5" t="s">
        <v>470</v>
      </c>
      <c r="EH46" s="5" t="s">
        <v>470</v>
      </c>
      <c r="EI46" s="5" t="s">
        <v>470</v>
      </c>
      <c r="EJ46" s="5" t="s">
        <v>470</v>
      </c>
      <c r="EK46" s="5" t="s">
        <v>470</v>
      </c>
      <c r="EL46" s="5" t="s">
        <v>470</v>
      </c>
      <c r="EM46" s="5" t="s">
        <v>470</v>
      </c>
      <c r="EN46" s="5" t="s">
        <v>470</v>
      </c>
      <c r="EO46" s="5" t="s">
        <v>470</v>
      </c>
      <c r="EP46" s="5"/>
      <c r="EQ46" s="5"/>
      <c r="ER46" s="5"/>
      <c r="ES46" s="5"/>
      <c r="ET46" s="5"/>
      <c r="EU46" s="5"/>
      <c r="EV46" s="5"/>
      <c r="EW46" s="5"/>
      <c r="EX46" s="5"/>
      <c r="EY46" s="5">
        <v>0.375</v>
      </c>
      <c r="EZ46" s="5">
        <v>197.8125</v>
      </c>
      <c r="FA46" s="5">
        <v>24</v>
      </c>
      <c r="FB46" s="5">
        <v>15</v>
      </c>
      <c r="FC46" s="5">
        <v>45</v>
      </c>
      <c r="FD46" s="5">
        <v>81</v>
      </c>
      <c r="FE46" s="5" t="s">
        <v>512</v>
      </c>
      <c r="FF46" s="5">
        <v>0.25</v>
      </c>
      <c r="FG46" s="5">
        <v>197.875</v>
      </c>
      <c r="FH46" s="5">
        <v>25</v>
      </c>
      <c r="FI46" s="5">
        <v>14.4</v>
      </c>
      <c r="FJ46" s="5">
        <v>45</v>
      </c>
      <c r="FK46" s="5">
        <v>81</v>
      </c>
      <c r="FL46" s="5" t="s">
        <v>512</v>
      </c>
      <c r="FM46" s="5">
        <v>0.25</v>
      </c>
      <c r="FN46" s="5">
        <v>312.6875</v>
      </c>
      <c r="FO46" s="5">
        <v>20</v>
      </c>
      <c r="FP46" s="5">
        <v>18</v>
      </c>
      <c r="FQ46" s="5">
        <v>83.953199999999995</v>
      </c>
      <c r="FR46" s="5">
        <v>0</v>
      </c>
      <c r="FS46" s="5" t="s">
        <v>512</v>
      </c>
      <c r="FT46" s="5">
        <v>50</v>
      </c>
      <c r="FU46" s="5">
        <v>21</v>
      </c>
      <c r="FV46" s="5">
        <v>29</v>
      </c>
      <c r="FW46" s="5">
        <v>0.5</v>
      </c>
      <c r="FX46" s="5">
        <v>4</v>
      </c>
      <c r="FY46" s="5">
        <v>46</v>
      </c>
      <c r="FZ46" s="5">
        <v>56</v>
      </c>
      <c r="GA46" s="5">
        <v>1.25</v>
      </c>
      <c r="GB46" s="5">
        <v>120</v>
      </c>
      <c r="GC46" s="5">
        <v>3</v>
      </c>
      <c r="GD46" s="5">
        <v>20</v>
      </c>
      <c r="GE46" s="5">
        <v>24</v>
      </c>
      <c r="GF46" s="5">
        <v>1</v>
      </c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</row>
    <row r="47" spans="1:201" s="1" customFormat="1" ht="15.75" customHeight="1" x14ac:dyDescent="0.25">
      <c r="A47" s="4" t="s">
        <v>516</v>
      </c>
      <c r="B47" s="5" t="s">
        <v>504</v>
      </c>
      <c r="C47" s="5">
        <v>300</v>
      </c>
      <c r="D47" s="5">
        <v>28</v>
      </c>
      <c r="E47" s="6">
        <v>25</v>
      </c>
      <c r="F47" s="5" t="s">
        <v>469</v>
      </c>
      <c r="G47" s="5">
        <v>0</v>
      </c>
      <c r="H47" s="5">
        <f t="shared" si="0"/>
        <v>336</v>
      </c>
      <c r="I47" s="5">
        <f t="shared" si="4"/>
        <v>175</v>
      </c>
      <c r="J47" s="5">
        <f t="shared" si="2"/>
        <v>163</v>
      </c>
      <c r="K47" s="5">
        <v>40</v>
      </c>
      <c r="L47" s="5">
        <v>1.1875</v>
      </c>
      <c r="M47" s="5">
        <v>9</v>
      </c>
      <c r="N47" s="5">
        <v>16</v>
      </c>
      <c r="O47" s="5">
        <v>11.25</v>
      </c>
      <c r="P47" s="5">
        <v>16</v>
      </c>
      <c r="Q47" s="5">
        <v>32</v>
      </c>
      <c r="R47" s="5" t="s">
        <v>470</v>
      </c>
      <c r="S47" s="5">
        <v>32</v>
      </c>
      <c r="T47" s="5">
        <f t="shared" si="5"/>
        <v>168</v>
      </c>
      <c r="U47" s="5">
        <v>134.81735</v>
      </c>
      <c r="V47" s="5">
        <v>84</v>
      </c>
      <c r="W47" s="5">
        <v>0.5</v>
      </c>
      <c r="X47" s="5">
        <v>40</v>
      </c>
      <c r="Y47" s="5">
        <v>9</v>
      </c>
      <c r="Z47" s="5">
        <v>134.81735</v>
      </c>
      <c r="AA47" s="5">
        <v>101.6347</v>
      </c>
      <c r="AB47" s="5">
        <v>84</v>
      </c>
      <c r="AC47" s="5">
        <v>0.5</v>
      </c>
      <c r="AD47" s="5">
        <v>45</v>
      </c>
      <c r="AE47" s="5">
        <v>8</v>
      </c>
      <c r="AF47" s="5">
        <v>0</v>
      </c>
      <c r="AG47" s="5">
        <v>101.6347</v>
      </c>
      <c r="AH47" s="5">
        <v>68.45205</v>
      </c>
      <c r="AI47" s="5">
        <v>84</v>
      </c>
      <c r="AJ47" s="5">
        <v>0.625</v>
      </c>
      <c r="AK47" s="5">
        <v>60</v>
      </c>
      <c r="AL47" s="5">
        <v>6</v>
      </c>
      <c r="AM47" s="5">
        <v>0</v>
      </c>
      <c r="AN47" s="5">
        <v>68.45205</v>
      </c>
      <c r="AO47" s="5">
        <v>58.205950000000001</v>
      </c>
      <c r="AP47" s="5">
        <v>25.9375</v>
      </c>
      <c r="AQ47" s="5">
        <v>0.6875</v>
      </c>
      <c r="AR47" s="5">
        <v>90</v>
      </c>
      <c r="AS47" s="5">
        <v>4</v>
      </c>
      <c r="AT47" s="5"/>
      <c r="AU47" s="5">
        <v>58.205950000000001</v>
      </c>
      <c r="AV47" s="5">
        <v>54</v>
      </c>
      <c r="AW47" s="5">
        <v>22.0625</v>
      </c>
      <c r="AX47" s="5">
        <v>0.6875</v>
      </c>
      <c r="AY47" s="5">
        <v>36</v>
      </c>
      <c r="AZ47" s="5">
        <v>10</v>
      </c>
      <c r="BA47" s="5">
        <v>108</v>
      </c>
      <c r="BB47" s="5">
        <v>96</v>
      </c>
      <c r="BC47" s="5">
        <v>108</v>
      </c>
      <c r="BD47" s="5">
        <v>96</v>
      </c>
      <c r="BE47" s="5">
        <v>0.75</v>
      </c>
      <c r="BF47" s="5">
        <v>108</v>
      </c>
      <c r="BG47" s="5">
        <v>96</v>
      </c>
      <c r="BH47" s="5">
        <v>0.75</v>
      </c>
      <c r="BI47" s="5">
        <v>108</v>
      </c>
      <c r="BJ47" s="5">
        <v>96</v>
      </c>
      <c r="BK47" s="5">
        <v>0.75</v>
      </c>
      <c r="BL47" s="5">
        <v>108</v>
      </c>
      <c r="BM47" s="5">
        <v>96</v>
      </c>
      <c r="BN47" s="5">
        <v>0.75</v>
      </c>
      <c r="BO47" s="5">
        <v>108</v>
      </c>
      <c r="BP47" s="5">
        <v>96</v>
      </c>
      <c r="BQ47" s="5">
        <v>0.75</v>
      </c>
      <c r="BR47" s="5">
        <v>108</v>
      </c>
      <c r="BS47" s="5">
        <v>96</v>
      </c>
      <c r="BT47" s="5">
        <v>0.75</v>
      </c>
      <c r="BU47" s="5">
        <v>108</v>
      </c>
      <c r="BV47" s="5">
        <v>96</v>
      </c>
      <c r="BW47" s="5">
        <v>0.75</v>
      </c>
      <c r="BX47" s="5">
        <v>108</v>
      </c>
      <c r="BY47" s="5">
        <v>96</v>
      </c>
      <c r="BZ47" s="5">
        <v>0.75</v>
      </c>
      <c r="CA47" s="5" t="s">
        <v>470</v>
      </c>
      <c r="CB47" s="5" t="s">
        <v>470</v>
      </c>
      <c r="CC47" s="5"/>
      <c r="CD47" s="5" t="s">
        <v>470</v>
      </c>
      <c r="CE47" s="5" t="s">
        <v>470</v>
      </c>
      <c r="CF47" s="5"/>
      <c r="CG47" s="5" t="s">
        <v>470</v>
      </c>
      <c r="CH47" s="5" t="s">
        <v>470</v>
      </c>
      <c r="CI47" s="5"/>
      <c r="CJ47" s="5" t="s">
        <v>470</v>
      </c>
      <c r="CK47" s="5" t="s">
        <v>470</v>
      </c>
      <c r="CL47" s="5"/>
      <c r="CM47" s="5" t="s">
        <v>470</v>
      </c>
      <c r="CN47" s="5" t="s">
        <v>470</v>
      </c>
      <c r="CO47" s="5"/>
      <c r="CP47" s="5" t="s">
        <v>470</v>
      </c>
      <c r="CQ47" s="5" t="s">
        <v>470</v>
      </c>
      <c r="CR47" s="5"/>
      <c r="CS47" s="5" t="s">
        <v>470</v>
      </c>
      <c r="CT47" s="5" t="s">
        <v>470</v>
      </c>
      <c r="CU47" s="5"/>
      <c r="CV47" s="5" t="s">
        <v>470</v>
      </c>
      <c r="CW47" s="5" t="s">
        <v>470</v>
      </c>
      <c r="CX47" s="5"/>
      <c r="CY47" s="5" t="s">
        <v>470</v>
      </c>
      <c r="CZ47" s="5" t="s">
        <v>470</v>
      </c>
      <c r="DA47" s="5"/>
      <c r="DB47" s="5" t="s">
        <v>470</v>
      </c>
      <c r="DC47" s="5" t="s">
        <v>470</v>
      </c>
      <c r="DD47" s="5"/>
      <c r="DE47" s="5"/>
      <c r="DF47" s="5">
        <v>60</v>
      </c>
      <c r="DG47" s="5">
        <v>54</v>
      </c>
      <c r="DH47" s="5"/>
      <c r="DI47" s="5">
        <v>0.75</v>
      </c>
      <c r="DJ47" s="5">
        <v>22.5</v>
      </c>
      <c r="DK47" s="5">
        <v>16</v>
      </c>
      <c r="DL47" s="5">
        <v>121.40625</v>
      </c>
      <c r="DM47" s="5">
        <v>71.59375</v>
      </c>
      <c r="DN47" s="5">
        <v>49.8125</v>
      </c>
      <c r="DO47" s="5">
        <v>0.6875</v>
      </c>
      <c r="DP47" s="12">
        <v>60</v>
      </c>
      <c r="DQ47" s="5">
        <v>6</v>
      </c>
      <c r="DR47" s="13">
        <v>171.21875</v>
      </c>
      <c r="DS47" s="5">
        <v>121.40625</v>
      </c>
      <c r="DT47" s="5">
        <v>49.8125</v>
      </c>
      <c r="DU47" s="5">
        <v>0.5625</v>
      </c>
      <c r="DV47" s="5">
        <v>60</v>
      </c>
      <c r="DW47" s="5">
        <v>6</v>
      </c>
      <c r="DX47" s="5">
        <v>221</v>
      </c>
      <c r="DY47" s="5">
        <v>171.21875</v>
      </c>
      <c r="DZ47" s="5">
        <v>49.8125</v>
      </c>
      <c r="EA47" s="5">
        <v>0.5</v>
      </c>
      <c r="EB47" s="5">
        <v>45</v>
      </c>
      <c r="EC47" s="5">
        <v>8</v>
      </c>
      <c r="ED47" s="5" t="s">
        <v>470</v>
      </c>
      <c r="EE47" s="5" t="s">
        <v>470</v>
      </c>
      <c r="EF47" s="5" t="s">
        <v>470</v>
      </c>
      <c r="EG47" s="5" t="s">
        <v>470</v>
      </c>
      <c r="EH47" s="5" t="s">
        <v>470</v>
      </c>
      <c r="EI47" s="5" t="s">
        <v>470</v>
      </c>
      <c r="EJ47" s="5" t="s">
        <v>470</v>
      </c>
      <c r="EK47" s="5" t="s">
        <v>470</v>
      </c>
      <c r="EL47" s="5" t="s">
        <v>470</v>
      </c>
      <c r="EM47" s="5" t="s">
        <v>470</v>
      </c>
      <c r="EN47" s="5" t="s">
        <v>470</v>
      </c>
      <c r="EO47" s="5" t="s">
        <v>470</v>
      </c>
      <c r="EP47" s="5"/>
      <c r="EQ47" s="5"/>
      <c r="ER47" s="5"/>
      <c r="ES47" s="5"/>
      <c r="ET47" s="5"/>
      <c r="EU47" s="5"/>
      <c r="EV47" s="5"/>
      <c r="EW47" s="5"/>
      <c r="EX47" s="5"/>
      <c r="EY47" s="5">
        <v>0.375</v>
      </c>
      <c r="EZ47" s="5">
        <v>197.8125</v>
      </c>
      <c r="FA47" s="5">
        <v>24</v>
      </c>
      <c r="FB47" s="5">
        <v>15</v>
      </c>
      <c r="FC47" s="5">
        <v>45</v>
      </c>
      <c r="FD47" s="5">
        <v>81</v>
      </c>
      <c r="FE47" s="5" t="s">
        <v>512</v>
      </c>
      <c r="FF47" s="5">
        <v>0.25</v>
      </c>
      <c r="FG47" s="5">
        <v>197.875</v>
      </c>
      <c r="FH47" s="5">
        <v>25</v>
      </c>
      <c r="FI47" s="5">
        <v>14.4</v>
      </c>
      <c r="FJ47" s="5">
        <v>45</v>
      </c>
      <c r="FK47" s="5">
        <v>81</v>
      </c>
      <c r="FL47" s="5" t="s">
        <v>512</v>
      </c>
      <c r="FM47" s="5">
        <v>0.25</v>
      </c>
      <c r="FN47" s="5">
        <v>312.6875</v>
      </c>
      <c r="FO47" s="5">
        <v>20</v>
      </c>
      <c r="FP47" s="5">
        <v>18</v>
      </c>
      <c r="FQ47" s="5">
        <v>83.953199999999995</v>
      </c>
      <c r="FR47" s="5">
        <v>0</v>
      </c>
      <c r="FS47" s="5" t="s">
        <v>512</v>
      </c>
      <c r="FT47" s="5">
        <v>50</v>
      </c>
      <c r="FU47" s="5">
        <v>21</v>
      </c>
      <c r="FV47" s="5">
        <v>29</v>
      </c>
      <c r="FW47" s="5">
        <v>0.5</v>
      </c>
      <c r="FX47" s="5">
        <v>4</v>
      </c>
      <c r="FY47" s="5">
        <v>46</v>
      </c>
      <c r="FZ47" s="5">
        <v>56</v>
      </c>
      <c r="GA47" s="5">
        <v>1.25</v>
      </c>
      <c r="GB47" s="5">
        <v>120</v>
      </c>
      <c r="GC47" s="5">
        <v>3</v>
      </c>
      <c r="GD47" s="5">
        <v>20</v>
      </c>
      <c r="GE47" s="5">
        <v>24</v>
      </c>
      <c r="GF47" s="5">
        <v>1</v>
      </c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</row>
    <row r="48" spans="1:201" s="1" customFormat="1" ht="15.75" customHeight="1" x14ac:dyDescent="0.25">
      <c r="A48" s="4" t="s">
        <v>517</v>
      </c>
      <c r="B48" s="5"/>
      <c r="C48" s="5">
        <v>300</v>
      </c>
      <c r="D48" s="5">
        <v>30</v>
      </c>
      <c r="E48" s="6">
        <v>30</v>
      </c>
      <c r="F48" s="5" t="s">
        <v>469</v>
      </c>
      <c r="G48" s="5">
        <v>0</v>
      </c>
      <c r="H48" s="5">
        <f t="shared" si="0"/>
        <v>360</v>
      </c>
      <c r="I48" s="5">
        <f t="shared" si="4"/>
        <v>187</v>
      </c>
      <c r="J48" s="5">
        <f t="shared" si="2"/>
        <v>175</v>
      </c>
      <c r="K48" s="5">
        <v>30</v>
      </c>
      <c r="L48" s="5">
        <v>1.1875</v>
      </c>
      <c r="M48" s="5">
        <v>12</v>
      </c>
      <c r="N48" s="5">
        <v>24</v>
      </c>
      <c r="O48" s="5">
        <v>7.5</v>
      </c>
      <c r="P48" s="5">
        <v>24</v>
      </c>
      <c r="Q48" s="5">
        <v>48</v>
      </c>
      <c r="R48" s="5" t="s">
        <v>470</v>
      </c>
      <c r="S48" s="5">
        <v>48</v>
      </c>
      <c r="T48" s="5">
        <f t="shared" si="5"/>
        <v>180</v>
      </c>
      <c r="U48" s="5">
        <v>149.7184</v>
      </c>
      <c r="V48" s="5">
        <v>84</v>
      </c>
      <c r="W48" s="5">
        <v>0.5</v>
      </c>
      <c r="X48" s="5">
        <v>30</v>
      </c>
      <c r="Y48" s="5">
        <v>12</v>
      </c>
      <c r="Z48" s="5">
        <v>149.7184</v>
      </c>
      <c r="AA48" s="5">
        <v>119.4367</v>
      </c>
      <c r="AB48" s="5">
        <v>84</v>
      </c>
      <c r="AC48" s="5">
        <v>0.5</v>
      </c>
      <c r="AD48" s="5">
        <v>36</v>
      </c>
      <c r="AE48" s="5">
        <v>10</v>
      </c>
      <c r="AF48" s="5">
        <v>0</v>
      </c>
      <c r="AG48" s="5">
        <v>119.4367</v>
      </c>
      <c r="AH48" s="5">
        <v>89.155100000000004</v>
      </c>
      <c r="AI48" s="5">
        <v>84</v>
      </c>
      <c r="AJ48" s="5">
        <v>0.5</v>
      </c>
      <c r="AK48" s="5">
        <v>45</v>
      </c>
      <c r="AL48" s="5">
        <v>8</v>
      </c>
      <c r="AM48" s="5">
        <v>0</v>
      </c>
      <c r="AN48" s="5">
        <v>89.155100000000004</v>
      </c>
      <c r="AO48" s="5">
        <v>57.566699999999997</v>
      </c>
      <c r="AP48" s="5">
        <v>87.625</v>
      </c>
      <c r="AQ48" s="5">
        <v>0.625</v>
      </c>
      <c r="AR48" s="5">
        <v>60</v>
      </c>
      <c r="AS48" s="5">
        <v>6</v>
      </c>
      <c r="AT48" s="5"/>
      <c r="AU48" s="5">
        <v>57.566699999999997</v>
      </c>
      <c r="AV48" s="5">
        <v>54</v>
      </c>
      <c r="AW48" s="5">
        <v>20.375</v>
      </c>
      <c r="AX48" s="5">
        <v>0.6875</v>
      </c>
      <c r="AY48" s="5">
        <v>36</v>
      </c>
      <c r="AZ48" s="5">
        <v>10</v>
      </c>
      <c r="BA48" s="5">
        <v>108</v>
      </c>
      <c r="BB48" s="5">
        <v>96</v>
      </c>
      <c r="BC48" s="5">
        <v>108</v>
      </c>
      <c r="BD48" s="5">
        <v>96</v>
      </c>
      <c r="BE48" s="5">
        <v>0.75</v>
      </c>
      <c r="BF48" s="5">
        <v>108</v>
      </c>
      <c r="BG48" s="5">
        <v>96</v>
      </c>
      <c r="BH48" s="5">
        <v>0.75</v>
      </c>
      <c r="BI48" s="5">
        <v>108</v>
      </c>
      <c r="BJ48" s="5">
        <v>96</v>
      </c>
      <c r="BK48" s="5">
        <v>0.75</v>
      </c>
      <c r="BL48" s="5">
        <v>108</v>
      </c>
      <c r="BM48" s="5">
        <v>96</v>
      </c>
      <c r="BN48" s="5">
        <v>0.75</v>
      </c>
      <c r="BO48" s="5">
        <v>108</v>
      </c>
      <c r="BP48" s="5">
        <v>96</v>
      </c>
      <c r="BQ48" s="5">
        <v>0.75</v>
      </c>
      <c r="BR48" s="5">
        <v>108</v>
      </c>
      <c r="BS48" s="5">
        <v>96</v>
      </c>
      <c r="BT48" s="5">
        <v>0.75</v>
      </c>
      <c r="BU48" s="5">
        <v>108</v>
      </c>
      <c r="BV48" s="5">
        <v>96</v>
      </c>
      <c r="BW48" s="5">
        <v>0.75</v>
      </c>
      <c r="BX48" s="5">
        <v>108</v>
      </c>
      <c r="BY48" s="5">
        <v>96</v>
      </c>
      <c r="BZ48" s="5">
        <v>0.75</v>
      </c>
      <c r="CA48" s="5" t="s">
        <v>470</v>
      </c>
      <c r="CB48" s="5" t="s">
        <v>470</v>
      </c>
      <c r="CC48" s="5"/>
      <c r="CD48" s="5" t="s">
        <v>470</v>
      </c>
      <c r="CE48" s="5" t="s">
        <v>470</v>
      </c>
      <c r="CF48" s="5"/>
      <c r="CG48" s="5" t="s">
        <v>470</v>
      </c>
      <c r="CH48" s="5" t="s">
        <v>470</v>
      </c>
      <c r="CI48" s="5"/>
      <c r="CJ48" s="5" t="s">
        <v>470</v>
      </c>
      <c r="CK48" s="5" t="s">
        <v>470</v>
      </c>
      <c r="CL48" s="5"/>
      <c r="CM48" s="5" t="s">
        <v>470</v>
      </c>
      <c r="CN48" s="5" t="s">
        <v>470</v>
      </c>
      <c r="CO48" s="5"/>
      <c r="CP48" s="5" t="s">
        <v>470</v>
      </c>
      <c r="CQ48" s="5" t="s">
        <v>470</v>
      </c>
      <c r="CR48" s="5"/>
      <c r="CS48" s="5" t="s">
        <v>470</v>
      </c>
      <c r="CT48" s="5" t="s">
        <v>470</v>
      </c>
      <c r="CU48" s="5"/>
      <c r="CV48" s="5" t="s">
        <v>470</v>
      </c>
      <c r="CW48" s="5" t="s">
        <v>470</v>
      </c>
      <c r="CX48" s="5"/>
      <c r="CY48" s="5" t="s">
        <v>470</v>
      </c>
      <c r="CZ48" s="5" t="s">
        <v>470</v>
      </c>
      <c r="DA48" s="5"/>
      <c r="DB48" s="5" t="s">
        <v>470</v>
      </c>
      <c r="DC48" s="5" t="s">
        <v>470</v>
      </c>
      <c r="DD48" s="5"/>
      <c r="DE48" s="5"/>
      <c r="DF48" s="5">
        <v>60</v>
      </c>
      <c r="DG48" s="5">
        <v>54</v>
      </c>
      <c r="DH48" s="5"/>
      <c r="DI48" s="5">
        <v>0.75</v>
      </c>
      <c r="DJ48" s="5">
        <v>22.5</v>
      </c>
      <c r="DK48" s="5">
        <v>16</v>
      </c>
      <c r="DL48" s="5">
        <v>121.40625</v>
      </c>
      <c r="DM48" s="5">
        <v>71.59375</v>
      </c>
      <c r="DN48" s="5">
        <v>49.8125</v>
      </c>
      <c r="DO48" s="5">
        <v>0.6875</v>
      </c>
      <c r="DP48" s="12">
        <v>60</v>
      </c>
      <c r="DQ48" s="5">
        <v>6</v>
      </c>
      <c r="DR48" s="13">
        <v>171.21875</v>
      </c>
      <c r="DS48" s="5">
        <v>121.40625</v>
      </c>
      <c r="DT48" s="5">
        <v>49.8125</v>
      </c>
      <c r="DU48" s="5">
        <v>0.5625</v>
      </c>
      <c r="DV48" s="5">
        <v>60</v>
      </c>
      <c r="DW48" s="5">
        <v>6</v>
      </c>
      <c r="DX48" s="5">
        <v>221</v>
      </c>
      <c r="DY48" s="5">
        <v>171.21875</v>
      </c>
      <c r="DZ48" s="5">
        <v>49.8125</v>
      </c>
      <c r="EA48" s="5">
        <v>0.5</v>
      </c>
      <c r="EB48" s="5">
        <v>45</v>
      </c>
      <c r="EC48" s="5">
        <v>8</v>
      </c>
      <c r="ED48" s="5" t="s">
        <v>470</v>
      </c>
      <c r="EE48" s="5" t="s">
        <v>470</v>
      </c>
      <c r="EF48" s="5" t="s">
        <v>470</v>
      </c>
      <c r="EG48" s="5" t="s">
        <v>470</v>
      </c>
      <c r="EH48" s="5" t="s">
        <v>470</v>
      </c>
      <c r="EI48" s="5" t="s">
        <v>470</v>
      </c>
      <c r="EJ48" s="5" t="s">
        <v>470</v>
      </c>
      <c r="EK48" s="5" t="s">
        <v>470</v>
      </c>
      <c r="EL48" s="5" t="s">
        <v>470</v>
      </c>
      <c r="EM48" s="5" t="s">
        <v>470</v>
      </c>
      <c r="EN48" s="5" t="s">
        <v>470</v>
      </c>
      <c r="EO48" s="5" t="s">
        <v>470</v>
      </c>
      <c r="EP48" s="5"/>
      <c r="EQ48" s="5"/>
      <c r="ER48" s="5"/>
      <c r="ES48" s="5"/>
      <c r="ET48" s="5"/>
      <c r="EU48" s="5"/>
      <c r="EV48" s="5"/>
      <c r="EW48" s="5"/>
      <c r="EX48" s="5"/>
      <c r="EY48" s="5">
        <v>0.375</v>
      </c>
      <c r="EZ48" s="5">
        <v>197.8125</v>
      </c>
      <c r="FA48" s="5">
        <v>24</v>
      </c>
      <c r="FB48" s="5">
        <v>15</v>
      </c>
      <c r="FC48" s="5">
        <v>45</v>
      </c>
      <c r="FD48" s="5">
        <v>81</v>
      </c>
      <c r="FE48" s="5" t="s">
        <v>512</v>
      </c>
      <c r="FF48" s="5">
        <v>0.25</v>
      </c>
      <c r="FG48" s="5">
        <v>197.875</v>
      </c>
      <c r="FH48" s="5">
        <v>25</v>
      </c>
      <c r="FI48" s="5">
        <v>14.4</v>
      </c>
      <c r="FJ48" s="5">
        <v>45</v>
      </c>
      <c r="FK48" s="5">
        <v>81</v>
      </c>
      <c r="FL48" s="5" t="s">
        <v>512</v>
      </c>
      <c r="FM48" s="5">
        <v>0.25</v>
      </c>
      <c r="FN48" s="5">
        <v>312.6875</v>
      </c>
      <c r="FO48" s="5">
        <v>20</v>
      </c>
      <c r="FP48" s="5">
        <v>18</v>
      </c>
      <c r="FQ48" s="5">
        <v>83.953199999999995</v>
      </c>
      <c r="FR48" s="5">
        <v>0</v>
      </c>
      <c r="FS48" s="5" t="s">
        <v>512</v>
      </c>
      <c r="FT48" s="5">
        <v>50</v>
      </c>
      <c r="FU48" s="5">
        <v>21</v>
      </c>
      <c r="FV48" s="5">
        <v>29</v>
      </c>
      <c r="FW48" s="5">
        <v>0.5</v>
      </c>
      <c r="FX48" s="5">
        <v>4</v>
      </c>
      <c r="FY48" s="5">
        <v>46</v>
      </c>
      <c r="FZ48" s="5">
        <v>56</v>
      </c>
      <c r="GA48" s="5">
        <v>1.25</v>
      </c>
      <c r="GB48" s="5">
        <v>120</v>
      </c>
      <c r="GC48" s="5">
        <v>3</v>
      </c>
      <c r="GD48" s="5">
        <v>20</v>
      </c>
      <c r="GE48" s="5">
        <v>24</v>
      </c>
      <c r="GF48" s="5">
        <v>1</v>
      </c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</row>
    <row r="49" spans="1:201" s="1" customFormat="1" ht="15.75" customHeight="1" x14ac:dyDescent="0.25">
      <c r="A49" s="4" t="s">
        <v>518</v>
      </c>
      <c r="B49" s="5"/>
      <c r="C49" s="5">
        <v>300</v>
      </c>
      <c r="D49" s="5">
        <v>32</v>
      </c>
      <c r="E49" s="6">
        <v>25</v>
      </c>
      <c r="F49" s="5" t="s">
        <v>469</v>
      </c>
      <c r="G49" s="5">
        <v>0</v>
      </c>
      <c r="H49" s="5">
        <f t="shared" si="0"/>
        <v>384</v>
      </c>
      <c r="I49" s="5">
        <f t="shared" si="4"/>
        <v>199</v>
      </c>
      <c r="J49" s="5">
        <f t="shared" si="2"/>
        <v>187</v>
      </c>
      <c r="K49" s="5">
        <v>30</v>
      </c>
      <c r="L49" s="5">
        <v>2</v>
      </c>
      <c r="M49" s="5">
        <v>12</v>
      </c>
      <c r="N49" s="5">
        <v>24</v>
      </c>
      <c r="O49" s="5">
        <v>7.5</v>
      </c>
      <c r="P49" s="5">
        <v>24</v>
      </c>
      <c r="Q49" s="5">
        <v>48</v>
      </c>
      <c r="R49" s="5" t="s">
        <v>470</v>
      </c>
      <c r="S49" s="5">
        <v>48</v>
      </c>
      <c r="T49" s="5">
        <f t="shared" si="5"/>
        <v>192</v>
      </c>
      <c r="U49" s="5">
        <v>151.51070000000001</v>
      </c>
      <c r="V49" s="5">
        <v>84</v>
      </c>
      <c r="W49" s="5">
        <v>0.5</v>
      </c>
      <c r="X49" s="5">
        <v>30</v>
      </c>
      <c r="Y49" s="5">
        <v>12</v>
      </c>
      <c r="Z49" s="5">
        <v>151.51070000000001</v>
      </c>
      <c r="AA49" s="5">
        <v>111.0215</v>
      </c>
      <c r="AB49" s="5">
        <v>84</v>
      </c>
      <c r="AC49" s="5">
        <v>0.5</v>
      </c>
      <c r="AD49" s="5">
        <v>40</v>
      </c>
      <c r="AE49" s="5">
        <v>9</v>
      </c>
      <c r="AF49" s="5">
        <v>0</v>
      </c>
      <c r="AG49" s="5">
        <v>111.0215</v>
      </c>
      <c r="AH49" s="5">
        <v>70.532200000000003</v>
      </c>
      <c r="AI49" s="5">
        <v>84</v>
      </c>
      <c r="AJ49" s="5">
        <v>0.6875</v>
      </c>
      <c r="AK49" s="5">
        <v>45</v>
      </c>
      <c r="AL49" s="5">
        <v>8</v>
      </c>
      <c r="AM49" s="5">
        <v>0</v>
      </c>
      <c r="AN49" s="5">
        <v>70.532200000000003</v>
      </c>
      <c r="AO49" s="5">
        <v>59.895499999999998</v>
      </c>
      <c r="AP49" s="5">
        <v>21.9375</v>
      </c>
      <c r="AQ49" s="5">
        <v>0.8125</v>
      </c>
      <c r="AR49" s="5">
        <v>90</v>
      </c>
      <c r="AS49" s="5">
        <v>4</v>
      </c>
      <c r="AT49" s="5"/>
      <c r="AU49" s="5">
        <v>59.895499999999998</v>
      </c>
      <c r="AV49" s="5">
        <v>54</v>
      </c>
      <c r="AW49" s="5">
        <v>26.0625</v>
      </c>
      <c r="AX49" s="5">
        <v>0.8125</v>
      </c>
      <c r="AY49" s="5">
        <v>36</v>
      </c>
      <c r="AZ49" s="5">
        <v>10</v>
      </c>
      <c r="BA49" s="5">
        <v>108</v>
      </c>
      <c r="BB49" s="5">
        <v>96</v>
      </c>
      <c r="BC49" s="5">
        <v>108</v>
      </c>
      <c r="BD49" s="5">
        <v>96</v>
      </c>
      <c r="BE49" s="5">
        <v>0.75</v>
      </c>
      <c r="BF49" s="5">
        <v>108</v>
      </c>
      <c r="BG49" s="5">
        <v>96</v>
      </c>
      <c r="BH49" s="5">
        <v>0.75</v>
      </c>
      <c r="BI49" s="5">
        <v>108</v>
      </c>
      <c r="BJ49" s="5">
        <v>96</v>
      </c>
      <c r="BK49" s="5">
        <v>0.75</v>
      </c>
      <c r="BL49" s="5">
        <v>108</v>
      </c>
      <c r="BM49" s="5">
        <v>96</v>
      </c>
      <c r="BN49" s="5">
        <v>0.75</v>
      </c>
      <c r="BO49" s="5">
        <v>108</v>
      </c>
      <c r="BP49" s="5">
        <v>96</v>
      </c>
      <c r="BQ49" s="5">
        <v>0.75</v>
      </c>
      <c r="BR49" s="5">
        <v>108</v>
      </c>
      <c r="BS49" s="5">
        <v>96</v>
      </c>
      <c r="BT49" s="5">
        <v>0.75</v>
      </c>
      <c r="BU49" s="5">
        <v>108</v>
      </c>
      <c r="BV49" s="5">
        <v>96</v>
      </c>
      <c r="BW49" s="5">
        <v>0.75</v>
      </c>
      <c r="BX49" s="5">
        <v>108</v>
      </c>
      <c r="BY49" s="5">
        <v>96</v>
      </c>
      <c r="BZ49" s="5">
        <v>0.75</v>
      </c>
      <c r="CA49" s="5" t="s">
        <v>470</v>
      </c>
      <c r="CB49" s="5" t="s">
        <v>470</v>
      </c>
      <c r="CC49" s="5"/>
      <c r="CD49" s="5" t="s">
        <v>470</v>
      </c>
      <c r="CE49" s="5" t="s">
        <v>470</v>
      </c>
      <c r="CF49" s="5"/>
      <c r="CG49" s="5" t="s">
        <v>470</v>
      </c>
      <c r="CH49" s="5" t="s">
        <v>470</v>
      </c>
      <c r="CI49" s="5"/>
      <c r="CJ49" s="5" t="s">
        <v>470</v>
      </c>
      <c r="CK49" s="5" t="s">
        <v>470</v>
      </c>
      <c r="CL49" s="5"/>
      <c r="CM49" s="5" t="s">
        <v>470</v>
      </c>
      <c r="CN49" s="5" t="s">
        <v>470</v>
      </c>
      <c r="CO49" s="5"/>
      <c r="CP49" s="5" t="s">
        <v>470</v>
      </c>
      <c r="CQ49" s="5" t="s">
        <v>470</v>
      </c>
      <c r="CR49" s="5"/>
      <c r="CS49" s="5" t="s">
        <v>470</v>
      </c>
      <c r="CT49" s="5" t="s">
        <v>470</v>
      </c>
      <c r="CU49" s="5"/>
      <c r="CV49" s="5" t="s">
        <v>470</v>
      </c>
      <c r="CW49" s="5" t="s">
        <v>470</v>
      </c>
      <c r="CX49" s="5"/>
      <c r="CY49" s="5" t="s">
        <v>470</v>
      </c>
      <c r="CZ49" s="5" t="s">
        <v>470</v>
      </c>
      <c r="DA49" s="5"/>
      <c r="DB49" s="5" t="s">
        <v>470</v>
      </c>
      <c r="DC49" s="5" t="s">
        <v>470</v>
      </c>
      <c r="DD49" s="5"/>
      <c r="DE49" s="5"/>
      <c r="DF49" s="5">
        <v>60</v>
      </c>
      <c r="DG49" s="5">
        <v>54</v>
      </c>
      <c r="DH49" s="5"/>
      <c r="DI49" s="5">
        <v>0.75</v>
      </c>
      <c r="DJ49" s="5">
        <v>22.5</v>
      </c>
      <c r="DK49" s="5">
        <v>16</v>
      </c>
      <c r="DL49" s="5">
        <v>121.40625</v>
      </c>
      <c r="DM49" s="5">
        <v>71.59375</v>
      </c>
      <c r="DN49" s="5">
        <v>49.8125</v>
      </c>
      <c r="DO49" s="5">
        <v>0.6875</v>
      </c>
      <c r="DP49" s="12">
        <v>60</v>
      </c>
      <c r="DQ49" s="5">
        <v>6</v>
      </c>
      <c r="DR49" s="13">
        <v>171.21875</v>
      </c>
      <c r="DS49" s="5">
        <v>121.40625</v>
      </c>
      <c r="DT49" s="5">
        <v>49.8125</v>
      </c>
      <c r="DU49" s="5">
        <v>0.5625</v>
      </c>
      <c r="DV49" s="5">
        <v>60</v>
      </c>
      <c r="DW49" s="5">
        <v>6</v>
      </c>
      <c r="DX49" s="5">
        <v>221</v>
      </c>
      <c r="DY49" s="5">
        <v>171.21875</v>
      </c>
      <c r="DZ49" s="5">
        <v>49.8125</v>
      </c>
      <c r="EA49" s="5">
        <v>0.5</v>
      </c>
      <c r="EB49" s="5">
        <v>45</v>
      </c>
      <c r="EC49" s="5">
        <v>8</v>
      </c>
      <c r="ED49" s="5" t="s">
        <v>470</v>
      </c>
      <c r="EE49" s="5" t="s">
        <v>470</v>
      </c>
      <c r="EF49" s="5" t="s">
        <v>470</v>
      </c>
      <c r="EG49" s="5" t="s">
        <v>470</v>
      </c>
      <c r="EH49" s="5" t="s">
        <v>470</v>
      </c>
      <c r="EI49" s="5" t="s">
        <v>470</v>
      </c>
      <c r="EJ49" s="5" t="s">
        <v>470</v>
      </c>
      <c r="EK49" s="5" t="s">
        <v>470</v>
      </c>
      <c r="EL49" s="5" t="s">
        <v>470</v>
      </c>
      <c r="EM49" s="5" t="s">
        <v>470</v>
      </c>
      <c r="EN49" s="5" t="s">
        <v>470</v>
      </c>
      <c r="EO49" s="5" t="s">
        <v>470</v>
      </c>
      <c r="EP49" s="5"/>
      <c r="EQ49" s="5"/>
      <c r="ER49" s="5"/>
      <c r="ES49" s="5"/>
      <c r="ET49" s="5"/>
      <c r="EU49" s="5"/>
      <c r="EV49" s="5"/>
      <c r="EW49" s="5"/>
      <c r="EX49" s="5"/>
      <c r="EY49" s="5">
        <v>0.375</v>
      </c>
      <c r="EZ49" s="5">
        <v>197.8125</v>
      </c>
      <c r="FA49" s="5">
        <v>24</v>
      </c>
      <c r="FB49" s="5">
        <v>15</v>
      </c>
      <c r="FC49" s="5">
        <v>45</v>
      </c>
      <c r="FD49" s="5">
        <v>81</v>
      </c>
      <c r="FE49" s="5" t="s">
        <v>512</v>
      </c>
      <c r="FF49" s="5">
        <v>0.25</v>
      </c>
      <c r="FG49" s="5">
        <v>197.875</v>
      </c>
      <c r="FH49" s="5">
        <v>25</v>
      </c>
      <c r="FI49" s="5">
        <v>14.4</v>
      </c>
      <c r="FJ49" s="5">
        <v>45</v>
      </c>
      <c r="FK49" s="5">
        <v>81</v>
      </c>
      <c r="FL49" s="5" t="s">
        <v>512</v>
      </c>
      <c r="FM49" s="5">
        <v>0.25</v>
      </c>
      <c r="FN49" s="5">
        <v>312.6875</v>
      </c>
      <c r="FO49" s="5">
        <v>20</v>
      </c>
      <c r="FP49" s="5">
        <v>18</v>
      </c>
      <c r="FQ49" s="5">
        <v>83.953199999999995</v>
      </c>
      <c r="FR49" s="5">
        <v>0</v>
      </c>
      <c r="FS49" s="5" t="s">
        <v>512</v>
      </c>
      <c r="FT49" s="5">
        <v>50</v>
      </c>
      <c r="FU49" s="5">
        <v>21</v>
      </c>
      <c r="FV49" s="5">
        <v>29</v>
      </c>
      <c r="FW49" s="5">
        <v>0.5</v>
      </c>
      <c r="FX49" s="5">
        <v>4</v>
      </c>
      <c r="FY49" s="5">
        <v>46</v>
      </c>
      <c r="FZ49" s="5">
        <v>56</v>
      </c>
      <c r="GA49" s="5">
        <v>1.25</v>
      </c>
      <c r="GB49" s="5">
        <v>120</v>
      </c>
      <c r="GC49" s="5">
        <v>3</v>
      </c>
      <c r="GD49" s="5">
        <v>20</v>
      </c>
      <c r="GE49" s="5">
        <v>24</v>
      </c>
      <c r="GF49" s="5">
        <v>1</v>
      </c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</row>
    <row r="50" spans="1:201" s="1" customFormat="1" ht="15.75" customHeight="1" x14ac:dyDescent="0.25">
      <c r="A50" s="4" t="s">
        <v>519</v>
      </c>
      <c r="B50" s="5"/>
      <c r="C50" s="5">
        <v>300</v>
      </c>
      <c r="D50" s="5">
        <v>32</v>
      </c>
      <c r="E50" s="6">
        <v>30</v>
      </c>
      <c r="F50" s="5" t="s">
        <v>469</v>
      </c>
      <c r="G50" s="5">
        <v>0</v>
      </c>
      <c r="H50" s="5">
        <f t="shared" si="0"/>
        <v>384</v>
      </c>
      <c r="I50" s="5">
        <f t="shared" si="4"/>
        <v>199</v>
      </c>
      <c r="J50" s="5">
        <f t="shared" si="2"/>
        <v>187</v>
      </c>
      <c r="K50" s="5">
        <v>30</v>
      </c>
      <c r="L50" s="5">
        <v>1.375</v>
      </c>
      <c r="M50" s="5">
        <v>12</v>
      </c>
      <c r="N50" s="5">
        <v>24</v>
      </c>
      <c r="O50" s="5">
        <v>7.5</v>
      </c>
      <c r="P50" s="5">
        <v>24</v>
      </c>
      <c r="Q50" s="5">
        <v>48</v>
      </c>
      <c r="R50" s="5" t="s">
        <v>470</v>
      </c>
      <c r="S50" s="5">
        <v>48</v>
      </c>
      <c r="T50" s="5">
        <f t="shared" si="5"/>
        <v>192</v>
      </c>
      <c r="U50" s="5">
        <v>160.23230000000001</v>
      </c>
      <c r="V50" s="5">
        <v>84</v>
      </c>
      <c r="W50" s="5">
        <v>0.625</v>
      </c>
      <c r="X50" s="5">
        <v>30</v>
      </c>
      <c r="Y50" s="5">
        <v>12</v>
      </c>
      <c r="Z50" s="5">
        <v>160.23230000000001</v>
      </c>
      <c r="AA50" s="5">
        <v>128.46449999999999</v>
      </c>
      <c r="AB50" s="5">
        <v>84</v>
      </c>
      <c r="AC50" s="5">
        <v>0.6875</v>
      </c>
      <c r="AD50" s="5">
        <v>36</v>
      </c>
      <c r="AE50" s="5">
        <v>10</v>
      </c>
      <c r="AF50" s="5">
        <v>0</v>
      </c>
      <c r="AG50" s="5">
        <v>128.46449999999999</v>
      </c>
      <c r="AH50" s="5">
        <v>96.696799999999996</v>
      </c>
      <c r="AI50" s="5">
        <v>84</v>
      </c>
      <c r="AJ50" s="5">
        <v>0.75</v>
      </c>
      <c r="AK50" s="5">
        <v>45</v>
      </c>
      <c r="AL50" s="5">
        <v>8</v>
      </c>
      <c r="AM50" s="5">
        <v>0</v>
      </c>
      <c r="AN50" s="5">
        <v>96.696799999999996</v>
      </c>
      <c r="AO50" s="5">
        <v>63.879300000000001</v>
      </c>
      <c r="AP50" s="5">
        <v>86.75</v>
      </c>
      <c r="AQ50" s="5">
        <v>1</v>
      </c>
      <c r="AR50" s="5">
        <v>60</v>
      </c>
      <c r="AS50" s="5">
        <v>6</v>
      </c>
      <c r="AT50" s="5"/>
      <c r="AU50" s="5">
        <v>63.879300000000001</v>
      </c>
      <c r="AV50" s="5">
        <v>60</v>
      </c>
      <c r="AW50" s="5">
        <v>21.25</v>
      </c>
      <c r="AX50" s="5">
        <v>1.125</v>
      </c>
      <c r="AY50" s="5">
        <v>36</v>
      </c>
      <c r="AZ50" s="5">
        <v>10</v>
      </c>
      <c r="BA50" s="5">
        <v>108</v>
      </c>
      <c r="BB50" s="5">
        <v>96</v>
      </c>
      <c r="BC50" s="5">
        <v>108</v>
      </c>
      <c r="BD50" s="5">
        <v>96</v>
      </c>
      <c r="BE50" s="5">
        <v>0.75</v>
      </c>
      <c r="BF50" s="5">
        <v>108</v>
      </c>
      <c r="BG50" s="5">
        <v>96</v>
      </c>
      <c r="BH50" s="5">
        <v>0.75</v>
      </c>
      <c r="BI50" s="5">
        <v>108</v>
      </c>
      <c r="BJ50" s="5">
        <v>96</v>
      </c>
      <c r="BK50" s="5">
        <v>0.75</v>
      </c>
      <c r="BL50" s="5">
        <v>108</v>
      </c>
      <c r="BM50" s="5">
        <v>96</v>
      </c>
      <c r="BN50" s="5">
        <v>0.75</v>
      </c>
      <c r="BO50" s="5">
        <v>108</v>
      </c>
      <c r="BP50" s="5">
        <v>96</v>
      </c>
      <c r="BQ50" s="5">
        <v>0.75</v>
      </c>
      <c r="BR50" s="5">
        <v>108</v>
      </c>
      <c r="BS50" s="5">
        <v>96</v>
      </c>
      <c r="BT50" s="5">
        <v>0.75</v>
      </c>
      <c r="BU50" s="5">
        <v>108</v>
      </c>
      <c r="BV50" s="5">
        <v>96</v>
      </c>
      <c r="BW50" s="5">
        <v>0.75</v>
      </c>
      <c r="BX50" s="5">
        <v>108</v>
      </c>
      <c r="BY50" s="5">
        <v>96</v>
      </c>
      <c r="BZ50" s="5">
        <v>0.75</v>
      </c>
      <c r="CA50" s="5" t="s">
        <v>470</v>
      </c>
      <c r="CB50" s="5" t="s">
        <v>470</v>
      </c>
      <c r="CC50" s="5"/>
      <c r="CD50" s="5" t="s">
        <v>470</v>
      </c>
      <c r="CE50" s="5" t="s">
        <v>470</v>
      </c>
      <c r="CF50" s="5"/>
      <c r="CG50" s="5" t="s">
        <v>470</v>
      </c>
      <c r="CH50" s="5" t="s">
        <v>470</v>
      </c>
      <c r="CI50" s="5"/>
      <c r="CJ50" s="5" t="s">
        <v>470</v>
      </c>
      <c r="CK50" s="5" t="s">
        <v>470</v>
      </c>
      <c r="CL50" s="5"/>
      <c r="CM50" s="5" t="s">
        <v>470</v>
      </c>
      <c r="CN50" s="5" t="s">
        <v>470</v>
      </c>
      <c r="CO50" s="5"/>
      <c r="CP50" s="5" t="s">
        <v>470</v>
      </c>
      <c r="CQ50" s="5" t="s">
        <v>470</v>
      </c>
      <c r="CR50" s="5"/>
      <c r="CS50" s="5" t="s">
        <v>470</v>
      </c>
      <c r="CT50" s="5" t="s">
        <v>470</v>
      </c>
      <c r="CU50" s="5"/>
      <c r="CV50" s="5" t="s">
        <v>470</v>
      </c>
      <c r="CW50" s="5" t="s">
        <v>470</v>
      </c>
      <c r="CX50" s="5"/>
      <c r="CY50" s="5" t="s">
        <v>470</v>
      </c>
      <c r="CZ50" s="5" t="s">
        <v>470</v>
      </c>
      <c r="DA50" s="5"/>
      <c r="DB50" s="5" t="s">
        <v>470</v>
      </c>
      <c r="DC50" s="5" t="s">
        <v>470</v>
      </c>
      <c r="DD50" s="5"/>
      <c r="DE50" s="5"/>
      <c r="DF50" s="5">
        <v>60</v>
      </c>
      <c r="DG50" s="5">
        <v>54</v>
      </c>
      <c r="DH50" s="5"/>
      <c r="DI50" s="5">
        <v>0.75</v>
      </c>
      <c r="DJ50" s="5">
        <v>22.5</v>
      </c>
      <c r="DK50" s="5">
        <v>16</v>
      </c>
      <c r="DL50" s="5">
        <v>121.40625</v>
      </c>
      <c r="DM50" s="5">
        <v>71.59375</v>
      </c>
      <c r="DN50" s="5">
        <v>49.8125</v>
      </c>
      <c r="DO50" s="5">
        <v>0.6875</v>
      </c>
      <c r="DP50" s="12">
        <v>60</v>
      </c>
      <c r="DQ50" s="5">
        <v>6</v>
      </c>
      <c r="DR50" s="13">
        <v>171.21875</v>
      </c>
      <c r="DS50" s="5">
        <v>121.40625</v>
      </c>
      <c r="DT50" s="5">
        <v>49.8125</v>
      </c>
      <c r="DU50" s="5">
        <v>0.5625</v>
      </c>
      <c r="DV50" s="5">
        <v>60</v>
      </c>
      <c r="DW50" s="5">
        <v>6</v>
      </c>
      <c r="DX50" s="5">
        <v>221</v>
      </c>
      <c r="DY50" s="5">
        <v>171.21875</v>
      </c>
      <c r="DZ50" s="5">
        <v>49.8125</v>
      </c>
      <c r="EA50" s="5">
        <v>0.5</v>
      </c>
      <c r="EB50" s="5">
        <v>45</v>
      </c>
      <c r="EC50" s="5">
        <v>8</v>
      </c>
      <c r="ED50" s="5" t="s">
        <v>470</v>
      </c>
      <c r="EE50" s="5" t="s">
        <v>470</v>
      </c>
      <c r="EF50" s="5" t="s">
        <v>470</v>
      </c>
      <c r="EG50" s="5" t="s">
        <v>470</v>
      </c>
      <c r="EH50" s="5" t="s">
        <v>470</v>
      </c>
      <c r="EI50" s="5" t="s">
        <v>470</v>
      </c>
      <c r="EJ50" s="5" t="s">
        <v>470</v>
      </c>
      <c r="EK50" s="5" t="s">
        <v>470</v>
      </c>
      <c r="EL50" s="5" t="s">
        <v>470</v>
      </c>
      <c r="EM50" s="5" t="s">
        <v>470</v>
      </c>
      <c r="EN50" s="5" t="s">
        <v>470</v>
      </c>
      <c r="EO50" s="5" t="s">
        <v>470</v>
      </c>
      <c r="EP50" s="5"/>
      <c r="EQ50" s="5"/>
      <c r="ER50" s="5"/>
      <c r="ES50" s="5"/>
      <c r="ET50" s="5"/>
      <c r="EU50" s="5"/>
      <c r="EV50" s="5"/>
      <c r="EW50" s="5"/>
      <c r="EX50" s="5"/>
      <c r="EY50" s="5">
        <v>0.375</v>
      </c>
      <c r="EZ50" s="5">
        <v>197.8125</v>
      </c>
      <c r="FA50" s="5">
        <v>24</v>
      </c>
      <c r="FB50" s="5">
        <v>15</v>
      </c>
      <c r="FC50" s="5">
        <v>45</v>
      </c>
      <c r="FD50" s="5">
        <v>81</v>
      </c>
      <c r="FE50" s="5" t="s">
        <v>512</v>
      </c>
      <c r="FF50" s="5">
        <v>0.25</v>
      </c>
      <c r="FG50" s="5">
        <v>197.875</v>
      </c>
      <c r="FH50" s="5">
        <v>25</v>
      </c>
      <c r="FI50" s="5">
        <v>14.4</v>
      </c>
      <c r="FJ50" s="5">
        <v>45</v>
      </c>
      <c r="FK50" s="5">
        <v>81</v>
      </c>
      <c r="FL50" s="5" t="s">
        <v>512</v>
      </c>
      <c r="FM50" s="5">
        <v>0.25</v>
      </c>
      <c r="FN50" s="5">
        <v>312.6875</v>
      </c>
      <c r="FO50" s="5">
        <v>20</v>
      </c>
      <c r="FP50" s="5">
        <v>18</v>
      </c>
      <c r="FQ50" s="5">
        <v>83.953199999999995</v>
      </c>
      <c r="FR50" s="5">
        <v>0</v>
      </c>
      <c r="FS50" s="5" t="s">
        <v>512</v>
      </c>
      <c r="FT50" s="5">
        <v>50</v>
      </c>
      <c r="FU50" s="5">
        <v>21</v>
      </c>
      <c r="FV50" s="5">
        <v>29</v>
      </c>
      <c r="FW50" s="5">
        <v>0.5</v>
      </c>
      <c r="FX50" s="5">
        <v>4</v>
      </c>
      <c r="FY50" s="5">
        <v>46</v>
      </c>
      <c r="FZ50" s="5">
        <v>56</v>
      </c>
      <c r="GA50" s="5">
        <v>1.25</v>
      </c>
      <c r="GB50" s="5">
        <v>120</v>
      </c>
      <c r="GC50" s="5">
        <v>3</v>
      </c>
      <c r="GD50" s="5">
        <v>20</v>
      </c>
      <c r="GE50" s="5">
        <v>24</v>
      </c>
      <c r="GF50" s="5">
        <v>1</v>
      </c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</row>
    <row r="51" spans="1:201" s="1" customFormat="1" ht="15.75" customHeight="1" x14ac:dyDescent="0.25">
      <c r="A51" s="4" t="s">
        <v>520</v>
      </c>
      <c r="B51" s="5"/>
      <c r="C51" s="5">
        <v>300</v>
      </c>
      <c r="D51" s="5">
        <v>34</v>
      </c>
      <c r="E51" s="6">
        <v>30</v>
      </c>
      <c r="F51" s="5" t="s">
        <v>469</v>
      </c>
      <c r="G51" s="5">
        <v>0</v>
      </c>
      <c r="H51" s="5">
        <f t="shared" si="0"/>
        <v>408</v>
      </c>
      <c r="I51" s="5">
        <f t="shared" si="4"/>
        <v>211</v>
      </c>
      <c r="J51" s="5">
        <f t="shared" si="2"/>
        <v>199</v>
      </c>
      <c r="K51" s="5">
        <v>30</v>
      </c>
      <c r="L51" s="5">
        <v>1.125</v>
      </c>
      <c r="M51" s="5">
        <v>12</v>
      </c>
      <c r="N51" s="5">
        <v>28</v>
      </c>
      <c r="O51" s="5">
        <v>6.4286000000000003</v>
      </c>
      <c r="P51" s="5">
        <v>28</v>
      </c>
      <c r="Q51" s="5">
        <v>56</v>
      </c>
      <c r="R51" s="5" t="s">
        <v>470</v>
      </c>
      <c r="S51" s="5">
        <v>56</v>
      </c>
      <c r="T51" s="5">
        <f t="shared" si="5"/>
        <v>204</v>
      </c>
      <c r="U51" s="5">
        <v>167.75210000000001</v>
      </c>
      <c r="V51" s="5">
        <v>84</v>
      </c>
      <c r="W51" s="5">
        <v>0.625</v>
      </c>
      <c r="X51" s="5">
        <v>30</v>
      </c>
      <c r="Y51" s="5">
        <v>12</v>
      </c>
      <c r="Z51" s="5">
        <v>167.75210000000001</v>
      </c>
      <c r="AA51" s="5">
        <v>131.5043</v>
      </c>
      <c r="AB51" s="5">
        <v>84</v>
      </c>
      <c r="AC51" s="5">
        <v>0.625</v>
      </c>
      <c r="AD51" s="5">
        <v>36</v>
      </c>
      <c r="AE51" s="5">
        <v>10</v>
      </c>
      <c r="AF51" s="5">
        <v>0</v>
      </c>
      <c r="AG51" s="5">
        <v>131.5043</v>
      </c>
      <c r="AH51" s="5">
        <v>95.256399999999999</v>
      </c>
      <c r="AI51" s="5">
        <v>84</v>
      </c>
      <c r="AJ51" s="5">
        <v>0.8125</v>
      </c>
      <c r="AK51" s="5">
        <v>45</v>
      </c>
      <c r="AL51" s="5">
        <v>8</v>
      </c>
      <c r="AM51" s="5">
        <v>0</v>
      </c>
      <c r="AN51" s="5">
        <v>95.256399999999999</v>
      </c>
      <c r="AO51" s="5">
        <v>58.910299999999999</v>
      </c>
      <c r="AP51" s="5">
        <v>84.25</v>
      </c>
      <c r="AQ51" s="5">
        <v>1.1875</v>
      </c>
      <c r="AR51" s="5">
        <v>60</v>
      </c>
      <c r="AS51" s="5">
        <v>6</v>
      </c>
      <c r="AT51" s="5"/>
      <c r="AU51" s="5">
        <v>58.910299999999999</v>
      </c>
      <c r="AV51" s="5">
        <v>54</v>
      </c>
      <c r="AW51" s="5">
        <v>23.75</v>
      </c>
      <c r="AX51" s="5">
        <v>1.625</v>
      </c>
      <c r="AY51" s="5">
        <v>36</v>
      </c>
      <c r="AZ51" s="5">
        <v>10</v>
      </c>
      <c r="BA51" s="5">
        <v>108</v>
      </c>
      <c r="BB51" s="5">
        <v>96</v>
      </c>
      <c r="BC51" s="5">
        <v>108</v>
      </c>
      <c r="BD51" s="5">
        <v>96</v>
      </c>
      <c r="BE51" s="5">
        <v>0.75</v>
      </c>
      <c r="BF51" s="5">
        <v>108</v>
      </c>
      <c r="BG51" s="5">
        <v>96</v>
      </c>
      <c r="BH51" s="5">
        <v>0.75</v>
      </c>
      <c r="BI51" s="5">
        <v>108</v>
      </c>
      <c r="BJ51" s="5">
        <v>96</v>
      </c>
      <c r="BK51" s="5">
        <v>0.75</v>
      </c>
      <c r="BL51" s="5">
        <v>108</v>
      </c>
      <c r="BM51" s="5">
        <v>96</v>
      </c>
      <c r="BN51" s="5">
        <v>0.75</v>
      </c>
      <c r="BO51" s="5">
        <v>108</v>
      </c>
      <c r="BP51" s="5">
        <v>96</v>
      </c>
      <c r="BQ51" s="5">
        <v>0.75</v>
      </c>
      <c r="BR51" s="5">
        <v>108</v>
      </c>
      <c r="BS51" s="5">
        <v>96</v>
      </c>
      <c r="BT51" s="5">
        <v>0.75</v>
      </c>
      <c r="BU51" s="5">
        <v>108</v>
      </c>
      <c r="BV51" s="5">
        <v>96</v>
      </c>
      <c r="BW51" s="5">
        <v>0.75</v>
      </c>
      <c r="BX51" s="5">
        <v>108</v>
      </c>
      <c r="BY51" s="5">
        <v>96</v>
      </c>
      <c r="BZ51" s="5">
        <v>0.75</v>
      </c>
      <c r="CA51" s="5" t="s">
        <v>470</v>
      </c>
      <c r="CB51" s="5" t="s">
        <v>470</v>
      </c>
      <c r="CC51" s="5"/>
      <c r="CD51" s="5" t="s">
        <v>470</v>
      </c>
      <c r="CE51" s="5" t="s">
        <v>470</v>
      </c>
      <c r="CF51" s="5"/>
      <c r="CG51" s="5" t="s">
        <v>470</v>
      </c>
      <c r="CH51" s="5" t="s">
        <v>470</v>
      </c>
      <c r="CI51" s="5"/>
      <c r="CJ51" s="5" t="s">
        <v>470</v>
      </c>
      <c r="CK51" s="5" t="s">
        <v>470</v>
      </c>
      <c r="CL51" s="5"/>
      <c r="CM51" s="5" t="s">
        <v>470</v>
      </c>
      <c r="CN51" s="5" t="s">
        <v>470</v>
      </c>
      <c r="CO51" s="5"/>
      <c r="CP51" s="5" t="s">
        <v>470</v>
      </c>
      <c r="CQ51" s="5" t="s">
        <v>470</v>
      </c>
      <c r="CR51" s="5"/>
      <c r="CS51" s="5" t="s">
        <v>470</v>
      </c>
      <c r="CT51" s="5" t="s">
        <v>470</v>
      </c>
      <c r="CU51" s="5"/>
      <c r="CV51" s="5" t="s">
        <v>470</v>
      </c>
      <c r="CW51" s="5" t="s">
        <v>470</v>
      </c>
      <c r="CX51" s="5"/>
      <c r="CY51" s="5" t="s">
        <v>470</v>
      </c>
      <c r="CZ51" s="5" t="s">
        <v>470</v>
      </c>
      <c r="DA51" s="5"/>
      <c r="DB51" s="5" t="s">
        <v>470</v>
      </c>
      <c r="DC51" s="5" t="s">
        <v>470</v>
      </c>
      <c r="DD51" s="5"/>
      <c r="DE51" s="5"/>
      <c r="DF51" s="5">
        <v>60</v>
      </c>
      <c r="DG51" s="5">
        <v>54</v>
      </c>
      <c r="DH51" s="5"/>
      <c r="DI51" s="5">
        <v>0.75</v>
      </c>
      <c r="DJ51" s="5">
        <v>22.5</v>
      </c>
      <c r="DK51" s="5">
        <v>16</v>
      </c>
      <c r="DL51" s="5">
        <v>121.40625</v>
      </c>
      <c r="DM51" s="5">
        <v>71.59375</v>
      </c>
      <c r="DN51" s="5">
        <v>49.8125</v>
      </c>
      <c r="DO51" s="5">
        <v>0.6875</v>
      </c>
      <c r="DP51" s="12">
        <v>60</v>
      </c>
      <c r="DQ51" s="5">
        <v>6</v>
      </c>
      <c r="DR51" s="13">
        <v>171.21875</v>
      </c>
      <c r="DS51" s="5">
        <v>121.40625</v>
      </c>
      <c r="DT51" s="5">
        <v>49.8125</v>
      </c>
      <c r="DU51" s="5">
        <v>0.5625</v>
      </c>
      <c r="DV51" s="5">
        <v>60</v>
      </c>
      <c r="DW51" s="5">
        <v>6</v>
      </c>
      <c r="DX51" s="5">
        <v>221</v>
      </c>
      <c r="DY51" s="5">
        <v>171.21875</v>
      </c>
      <c r="DZ51" s="5">
        <v>49.8125</v>
      </c>
      <c r="EA51" s="5">
        <v>0.5</v>
      </c>
      <c r="EB51" s="5">
        <v>45</v>
      </c>
      <c r="EC51" s="5">
        <v>8</v>
      </c>
      <c r="ED51" s="5" t="s">
        <v>470</v>
      </c>
      <c r="EE51" s="5" t="s">
        <v>470</v>
      </c>
      <c r="EF51" s="5" t="s">
        <v>470</v>
      </c>
      <c r="EG51" s="5" t="s">
        <v>470</v>
      </c>
      <c r="EH51" s="5" t="s">
        <v>470</v>
      </c>
      <c r="EI51" s="5" t="s">
        <v>470</v>
      </c>
      <c r="EJ51" s="5" t="s">
        <v>470</v>
      </c>
      <c r="EK51" s="5" t="s">
        <v>470</v>
      </c>
      <c r="EL51" s="5" t="s">
        <v>470</v>
      </c>
      <c r="EM51" s="5" t="s">
        <v>470</v>
      </c>
      <c r="EN51" s="5" t="s">
        <v>470</v>
      </c>
      <c r="EO51" s="5" t="s">
        <v>470</v>
      </c>
      <c r="EP51" s="5"/>
      <c r="EQ51" s="5"/>
      <c r="ER51" s="5"/>
      <c r="ES51" s="5"/>
      <c r="ET51" s="5"/>
      <c r="EU51" s="5"/>
      <c r="EV51" s="5"/>
      <c r="EW51" s="5"/>
      <c r="EX51" s="5"/>
      <c r="EY51" s="5">
        <v>0.375</v>
      </c>
      <c r="EZ51" s="5">
        <v>197.8125</v>
      </c>
      <c r="FA51" s="5">
        <v>24</v>
      </c>
      <c r="FB51" s="5">
        <v>15</v>
      </c>
      <c r="FC51" s="5">
        <v>45</v>
      </c>
      <c r="FD51" s="5">
        <v>81</v>
      </c>
      <c r="FE51" s="5" t="s">
        <v>512</v>
      </c>
      <c r="FF51" s="5">
        <v>0.25</v>
      </c>
      <c r="FG51" s="5">
        <v>197.875</v>
      </c>
      <c r="FH51" s="5">
        <v>25</v>
      </c>
      <c r="FI51" s="5">
        <v>14.4</v>
      </c>
      <c r="FJ51" s="5">
        <v>45</v>
      </c>
      <c r="FK51" s="5">
        <v>81</v>
      </c>
      <c r="FL51" s="5" t="s">
        <v>512</v>
      </c>
      <c r="FM51" s="5">
        <v>0.25</v>
      </c>
      <c r="FN51" s="5">
        <v>312.6875</v>
      </c>
      <c r="FO51" s="5">
        <v>20</v>
      </c>
      <c r="FP51" s="5">
        <v>18</v>
      </c>
      <c r="FQ51" s="5">
        <v>83.953199999999995</v>
      </c>
      <c r="FR51" s="5">
        <v>0</v>
      </c>
      <c r="FS51" s="5" t="s">
        <v>512</v>
      </c>
      <c r="FT51" s="5">
        <v>50</v>
      </c>
      <c r="FU51" s="5">
        <v>21</v>
      </c>
      <c r="FV51" s="5">
        <v>29</v>
      </c>
      <c r="FW51" s="5">
        <v>0.5</v>
      </c>
      <c r="FX51" s="5">
        <v>4</v>
      </c>
      <c r="FY51" s="5">
        <v>46</v>
      </c>
      <c r="FZ51" s="5">
        <v>56</v>
      </c>
      <c r="GA51" s="5">
        <v>1.25</v>
      </c>
      <c r="GB51" s="5">
        <v>120</v>
      </c>
      <c r="GC51" s="5">
        <v>3</v>
      </c>
      <c r="GD51" s="5">
        <v>20</v>
      </c>
      <c r="GE51" s="5">
        <v>24</v>
      </c>
      <c r="GF51" s="5">
        <v>1</v>
      </c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</row>
    <row r="52" spans="1:201" s="1" customFormat="1" ht="15.75" customHeight="1" x14ac:dyDescent="0.25">
      <c r="A52" s="4" t="s">
        <v>521</v>
      </c>
      <c r="B52" s="5"/>
      <c r="C52" s="5">
        <v>300</v>
      </c>
      <c r="D52" s="5">
        <v>38</v>
      </c>
      <c r="E52" s="6">
        <v>30</v>
      </c>
      <c r="F52" s="5" t="s">
        <v>469</v>
      </c>
      <c r="G52" s="5">
        <v>0</v>
      </c>
      <c r="H52" s="5">
        <f t="shared" si="0"/>
        <v>456</v>
      </c>
      <c r="I52" s="5">
        <f t="shared" si="4"/>
        <v>235</v>
      </c>
      <c r="J52" s="5">
        <f t="shared" si="2"/>
        <v>223</v>
      </c>
      <c r="K52" s="5">
        <v>22.5</v>
      </c>
      <c r="L52" s="5">
        <v>1.0625</v>
      </c>
      <c r="M52" s="5">
        <v>16</v>
      </c>
      <c r="N52" s="5"/>
      <c r="O52" s="5"/>
      <c r="P52" s="5"/>
      <c r="Q52" s="5"/>
      <c r="R52" s="5"/>
      <c r="S52" s="5"/>
      <c r="T52" s="5">
        <f t="shared" si="5"/>
        <v>228</v>
      </c>
      <c r="U52" s="5">
        <v>185.71879999999999</v>
      </c>
      <c r="V52" s="5">
        <v>84</v>
      </c>
      <c r="W52" s="5">
        <v>0.5625</v>
      </c>
      <c r="X52" s="5">
        <v>22.5</v>
      </c>
      <c r="Y52" s="5">
        <v>16</v>
      </c>
      <c r="Z52" s="5">
        <v>185.71879999999999</v>
      </c>
      <c r="AA52" s="5">
        <v>143.46870000000001</v>
      </c>
      <c r="AB52" s="5">
        <v>84</v>
      </c>
      <c r="AC52" s="5">
        <v>0.5625</v>
      </c>
      <c r="AD52" s="5">
        <v>30</v>
      </c>
      <c r="AE52" s="5">
        <v>12</v>
      </c>
      <c r="AF52" s="5">
        <v>0</v>
      </c>
      <c r="AG52" s="5">
        <v>143.46870000000001</v>
      </c>
      <c r="AH52" s="5">
        <v>101.1875</v>
      </c>
      <c r="AI52" s="5">
        <v>84</v>
      </c>
      <c r="AJ52" s="5">
        <v>0.5625</v>
      </c>
      <c r="AK52" s="5">
        <v>36</v>
      </c>
      <c r="AL52" s="5">
        <v>10</v>
      </c>
      <c r="AM52" s="5">
        <v>0</v>
      </c>
      <c r="AN52" s="5">
        <v>101.1875</v>
      </c>
      <c r="AO52" s="5">
        <v>60.40625</v>
      </c>
      <c r="AP52" s="5">
        <v>81</v>
      </c>
      <c r="AQ52" s="5">
        <v>0.6875</v>
      </c>
      <c r="AR52" s="5">
        <v>45</v>
      </c>
      <c r="AS52" s="5">
        <v>8</v>
      </c>
      <c r="AT52" s="5"/>
      <c r="AU52" s="5">
        <v>60.40625</v>
      </c>
      <c r="AV52" s="5">
        <v>54</v>
      </c>
      <c r="AW52" s="5">
        <v>27</v>
      </c>
      <c r="AX52" s="5">
        <v>0.8125</v>
      </c>
      <c r="AY52" s="5">
        <v>36</v>
      </c>
      <c r="AZ52" s="5">
        <v>10</v>
      </c>
      <c r="BA52" s="5">
        <v>108</v>
      </c>
      <c r="BB52" s="5">
        <v>96</v>
      </c>
      <c r="BC52" s="5">
        <v>108</v>
      </c>
      <c r="BD52" s="5">
        <v>96</v>
      </c>
      <c r="BE52" s="5">
        <v>0.75</v>
      </c>
      <c r="BF52" s="5">
        <v>108</v>
      </c>
      <c r="BG52" s="5">
        <v>96</v>
      </c>
      <c r="BH52" s="5">
        <v>0.75</v>
      </c>
      <c r="BI52" s="5">
        <v>108</v>
      </c>
      <c r="BJ52" s="5">
        <v>96</v>
      </c>
      <c r="BK52" s="5">
        <v>0.75</v>
      </c>
      <c r="BL52" s="5">
        <v>108</v>
      </c>
      <c r="BM52" s="5">
        <v>96</v>
      </c>
      <c r="BN52" s="5">
        <v>0.75</v>
      </c>
      <c r="BO52" s="5">
        <v>108</v>
      </c>
      <c r="BP52" s="5">
        <v>96</v>
      </c>
      <c r="BQ52" s="5">
        <v>0.75</v>
      </c>
      <c r="BR52" s="5">
        <v>108</v>
      </c>
      <c r="BS52" s="5">
        <v>96</v>
      </c>
      <c r="BT52" s="5">
        <v>0.75</v>
      </c>
      <c r="BU52" s="5">
        <v>108</v>
      </c>
      <c r="BV52" s="5">
        <v>96</v>
      </c>
      <c r="BW52" s="5">
        <v>0.75</v>
      </c>
      <c r="BX52" s="5">
        <v>108</v>
      </c>
      <c r="BY52" s="5">
        <v>96</v>
      </c>
      <c r="BZ52" s="5">
        <v>0.75</v>
      </c>
      <c r="CA52" s="5" t="s">
        <v>470</v>
      </c>
      <c r="CB52" s="5" t="s">
        <v>470</v>
      </c>
      <c r="CC52" s="5"/>
      <c r="CD52" s="5" t="s">
        <v>470</v>
      </c>
      <c r="CE52" s="5" t="s">
        <v>470</v>
      </c>
      <c r="CF52" s="5"/>
      <c r="CG52" s="5" t="s">
        <v>470</v>
      </c>
      <c r="CH52" s="5" t="s">
        <v>470</v>
      </c>
      <c r="CI52" s="5"/>
      <c r="CJ52" s="5" t="s">
        <v>470</v>
      </c>
      <c r="CK52" s="5" t="s">
        <v>470</v>
      </c>
      <c r="CL52" s="5"/>
      <c r="CM52" s="5" t="s">
        <v>470</v>
      </c>
      <c r="CN52" s="5" t="s">
        <v>470</v>
      </c>
      <c r="CO52" s="5"/>
      <c r="CP52" s="5" t="s">
        <v>470</v>
      </c>
      <c r="CQ52" s="5" t="s">
        <v>470</v>
      </c>
      <c r="CR52" s="5"/>
      <c r="CS52" s="5" t="s">
        <v>470</v>
      </c>
      <c r="CT52" s="5" t="s">
        <v>470</v>
      </c>
      <c r="CU52" s="5"/>
      <c r="CV52" s="5" t="s">
        <v>470</v>
      </c>
      <c r="CW52" s="5" t="s">
        <v>470</v>
      </c>
      <c r="CX52" s="5"/>
      <c r="CY52" s="5" t="s">
        <v>470</v>
      </c>
      <c r="CZ52" s="5" t="s">
        <v>470</v>
      </c>
      <c r="DA52" s="5"/>
      <c r="DB52" s="5" t="s">
        <v>470</v>
      </c>
      <c r="DC52" s="5" t="s">
        <v>470</v>
      </c>
      <c r="DD52" s="5"/>
      <c r="DE52" s="5"/>
      <c r="DF52" s="5">
        <v>60</v>
      </c>
      <c r="DG52" s="5">
        <v>54</v>
      </c>
      <c r="DH52" s="5"/>
      <c r="DI52" s="5">
        <v>0.75</v>
      </c>
      <c r="DJ52" s="5">
        <v>22.5</v>
      </c>
      <c r="DK52" s="5">
        <v>16</v>
      </c>
      <c r="DL52" s="5">
        <v>121.40625</v>
      </c>
      <c r="DM52" s="5">
        <v>71.59375</v>
      </c>
      <c r="DN52" s="5">
        <v>49.8125</v>
      </c>
      <c r="DO52" s="5">
        <v>0.6875</v>
      </c>
      <c r="DP52" s="12">
        <v>60</v>
      </c>
      <c r="DQ52" s="5">
        <v>6</v>
      </c>
      <c r="DR52" s="13">
        <v>171.21875</v>
      </c>
      <c r="DS52" s="5">
        <v>121.40625</v>
      </c>
      <c r="DT52" s="5">
        <v>49.8125</v>
      </c>
      <c r="DU52" s="5">
        <v>0.5625</v>
      </c>
      <c r="DV52" s="5">
        <v>60</v>
      </c>
      <c r="DW52" s="5">
        <v>6</v>
      </c>
      <c r="DX52" s="5">
        <v>221</v>
      </c>
      <c r="DY52" s="5">
        <v>171.21875</v>
      </c>
      <c r="DZ52" s="5">
        <v>49.8125</v>
      </c>
      <c r="EA52" s="5">
        <v>0.5</v>
      </c>
      <c r="EB52" s="5">
        <v>45</v>
      </c>
      <c r="EC52" s="5">
        <v>8</v>
      </c>
      <c r="ED52" s="5" t="s">
        <v>470</v>
      </c>
      <c r="EE52" s="5" t="s">
        <v>470</v>
      </c>
      <c r="EF52" s="5" t="s">
        <v>470</v>
      </c>
      <c r="EG52" s="5" t="s">
        <v>470</v>
      </c>
      <c r="EH52" s="5" t="s">
        <v>470</v>
      </c>
      <c r="EI52" s="5" t="s">
        <v>470</v>
      </c>
      <c r="EJ52" s="5" t="s">
        <v>470</v>
      </c>
      <c r="EK52" s="5" t="s">
        <v>470</v>
      </c>
      <c r="EL52" s="5" t="s">
        <v>470</v>
      </c>
      <c r="EM52" s="5" t="s">
        <v>470</v>
      </c>
      <c r="EN52" s="5" t="s">
        <v>470</v>
      </c>
      <c r="EO52" s="5" t="s">
        <v>470</v>
      </c>
      <c r="EP52" s="5"/>
      <c r="EQ52" s="5"/>
      <c r="ER52" s="5"/>
      <c r="ES52" s="5"/>
      <c r="ET52" s="5"/>
      <c r="EU52" s="5"/>
      <c r="EV52" s="5"/>
      <c r="EW52" s="5"/>
      <c r="EX52" s="5"/>
      <c r="EY52" s="5">
        <v>0.375</v>
      </c>
      <c r="EZ52" s="5">
        <v>197.8125</v>
      </c>
      <c r="FA52" s="5">
        <v>24</v>
      </c>
      <c r="FB52" s="5">
        <v>15</v>
      </c>
      <c r="FC52" s="5">
        <v>45</v>
      </c>
      <c r="FD52" s="5">
        <v>81</v>
      </c>
      <c r="FE52" s="5" t="s">
        <v>512</v>
      </c>
      <c r="FF52" s="5">
        <v>0.25</v>
      </c>
      <c r="FG52" s="5">
        <v>197.875</v>
      </c>
      <c r="FH52" s="5">
        <v>25</v>
      </c>
      <c r="FI52" s="5">
        <v>14.4</v>
      </c>
      <c r="FJ52" s="5">
        <v>45</v>
      </c>
      <c r="FK52" s="5">
        <v>81</v>
      </c>
      <c r="FL52" s="5" t="s">
        <v>512</v>
      </c>
      <c r="FM52" s="5">
        <v>0.25</v>
      </c>
      <c r="FN52" s="5">
        <v>312.6875</v>
      </c>
      <c r="FO52" s="5">
        <v>20</v>
      </c>
      <c r="FP52" s="5">
        <v>18</v>
      </c>
      <c r="FQ52" s="5">
        <v>83.953199999999995</v>
      </c>
      <c r="FR52" s="5">
        <v>0</v>
      </c>
      <c r="FS52" s="5" t="s">
        <v>512</v>
      </c>
      <c r="FT52" s="5">
        <v>50</v>
      </c>
      <c r="FU52" s="5">
        <v>21</v>
      </c>
      <c r="FV52" s="5">
        <v>29</v>
      </c>
      <c r="FW52" s="5">
        <v>0.5</v>
      </c>
      <c r="FX52" s="5">
        <v>4</v>
      </c>
      <c r="FY52" s="5">
        <v>46</v>
      </c>
      <c r="FZ52" s="5">
        <v>56</v>
      </c>
      <c r="GA52" s="5">
        <v>1.25</v>
      </c>
      <c r="GB52" s="5">
        <v>120</v>
      </c>
      <c r="GC52" s="5">
        <v>3</v>
      </c>
      <c r="GD52" s="5">
        <v>20</v>
      </c>
      <c r="GE52" s="5">
        <v>24</v>
      </c>
      <c r="GF52" s="5">
        <v>1</v>
      </c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</row>
    <row r="53" spans="1:201" s="1" customFormat="1" ht="15.75" customHeight="1" x14ac:dyDescent="0.25">
      <c r="A53" s="4" t="s">
        <v>522</v>
      </c>
      <c r="B53" s="5"/>
      <c r="C53" s="5">
        <v>325</v>
      </c>
      <c r="D53" s="5">
        <v>25</v>
      </c>
      <c r="E53" s="6">
        <v>25</v>
      </c>
      <c r="F53" s="5" t="s">
        <v>469</v>
      </c>
      <c r="G53" s="5">
        <v>0</v>
      </c>
      <c r="H53" s="5">
        <f t="shared" si="0"/>
        <v>300</v>
      </c>
      <c r="I53" s="5">
        <f t="shared" si="4"/>
        <v>157</v>
      </c>
      <c r="J53" s="5">
        <f t="shared" si="2"/>
        <v>145</v>
      </c>
      <c r="K53" s="5">
        <v>40</v>
      </c>
      <c r="L53" s="5">
        <v>1.5</v>
      </c>
      <c r="M53" s="5">
        <v>9</v>
      </c>
      <c r="N53" s="5"/>
      <c r="O53" s="5"/>
      <c r="P53" s="5"/>
      <c r="Q53" s="5"/>
      <c r="R53" s="5" t="s">
        <v>470</v>
      </c>
      <c r="S53" s="5"/>
      <c r="T53" s="5">
        <f t="shared" si="5"/>
        <v>150</v>
      </c>
      <c r="U53" s="5">
        <v>122.21875</v>
      </c>
      <c r="V53" s="5">
        <v>84</v>
      </c>
      <c r="W53" s="5">
        <v>0.5</v>
      </c>
      <c r="X53" s="5">
        <v>40</v>
      </c>
      <c r="Y53" s="5">
        <v>9</v>
      </c>
      <c r="Z53" s="5">
        <v>122.21875</v>
      </c>
      <c r="AA53" s="5">
        <v>94.4375</v>
      </c>
      <c r="AB53" s="5">
        <v>84</v>
      </c>
      <c r="AC53" s="5">
        <v>0.5</v>
      </c>
      <c r="AD53" s="5">
        <v>60</v>
      </c>
      <c r="AE53" s="5">
        <v>6</v>
      </c>
      <c r="AF53" s="5">
        <v>0</v>
      </c>
      <c r="AG53" s="5">
        <v>94.4375</v>
      </c>
      <c r="AH53" s="5">
        <v>66.6875</v>
      </c>
      <c r="AI53" s="5">
        <v>84</v>
      </c>
      <c r="AJ53" s="5">
        <v>0.5625</v>
      </c>
      <c r="AK53" s="5">
        <v>90</v>
      </c>
      <c r="AL53" s="5">
        <v>4</v>
      </c>
      <c r="AM53" s="5">
        <v>0</v>
      </c>
      <c r="AN53" s="5">
        <v>66.6875</v>
      </c>
      <c r="AO53" s="5">
        <v>57.03125</v>
      </c>
      <c r="AP53" s="5">
        <v>29.1875</v>
      </c>
      <c r="AQ53" s="5">
        <v>0.625</v>
      </c>
      <c r="AR53" s="5">
        <v>90</v>
      </c>
      <c r="AS53" s="5">
        <v>4</v>
      </c>
      <c r="AT53" s="5">
        <v>60</v>
      </c>
      <c r="AU53" s="5">
        <v>57.03125</v>
      </c>
      <c r="AV53" s="5">
        <v>54</v>
      </c>
      <c r="AW53" s="5">
        <v>18.8125</v>
      </c>
      <c r="AX53" s="5">
        <v>0.625</v>
      </c>
      <c r="AY53" s="5">
        <v>36</v>
      </c>
      <c r="AZ53" s="5">
        <v>10</v>
      </c>
      <c r="BA53" s="5">
        <v>108</v>
      </c>
      <c r="BB53" s="5">
        <v>96</v>
      </c>
      <c r="BC53" s="5">
        <v>108</v>
      </c>
      <c r="BD53" s="5">
        <v>96</v>
      </c>
      <c r="BE53" s="5">
        <v>0.625</v>
      </c>
      <c r="BF53" s="5">
        <v>108</v>
      </c>
      <c r="BG53" s="5">
        <v>96</v>
      </c>
      <c r="BH53" s="5">
        <v>0.625</v>
      </c>
      <c r="BI53" s="5">
        <v>108</v>
      </c>
      <c r="BJ53" s="5">
        <v>96</v>
      </c>
      <c r="BK53" s="5">
        <v>0.625</v>
      </c>
      <c r="BL53" s="5">
        <v>108</v>
      </c>
      <c r="BM53" s="5">
        <v>96</v>
      </c>
      <c r="BN53" s="5">
        <v>0.625</v>
      </c>
      <c r="BO53" s="5">
        <v>108</v>
      </c>
      <c r="BP53" s="5">
        <v>96</v>
      </c>
      <c r="BQ53" s="5">
        <v>0.625</v>
      </c>
      <c r="BR53" s="5">
        <v>108</v>
      </c>
      <c r="BS53" s="5">
        <v>96</v>
      </c>
      <c r="BT53" s="5">
        <v>0.625</v>
      </c>
      <c r="BU53" s="5">
        <v>108</v>
      </c>
      <c r="BV53" s="5">
        <v>96</v>
      </c>
      <c r="BW53" s="5">
        <v>0.625</v>
      </c>
      <c r="BX53" s="5">
        <v>108</v>
      </c>
      <c r="BY53" s="5">
        <v>96</v>
      </c>
      <c r="BZ53" s="5">
        <v>0.625</v>
      </c>
      <c r="CA53" s="5" t="s">
        <v>470</v>
      </c>
      <c r="CB53" s="5" t="s">
        <v>470</v>
      </c>
      <c r="CC53" s="5"/>
      <c r="CD53" s="5" t="s">
        <v>470</v>
      </c>
      <c r="CE53" s="5" t="s">
        <v>470</v>
      </c>
      <c r="CF53" s="5"/>
      <c r="CG53" s="5" t="s">
        <v>470</v>
      </c>
      <c r="CH53" s="5" t="s">
        <v>470</v>
      </c>
      <c r="CI53" s="5"/>
      <c r="CJ53" s="5" t="s">
        <v>470</v>
      </c>
      <c r="CK53" s="5" t="s">
        <v>470</v>
      </c>
      <c r="CL53" s="5"/>
      <c r="CM53" s="5" t="s">
        <v>470</v>
      </c>
      <c r="CN53" s="5" t="s">
        <v>470</v>
      </c>
      <c r="CO53" s="5"/>
      <c r="CP53" s="5" t="s">
        <v>470</v>
      </c>
      <c r="CQ53" s="5" t="s">
        <v>470</v>
      </c>
      <c r="CR53" s="5"/>
      <c r="CS53" s="5" t="s">
        <v>470</v>
      </c>
      <c r="CT53" s="5" t="s">
        <v>470</v>
      </c>
      <c r="CU53" s="5"/>
      <c r="CV53" s="5" t="s">
        <v>470</v>
      </c>
      <c r="CW53" s="5" t="s">
        <v>470</v>
      </c>
      <c r="CX53" s="5"/>
      <c r="CY53" s="5" t="s">
        <v>470</v>
      </c>
      <c r="CZ53" s="5" t="s">
        <v>470</v>
      </c>
      <c r="DA53" s="5"/>
      <c r="DB53" s="5" t="s">
        <v>470</v>
      </c>
      <c r="DC53" s="5" t="s">
        <v>470</v>
      </c>
      <c r="DD53" s="5"/>
      <c r="DE53" s="5">
        <v>60</v>
      </c>
      <c r="DF53" s="5"/>
      <c r="DG53" s="5">
        <v>71.5625</v>
      </c>
      <c r="DH53" s="5"/>
      <c r="DI53" s="5">
        <v>0.8125</v>
      </c>
      <c r="DJ53" s="5">
        <v>22.5</v>
      </c>
      <c r="DK53" s="5">
        <v>16</v>
      </c>
      <c r="DL53" s="5">
        <v>123.79170000000001</v>
      </c>
      <c r="DM53" s="5">
        <v>71.5625</v>
      </c>
      <c r="DN53" s="5">
        <v>52.52</v>
      </c>
      <c r="DO53" s="5">
        <v>0.6875</v>
      </c>
      <c r="DP53" s="12">
        <v>60</v>
      </c>
      <c r="DQ53" s="5">
        <v>6</v>
      </c>
      <c r="DR53" s="13">
        <v>176.02080000000001</v>
      </c>
      <c r="DS53" s="5">
        <v>123.79170000000001</v>
      </c>
      <c r="DT53" s="5">
        <v>52.52</v>
      </c>
      <c r="DU53" s="5">
        <v>0.5625</v>
      </c>
      <c r="DV53" s="5">
        <v>45</v>
      </c>
      <c r="DW53" s="5">
        <v>8</v>
      </c>
      <c r="DX53" s="5">
        <v>228.25</v>
      </c>
      <c r="DY53" s="5">
        <v>176.02080000000001</v>
      </c>
      <c r="DZ53" s="5">
        <v>52.52</v>
      </c>
      <c r="EA53" s="5">
        <v>0.5</v>
      </c>
      <c r="EB53" s="5">
        <v>36</v>
      </c>
      <c r="EC53" s="5">
        <v>10</v>
      </c>
      <c r="ED53" s="5" t="s">
        <v>470</v>
      </c>
      <c r="EE53" s="5" t="s">
        <v>470</v>
      </c>
      <c r="EF53" s="5" t="s">
        <v>470</v>
      </c>
      <c r="EG53" s="5" t="s">
        <v>470</v>
      </c>
      <c r="EH53" s="5" t="s">
        <v>470</v>
      </c>
      <c r="EI53" s="5" t="s">
        <v>470</v>
      </c>
      <c r="EJ53" s="5" t="s">
        <v>470</v>
      </c>
      <c r="EK53" s="5" t="s">
        <v>470</v>
      </c>
      <c r="EL53" s="5" t="s">
        <v>470</v>
      </c>
      <c r="EM53" s="5" t="s">
        <v>470</v>
      </c>
      <c r="EN53" s="5" t="s">
        <v>470</v>
      </c>
      <c r="EO53" s="5" t="s">
        <v>470</v>
      </c>
      <c r="EP53" s="5"/>
      <c r="EQ53" s="5"/>
      <c r="ER53" s="5"/>
      <c r="ES53" s="5"/>
      <c r="ET53" s="5"/>
      <c r="EU53" s="5"/>
      <c r="EV53" s="5"/>
      <c r="EW53" s="5"/>
      <c r="EX53" s="5"/>
      <c r="EY53" s="5">
        <v>0.375</v>
      </c>
      <c r="EZ53" s="5">
        <v>204</v>
      </c>
      <c r="FA53" s="5">
        <v>26</v>
      </c>
      <c r="FB53" s="5">
        <v>13.8462</v>
      </c>
      <c r="FC53" s="5">
        <v>45</v>
      </c>
      <c r="FD53" s="5">
        <v>84</v>
      </c>
      <c r="FE53" s="5" t="s">
        <v>523</v>
      </c>
      <c r="FF53" s="5">
        <v>0.25</v>
      </c>
      <c r="FG53" s="5">
        <v>204</v>
      </c>
      <c r="FH53" s="5">
        <v>25</v>
      </c>
      <c r="FI53" s="5">
        <v>14.4</v>
      </c>
      <c r="FJ53" s="5">
        <v>45</v>
      </c>
      <c r="FK53" s="5">
        <v>84</v>
      </c>
      <c r="FL53" s="5">
        <v>204</v>
      </c>
      <c r="FM53" s="5">
        <v>0.25</v>
      </c>
      <c r="FN53" s="5">
        <v>322.8125</v>
      </c>
      <c r="FO53" s="5">
        <v>22</v>
      </c>
      <c r="FP53" s="5">
        <v>16.363600000000002</v>
      </c>
      <c r="FQ53" s="5">
        <v>83.597099999999998</v>
      </c>
      <c r="FR53" s="5">
        <v>0</v>
      </c>
      <c r="FS53" s="5" t="s">
        <v>523</v>
      </c>
      <c r="FT53" s="5">
        <v>50</v>
      </c>
      <c r="FU53" s="5">
        <v>24</v>
      </c>
      <c r="FV53" s="5">
        <v>26</v>
      </c>
      <c r="FW53" s="5">
        <v>0.5</v>
      </c>
      <c r="FX53" s="5">
        <v>4</v>
      </c>
      <c r="FY53" s="5">
        <v>42</v>
      </c>
      <c r="FZ53" s="5">
        <v>52</v>
      </c>
      <c r="GA53" s="5">
        <v>1</v>
      </c>
      <c r="GB53" s="5">
        <v>120</v>
      </c>
      <c r="GC53" s="5">
        <v>3</v>
      </c>
      <c r="GD53" s="5">
        <v>23</v>
      </c>
      <c r="GE53" s="5">
        <v>27</v>
      </c>
      <c r="GF53" s="5">
        <v>1</v>
      </c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</row>
    <row r="54" spans="1:201" s="1" customFormat="1" ht="15.75" customHeight="1" x14ac:dyDescent="0.25">
      <c r="A54" s="4" t="s">
        <v>524</v>
      </c>
      <c r="B54" s="5"/>
      <c r="C54" s="5">
        <v>400</v>
      </c>
      <c r="D54" s="5">
        <v>25</v>
      </c>
      <c r="E54" s="6">
        <v>25</v>
      </c>
      <c r="F54" s="5" t="s">
        <v>469</v>
      </c>
      <c r="G54" s="5">
        <v>0</v>
      </c>
      <c r="H54" s="5">
        <f t="shared" si="0"/>
        <v>300</v>
      </c>
      <c r="I54" s="5">
        <f t="shared" si="4"/>
        <v>157</v>
      </c>
      <c r="J54" s="5">
        <f t="shared" si="2"/>
        <v>145</v>
      </c>
      <c r="K54" s="5">
        <v>40</v>
      </c>
      <c r="L54" s="5">
        <v>1.5</v>
      </c>
      <c r="M54" s="5">
        <v>9</v>
      </c>
      <c r="N54" s="5">
        <v>20</v>
      </c>
      <c r="O54" s="5">
        <v>9</v>
      </c>
      <c r="P54" s="5">
        <v>20</v>
      </c>
      <c r="Q54" s="5">
        <v>40</v>
      </c>
      <c r="R54" s="5" t="s">
        <v>470</v>
      </c>
      <c r="S54" s="5">
        <v>40</v>
      </c>
      <c r="T54" s="5">
        <f t="shared" si="5"/>
        <v>150</v>
      </c>
      <c r="U54" s="5">
        <v>124.0145</v>
      </c>
      <c r="V54" s="5">
        <v>84</v>
      </c>
      <c r="W54" s="5">
        <v>0.625</v>
      </c>
      <c r="X54" s="5">
        <v>40</v>
      </c>
      <c r="Y54" s="5">
        <v>9</v>
      </c>
      <c r="Z54" s="5">
        <v>124.0145</v>
      </c>
      <c r="AA54" s="5">
        <v>98.028999999999996</v>
      </c>
      <c r="AB54" s="5">
        <v>84</v>
      </c>
      <c r="AC54" s="5">
        <v>0.6875</v>
      </c>
      <c r="AD54" s="5">
        <v>60</v>
      </c>
      <c r="AE54" s="5">
        <v>6</v>
      </c>
      <c r="AF54" s="5">
        <v>0</v>
      </c>
      <c r="AG54" s="5">
        <v>98.028999999999996</v>
      </c>
      <c r="AH54" s="5">
        <v>72.043499999999995</v>
      </c>
      <c r="AI54" s="5">
        <v>84</v>
      </c>
      <c r="AJ54" s="5">
        <v>0.875</v>
      </c>
      <c r="AK54" s="5">
        <v>60</v>
      </c>
      <c r="AL54" s="5">
        <v>6</v>
      </c>
      <c r="AM54" s="5">
        <v>0</v>
      </c>
      <c r="AN54" s="5">
        <v>72.043499999999995</v>
      </c>
      <c r="AO54" s="5">
        <v>62.680100000000003</v>
      </c>
      <c r="AP54" s="5">
        <v>30.25</v>
      </c>
      <c r="AQ54" s="5">
        <v>1</v>
      </c>
      <c r="AR54" s="5">
        <v>90</v>
      </c>
      <c r="AS54" s="5">
        <v>4</v>
      </c>
      <c r="AT54" s="5">
        <v>60</v>
      </c>
      <c r="AU54" s="5">
        <v>62.680100000000003</v>
      </c>
      <c r="AV54" s="5">
        <v>60</v>
      </c>
      <c r="AW54" s="5">
        <v>17.75</v>
      </c>
      <c r="AX54" s="5">
        <v>1</v>
      </c>
      <c r="AY54" s="5">
        <v>36</v>
      </c>
      <c r="AZ54" s="5">
        <v>10</v>
      </c>
      <c r="BA54" s="5">
        <v>120</v>
      </c>
      <c r="BB54" s="5">
        <v>96</v>
      </c>
      <c r="BC54" s="5">
        <v>120</v>
      </c>
      <c r="BD54" s="5">
        <v>96</v>
      </c>
      <c r="BE54" s="5">
        <v>0.6875</v>
      </c>
      <c r="BF54" s="5">
        <v>120</v>
      </c>
      <c r="BG54" s="5">
        <v>96</v>
      </c>
      <c r="BH54" s="5">
        <v>0.6875</v>
      </c>
      <c r="BI54" s="5">
        <v>120</v>
      </c>
      <c r="BJ54" s="5">
        <v>96</v>
      </c>
      <c r="BK54" s="5">
        <v>0.6875</v>
      </c>
      <c r="BL54" s="5">
        <v>120</v>
      </c>
      <c r="BM54" s="5">
        <v>96</v>
      </c>
      <c r="BN54" s="5">
        <v>0.6875</v>
      </c>
      <c r="BO54" s="5">
        <v>120</v>
      </c>
      <c r="BP54" s="5">
        <v>96</v>
      </c>
      <c r="BQ54" s="5">
        <v>0.6875</v>
      </c>
      <c r="BR54" s="5">
        <v>120</v>
      </c>
      <c r="BS54" s="5">
        <v>96</v>
      </c>
      <c r="BT54" s="5">
        <v>0.6875</v>
      </c>
      <c r="BU54" s="5">
        <v>120</v>
      </c>
      <c r="BV54" s="5">
        <v>96</v>
      </c>
      <c r="BW54" s="5">
        <v>0.6875</v>
      </c>
      <c r="BX54" s="5">
        <v>120</v>
      </c>
      <c r="BY54" s="5">
        <v>96</v>
      </c>
      <c r="BZ54" s="5">
        <v>0.6875</v>
      </c>
      <c r="CA54" s="5" t="s">
        <v>470</v>
      </c>
      <c r="CB54" s="5" t="s">
        <v>470</v>
      </c>
      <c r="CC54" s="5"/>
      <c r="CD54" s="5" t="s">
        <v>470</v>
      </c>
      <c r="CE54" s="5" t="s">
        <v>470</v>
      </c>
      <c r="CF54" s="5"/>
      <c r="CG54" s="5" t="s">
        <v>470</v>
      </c>
      <c r="CH54" s="5" t="s">
        <v>470</v>
      </c>
      <c r="CI54" s="5"/>
      <c r="CJ54" s="5" t="s">
        <v>470</v>
      </c>
      <c r="CK54" s="5" t="s">
        <v>470</v>
      </c>
      <c r="CL54" s="5"/>
      <c r="CM54" s="5" t="s">
        <v>470</v>
      </c>
      <c r="CN54" s="5" t="s">
        <v>470</v>
      </c>
      <c r="CO54" s="5"/>
      <c r="CP54" s="5" t="s">
        <v>470</v>
      </c>
      <c r="CQ54" s="5" t="s">
        <v>470</v>
      </c>
      <c r="CR54" s="5"/>
      <c r="CS54" s="5" t="s">
        <v>470</v>
      </c>
      <c r="CT54" s="5" t="s">
        <v>470</v>
      </c>
      <c r="CU54" s="5"/>
      <c r="CV54" s="5" t="s">
        <v>470</v>
      </c>
      <c r="CW54" s="5" t="s">
        <v>470</v>
      </c>
      <c r="CX54" s="5"/>
      <c r="CY54" s="5" t="s">
        <v>470</v>
      </c>
      <c r="CZ54" s="5" t="s">
        <v>470</v>
      </c>
      <c r="DA54" s="5"/>
      <c r="DB54" s="5" t="s">
        <v>470</v>
      </c>
      <c r="DC54" s="5" t="s">
        <v>470</v>
      </c>
      <c r="DD54" s="5"/>
      <c r="DE54" s="5">
        <v>60</v>
      </c>
      <c r="DF54" s="5">
        <v>60</v>
      </c>
      <c r="DG54" s="5">
        <v>77.5625</v>
      </c>
      <c r="DH54" s="5">
        <v>42.4375</v>
      </c>
      <c r="DI54" s="5">
        <v>0.9375</v>
      </c>
      <c r="DJ54" s="5">
        <v>40</v>
      </c>
      <c r="DK54" s="5">
        <v>9</v>
      </c>
      <c r="DL54" s="5">
        <v>133.09379999999999</v>
      </c>
      <c r="DM54" s="5">
        <v>77.5625</v>
      </c>
      <c r="DN54" s="5">
        <v>55.4375</v>
      </c>
      <c r="DO54" s="5">
        <v>0.75</v>
      </c>
      <c r="DP54" s="12">
        <v>60</v>
      </c>
      <c r="DQ54" s="5">
        <v>6</v>
      </c>
      <c r="DR54" s="13">
        <v>188.53129999999999</v>
      </c>
      <c r="DS54" s="5">
        <v>133.09379999999999</v>
      </c>
      <c r="DT54" s="5">
        <v>55.4375</v>
      </c>
      <c r="DU54" s="5">
        <v>0.625</v>
      </c>
      <c r="DV54" s="5">
        <v>45</v>
      </c>
      <c r="DW54" s="5">
        <v>8</v>
      </c>
      <c r="DX54" s="5">
        <v>243.96875</v>
      </c>
      <c r="DY54" s="5">
        <v>188.53129999999999</v>
      </c>
      <c r="DZ54" s="5">
        <v>55.4375</v>
      </c>
      <c r="EA54" s="5">
        <v>0.5625</v>
      </c>
      <c r="EB54" s="5">
        <v>36</v>
      </c>
      <c r="EC54" s="5">
        <v>10</v>
      </c>
      <c r="ED54" s="5" t="s">
        <v>470</v>
      </c>
      <c r="EE54" s="5" t="s">
        <v>470</v>
      </c>
      <c r="EF54" s="5" t="s">
        <v>470</v>
      </c>
      <c r="EG54" s="5" t="s">
        <v>470</v>
      </c>
      <c r="EH54" s="5" t="s">
        <v>470</v>
      </c>
      <c r="EI54" s="5" t="s">
        <v>470</v>
      </c>
      <c r="EJ54" s="5" t="s">
        <v>470</v>
      </c>
      <c r="EK54" s="5" t="s">
        <v>470</v>
      </c>
      <c r="EL54" s="5" t="s">
        <v>470</v>
      </c>
      <c r="EM54" s="5" t="s">
        <v>470</v>
      </c>
      <c r="EN54" s="5" t="s">
        <v>470</v>
      </c>
      <c r="EO54" s="5" t="s">
        <v>470</v>
      </c>
      <c r="EP54" s="5" t="s">
        <v>470</v>
      </c>
      <c r="EQ54" s="5" t="s">
        <v>470</v>
      </c>
      <c r="ER54" s="5" t="s">
        <v>470</v>
      </c>
      <c r="ES54" s="5" t="s">
        <v>470</v>
      </c>
      <c r="ET54" s="5" t="s">
        <v>470</v>
      </c>
      <c r="EU54" s="5" t="s">
        <v>470</v>
      </c>
      <c r="EV54" s="5" t="s">
        <v>470</v>
      </c>
      <c r="EW54" s="5" t="s">
        <v>470</v>
      </c>
      <c r="EX54" s="5" t="s">
        <v>470</v>
      </c>
      <c r="EY54" s="5">
        <v>0.5</v>
      </c>
      <c r="EZ54" s="5">
        <v>221.78129999999999</v>
      </c>
      <c r="FA54" s="5">
        <v>28</v>
      </c>
      <c r="FB54" s="5">
        <v>12.857100000000001</v>
      </c>
      <c r="FC54" s="5">
        <v>45</v>
      </c>
      <c r="FD54" s="5">
        <v>87</v>
      </c>
      <c r="FE54" s="5" t="s">
        <v>525</v>
      </c>
      <c r="FF54" s="5">
        <v>0.25</v>
      </c>
      <c r="FG54" s="5">
        <v>221.875</v>
      </c>
      <c r="FH54" s="5">
        <v>28</v>
      </c>
      <c r="FI54" s="5">
        <v>12.857100000000001</v>
      </c>
      <c r="FJ54" s="5">
        <v>45</v>
      </c>
      <c r="FK54" s="5">
        <v>87</v>
      </c>
      <c r="FL54" s="5" t="s">
        <v>525</v>
      </c>
      <c r="FM54" s="5">
        <v>0.25</v>
      </c>
      <c r="FN54" s="5">
        <v>344.9375</v>
      </c>
      <c r="FO54" s="5">
        <v>22</v>
      </c>
      <c r="FP54" s="5">
        <v>16.363600000000002</v>
      </c>
      <c r="FQ54" s="5">
        <v>84.497799999999998</v>
      </c>
      <c r="FR54" s="5">
        <v>0</v>
      </c>
      <c r="FS54" s="5" t="s">
        <v>525</v>
      </c>
      <c r="FT54" s="5">
        <v>56</v>
      </c>
      <c r="FU54" s="5">
        <v>24</v>
      </c>
      <c r="FV54" s="5">
        <v>32</v>
      </c>
      <c r="FW54" s="5">
        <v>0.5</v>
      </c>
      <c r="FX54" s="5">
        <v>4</v>
      </c>
      <c r="FY54" s="5">
        <v>52</v>
      </c>
      <c r="FZ54" s="5">
        <v>62</v>
      </c>
      <c r="GA54" s="5">
        <v>1.5</v>
      </c>
      <c r="GB54" s="5">
        <v>120</v>
      </c>
      <c r="GC54" s="5">
        <v>3</v>
      </c>
      <c r="GD54" s="5">
        <v>23</v>
      </c>
      <c r="GE54" s="5">
        <v>27</v>
      </c>
      <c r="GF54" s="5">
        <v>1</v>
      </c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</row>
    <row r="55" spans="1:201" s="1" customFormat="1" ht="15.75" customHeight="1" x14ac:dyDescent="0.25">
      <c r="A55" s="4" t="s">
        <v>526</v>
      </c>
      <c r="B55" s="5"/>
      <c r="C55" s="5">
        <v>400</v>
      </c>
      <c r="D55" s="5">
        <v>28</v>
      </c>
      <c r="E55" s="6">
        <v>25</v>
      </c>
      <c r="F55" s="5" t="s">
        <v>469</v>
      </c>
      <c r="G55" s="5">
        <v>0</v>
      </c>
      <c r="H55" s="5">
        <f t="shared" si="0"/>
        <v>336</v>
      </c>
      <c r="I55" s="5">
        <f t="shared" si="4"/>
        <v>175</v>
      </c>
      <c r="J55" s="5">
        <f t="shared" si="2"/>
        <v>163</v>
      </c>
      <c r="K55" s="5">
        <v>40</v>
      </c>
      <c r="L55" s="5">
        <v>1.375</v>
      </c>
      <c r="M55" s="5">
        <v>9</v>
      </c>
      <c r="N55" s="5">
        <v>24</v>
      </c>
      <c r="O55" s="5">
        <v>7.5</v>
      </c>
      <c r="P55" s="5">
        <v>24</v>
      </c>
      <c r="Q55" s="5">
        <v>48</v>
      </c>
      <c r="R55" s="5" t="s">
        <v>470</v>
      </c>
      <c r="S55" s="5">
        <v>48</v>
      </c>
      <c r="T55" s="5">
        <f t="shared" si="5"/>
        <v>168</v>
      </c>
      <c r="U55" s="5">
        <v>136.62649999999999</v>
      </c>
      <c r="V55" s="5">
        <v>84</v>
      </c>
      <c r="W55" s="5">
        <v>0.5625</v>
      </c>
      <c r="X55" s="5">
        <v>40</v>
      </c>
      <c r="Y55" s="5">
        <v>9</v>
      </c>
      <c r="Z55" s="5">
        <v>136.62649999999999</v>
      </c>
      <c r="AA55" s="5">
        <v>105.2529</v>
      </c>
      <c r="AB55" s="5">
        <v>84</v>
      </c>
      <c r="AC55" s="5">
        <v>0.625</v>
      </c>
      <c r="AD55" s="5">
        <v>60</v>
      </c>
      <c r="AE55" s="5">
        <v>6</v>
      </c>
      <c r="AF55" s="5">
        <v>0</v>
      </c>
      <c r="AG55" s="5">
        <v>105.2529</v>
      </c>
      <c r="AH55" s="5">
        <v>73.879400000000004</v>
      </c>
      <c r="AI55" s="5">
        <v>84</v>
      </c>
      <c r="AJ55" s="5">
        <v>0.75</v>
      </c>
      <c r="AK55" s="5">
        <v>60</v>
      </c>
      <c r="AL55" s="5">
        <v>6</v>
      </c>
      <c r="AM55" s="5">
        <v>0</v>
      </c>
      <c r="AN55" s="5">
        <v>73.879400000000004</v>
      </c>
      <c r="AO55" s="5">
        <v>63.792499999999997</v>
      </c>
      <c r="AP55" s="5">
        <v>27</v>
      </c>
      <c r="AQ55" s="5">
        <v>0.875</v>
      </c>
      <c r="AR55" s="5">
        <v>90</v>
      </c>
      <c r="AS55" s="5">
        <v>4</v>
      </c>
      <c r="AT55" s="5"/>
      <c r="AU55" s="5">
        <v>63.792499999999997</v>
      </c>
      <c r="AV55" s="5">
        <v>60</v>
      </c>
      <c r="AW55" s="5">
        <v>21</v>
      </c>
      <c r="AX55" s="5">
        <v>0.875</v>
      </c>
      <c r="AY55" s="5">
        <v>36</v>
      </c>
      <c r="AZ55" s="5">
        <v>10</v>
      </c>
      <c r="BA55" s="5">
        <v>120</v>
      </c>
      <c r="BB55" s="5">
        <v>96</v>
      </c>
      <c r="BC55" s="5">
        <v>120</v>
      </c>
      <c r="BD55" s="5">
        <v>96</v>
      </c>
      <c r="BE55" s="5">
        <v>0.6875</v>
      </c>
      <c r="BF55" s="5">
        <v>120</v>
      </c>
      <c r="BG55" s="5">
        <v>96</v>
      </c>
      <c r="BH55" s="5">
        <v>0.6875</v>
      </c>
      <c r="BI55" s="5">
        <v>120</v>
      </c>
      <c r="BJ55" s="5">
        <v>96</v>
      </c>
      <c r="BK55" s="5">
        <v>0.6875</v>
      </c>
      <c r="BL55" s="5">
        <v>120</v>
      </c>
      <c r="BM55" s="5">
        <v>96</v>
      </c>
      <c r="BN55" s="5">
        <v>0.6875</v>
      </c>
      <c r="BO55" s="5">
        <v>120</v>
      </c>
      <c r="BP55" s="5">
        <v>96</v>
      </c>
      <c r="BQ55" s="5">
        <v>0.6875</v>
      </c>
      <c r="BR55" s="5">
        <v>120</v>
      </c>
      <c r="BS55" s="5">
        <v>96</v>
      </c>
      <c r="BT55" s="5">
        <v>0.6875</v>
      </c>
      <c r="BU55" s="5">
        <v>120</v>
      </c>
      <c r="BV55" s="5">
        <v>96</v>
      </c>
      <c r="BW55" s="5">
        <v>0.6875</v>
      </c>
      <c r="BX55" s="5">
        <v>120</v>
      </c>
      <c r="BY55" s="5">
        <v>96</v>
      </c>
      <c r="BZ55" s="5">
        <v>0.6875</v>
      </c>
      <c r="CA55" s="5" t="s">
        <v>470</v>
      </c>
      <c r="CB55" s="5" t="s">
        <v>470</v>
      </c>
      <c r="CC55" s="5"/>
      <c r="CD55" s="5" t="s">
        <v>470</v>
      </c>
      <c r="CE55" s="5" t="s">
        <v>470</v>
      </c>
      <c r="CF55" s="5"/>
      <c r="CG55" s="5" t="s">
        <v>470</v>
      </c>
      <c r="CH55" s="5" t="s">
        <v>470</v>
      </c>
      <c r="CI55" s="5"/>
      <c r="CJ55" s="5" t="s">
        <v>470</v>
      </c>
      <c r="CK55" s="5" t="s">
        <v>470</v>
      </c>
      <c r="CL55" s="5"/>
      <c r="CM55" s="5" t="s">
        <v>470</v>
      </c>
      <c r="CN55" s="5" t="s">
        <v>470</v>
      </c>
      <c r="CO55" s="5"/>
      <c r="CP55" s="5" t="s">
        <v>470</v>
      </c>
      <c r="CQ55" s="5" t="s">
        <v>470</v>
      </c>
      <c r="CR55" s="5"/>
      <c r="CS55" s="5" t="s">
        <v>470</v>
      </c>
      <c r="CT55" s="5" t="s">
        <v>470</v>
      </c>
      <c r="CU55" s="5"/>
      <c r="CV55" s="5" t="s">
        <v>470</v>
      </c>
      <c r="CW55" s="5" t="s">
        <v>470</v>
      </c>
      <c r="CX55" s="5"/>
      <c r="CY55" s="5" t="s">
        <v>470</v>
      </c>
      <c r="CZ55" s="5" t="s">
        <v>470</v>
      </c>
      <c r="DA55" s="5"/>
      <c r="DB55" s="5" t="s">
        <v>470</v>
      </c>
      <c r="DC55" s="5" t="s">
        <v>470</v>
      </c>
      <c r="DD55" s="5"/>
      <c r="DE55" s="5"/>
      <c r="DF55" s="5">
        <v>60</v>
      </c>
      <c r="DG55" s="5">
        <v>77.5625</v>
      </c>
      <c r="DH55" s="5">
        <v>42.4375</v>
      </c>
      <c r="DI55" s="5">
        <v>0.9375</v>
      </c>
      <c r="DJ55" s="5">
        <v>40</v>
      </c>
      <c r="DK55" s="5">
        <v>9</v>
      </c>
      <c r="DL55" s="5">
        <v>133.09379999999999</v>
      </c>
      <c r="DM55" s="5">
        <v>77.5625</v>
      </c>
      <c r="DN55" s="5">
        <v>55.4375</v>
      </c>
      <c r="DO55" s="5">
        <v>0.75</v>
      </c>
      <c r="DP55" s="12">
        <v>60</v>
      </c>
      <c r="DQ55" s="5">
        <v>6</v>
      </c>
      <c r="DR55" s="13">
        <v>188.53129999999999</v>
      </c>
      <c r="DS55" s="5">
        <v>133.09379999999999</v>
      </c>
      <c r="DT55" s="5">
        <v>55.4375</v>
      </c>
      <c r="DU55" s="5">
        <v>0.625</v>
      </c>
      <c r="DV55" s="5">
        <v>45</v>
      </c>
      <c r="DW55" s="5">
        <v>8</v>
      </c>
      <c r="DX55" s="5">
        <v>243.96875</v>
      </c>
      <c r="DY55" s="5">
        <v>188.53129999999999</v>
      </c>
      <c r="DZ55" s="5">
        <v>55.4375</v>
      </c>
      <c r="EA55" s="5">
        <v>0.5625</v>
      </c>
      <c r="EB55" s="5">
        <v>36</v>
      </c>
      <c r="EC55" s="5">
        <v>10</v>
      </c>
      <c r="ED55" s="5" t="s">
        <v>470</v>
      </c>
      <c r="EE55" s="5" t="s">
        <v>470</v>
      </c>
      <c r="EF55" s="5" t="s">
        <v>470</v>
      </c>
      <c r="EG55" s="5" t="s">
        <v>470</v>
      </c>
      <c r="EH55" s="5" t="s">
        <v>470</v>
      </c>
      <c r="EI55" s="5" t="s">
        <v>470</v>
      </c>
      <c r="EJ55" s="5" t="s">
        <v>470</v>
      </c>
      <c r="EK55" s="5" t="s">
        <v>470</v>
      </c>
      <c r="EL55" s="5" t="s">
        <v>470</v>
      </c>
      <c r="EM55" s="5" t="s">
        <v>470</v>
      </c>
      <c r="EN55" s="5" t="s">
        <v>470</v>
      </c>
      <c r="EO55" s="5" t="s">
        <v>470</v>
      </c>
      <c r="EP55" s="5" t="s">
        <v>470</v>
      </c>
      <c r="EQ55" s="5" t="s">
        <v>470</v>
      </c>
      <c r="ER55" s="5" t="s">
        <v>470</v>
      </c>
      <c r="ES55" s="5" t="s">
        <v>470</v>
      </c>
      <c r="ET55" s="5" t="s">
        <v>470</v>
      </c>
      <c r="EU55" s="5" t="s">
        <v>470</v>
      </c>
      <c r="EV55" s="5" t="s">
        <v>470</v>
      </c>
      <c r="EW55" s="5" t="s">
        <v>470</v>
      </c>
      <c r="EX55" s="5" t="s">
        <v>470</v>
      </c>
      <c r="EY55" s="5">
        <v>0.5</v>
      </c>
      <c r="EZ55" s="5">
        <v>221.78129999999999</v>
      </c>
      <c r="FA55" s="5">
        <v>28</v>
      </c>
      <c r="FB55" s="5">
        <v>12.857100000000001</v>
      </c>
      <c r="FC55" s="5">
        <v>45</v>
      </c>
      <c r="FD55" s="5">
        <v>87</v>
      </c>
      <c r="FE55" s="5" t="s">
        <v>525</v>
      </c>
      <c r="FF55" s="5">
        <v>0.25</v>
      </c>
      <c r="FG55" s="5">
        <v>221.875</v>
      </c>
      <c r="FH55" s="5">
        <v>28</v>
      </c>
      <c r="FI55" s="5">
        <v>12.857100000000001</v>
      </c>
      <c r="FJ55" s="5">
        <v>45</v>
      </c>
      <c r="FK55" s="5">
        <v>87</v>
      </c>
      <c r="FL55" s="5" t="s">
        <v>525</v>
      </c>
      <c r="FM55" s="5">
        <v>0.25</v>
      </c>
      <c r="FN55" s="5">
        <v>344.9375</v>
      </c>
      <c r="FO55" s="5">
        <v>22</v>
      </c>
      <c r="FP55" s="5">
        <v>16.363600000000002</v>
      </c>
      <c r="FQ55" s="5">
        <v>84.497799999999998</v>
      </c>
      <c r="FR55" s="5">
        <v>0</v>
      </c>
      <c r="FS55" s="5" t="s">
        <v>525</v>
      </c>
      <c r="FT55" s="5">
        <v>56</v>
      </c>
      <c r="FU55" s="5">
        <v>24</v>
      </c>
      <c r="FV55" s="5">
        <v>32</v>
      </c>
      <c r="FW55" s="5">
        <v>0.5</v>
      </c>
      <c r="FX55" s="5">
        <v>4</v>
      </c>
      <c r="FY55" s="5">
        <v>52</v>
      </c>
      <c r="FZ55" s="5">
        <v>62</v>
      </c>
      <c r="GA55" s="5">
        <v>1.5</v>
      </c>
      <c r="GB55" s="5">
        <v>120</v>
      </c>
      <c r="GC55" s="5">
        <v>3</v>
      </c>
      <c r="GD55" s="5">
        <v>23</v>
      </c>
      <c r="GE55" s="5">
        <v>27</v>
      </c>
      <c r="GF55" s="5">
        <v>1</v>
      </c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</row>
    <row r="56" spans="1:201" s="1" customFormat="1" ht="15.75" customHeight="1" x14ac:dyDescent="0.25">
      <c r="A56" s="4" t="s">
        <v>527</v>
      </c>
      <c r="B56" s="5"/>
      <c r="C56" s="5">
        <v>400</v>
      </c>
      <c r="D56" s="5">
        <v>30</v>
      </c>
      <c r="E56" s="6">
        <v>30</v>
      </c>
      <c r="F56" s="5" t="s">
        <v>469</v>
      </c>
      <c r="G56" s="5">
        <v>0</v>
      </c>
      <c r="H56" s="5">
        <f t="shared" si="0"/>
        <v>360</v>
      </c>
      <c r="I56" s="5">
        <f t="shared" si="4"/>
        <v>187</v>
      </c>
      <c r="J56" s="5">
        <f t="shared" si="2"/>
        <v>175</v>
      </c>
      <c r="K56" s="5">
        <v>30</v>
      </c>
      <c r="L56" s="5">
        <v>1.3125</v>
      </c>
      <c r="M56" s="5">
        <v>12</v>
      </c>
      <c r="N56" s="5">
        <v>20</v>
      </c>
      <c r="O56" s="5">
        <v>9</v>
      </c>
      <c r="P56" s="5">
        <v>20</v>
      </c>
      <c r="Q56" s="5">
        <v>40</v>
      </c>
      <c r="R56" s="5" t="s">
        <v>470</v>
      </c>
      <c r="S56" s="5">
        <v>40</v>
      </c>
      <c r="T56" s="5">
        <f t="shared" si="5"/>
        <v>180</v>
      </c>
      <c r="U56" s="5">
        <v>151.19999999999999</v>
      </c>
      <c r="V56" s="5">
        <v>84</v>
      </c>
      <c r="W56" s="5">
        <v>0.5625</v>
      </c>
      <c r="X56" s="5">
        <v>30</v>
      </c>
      <c r="Y56" s="5">
        <v>12</v>
      </c>
      <c r="Z56" s="5">
        <v>151.19999999999999</v>
      </c>
      <c r="AA56" s="5">
        <v>122.4</v>
      </c>
      <c r="AB56" s="5">
        <v>84</v>
      </c>
      <c r="AC56" s="5">
        <v>0.5625</v>
      </c>
      <c r="AD56" s="5">
        <v>45</v>
      </c>
      <c r="AE56" s="5">
        <v>8</v>
      </c>
      <c r="AF56" s="5">
        <v>0</v>
      </c>
      <c r="AG56" s="5">
        <v>122.4</v>
      </c>
      <c r="AH56" s="5">
        <v>92.914299999999997</v>
      </c>
      <c r="AI56" s="5">
        <v>86</v>
      </c>
      <c r="AJ56" s="5">
        <v>0.625</v>
      </c>
      <c r="AK56" s="5">
        <v>60</v>
      </c>
      <c r="AL56" s="5">
        <v>6</v>
      </c>
      <c r="AM56" s="5">
        <v>0</v>
      </c>
      <c r="AN56" s="5">
        <v>92.914299999999997</v>
      </c>
      <c r="AO56" s="5">
        <v>63.243200000000002</v>
      </c>
      <c r="AP56" s="5">
        <v>86.5625</v>
      </c>
      <c r="AQ56" s="5">
        <v>0.75</v>
      </c>
      <c r="AR56" s="5">
        <v>90</v>
      </c>
      <c r="AS56" s="5">
        <v>4</v>
      </c>
      <c r="AT56" s="5"/>
      <c r="AU56" s="5">
        <v>63.243200000000002</v>
      </c>
      <c r="AV56" s="5">
        <v>60</v>
      </c>
      <c r="AW56" s="5">
        <v>19.4375</v>
      </c>
      <c r="AX56" s="5">
        <v>0.75</v>
      </c>
      <c r="AY56" s="5">
        <v>36</v>
      </c>
      <c r="AZ56" s="5">
        <v>10</v>
      </c>
      <c r="BA56" s="5">
        <v>120</v>
      </c>
      <c r="BB56" s="5">
        <v>96</v>
      </c>
      <c r="BC56" s="5">
        <v>120</v>
      </c>
      <c r="BD56" s="5">
        <v>96</v>
      </c>
      <c r="BE56" s="5">
        <v>0.6875</v>
      </c>
      <c r="BF56" s="5">
        <v>120</v>
      </c>
      <c r="BG56" s="5">
        <v>96</v>
      </c>
      <c r="BH56" s="5">
        <v>0.6875</v>
      </c>
      <c r="BI56" s="5">
        <v>120</v>
      </c>
      <c r="BJ56" s="5">
        <v>96</v>
      </c>
      <c r="BK56" s="5">
        <v>0.6875</v>
      </c>
      <c r="BL56" s="5">
        <v>120</v>
      </c>
      <c r="BM56" s="5">
        <v>96</v>
      </c>
      <c r="BN56" s="5">
        <v>0.6875</v>
      </c>
      <c r="BO56" s="5">
        <v>120</v>
      </c>
      <c r="BP56" s="5">
        <v>96</v>
      </c>
      <c r="BQ56" s="5">
        <v>0.6875</v>
      </c>
      <c r="BR56" s="5">
        <v>120</v>
      </c>
      <c r="BS56" s="5">
        <v>96</v>
      </c>
      <c r="BT56" s="5">
        <v>0.6875</v>
      </c>
      <c r="BU56" s="5">
        <v>120</v>
      </c>
      <c r="BV56" s="5">
        <v>96</v>
      </c>
      <c r="BW56" s="5">
        <v>0.6875</v>
      </c>
      <c r="BX56" s="5">
        <v>120</v>
      </c>
      <c r="BY56" s="5">
        <v>96</v>
      </c>
      <c r="BZ56" s="5">
        <v>0.6875</v>
      </c>
      <c r="CA56" s="5" t="s">
        <v>470</v>
      </c>
      <c r="CB56" s="5" t="s">
        <v>470</v>
      </c>
      <c r="CC56" s="5"/>
      <c r="CD56" s="5" t="s">
        <v>470</v>
      </c>
      <c r="CE56" s="5" t="s">
        <v>470</v>
      </c>
      <c r="CF56" s="5"/>
      <c r="CG56" s="5" t="s">
        <v>470</v>
      </c>
      <c r="CH56" s="5" t="s">
        <v>470</v>
      </c>
      <c r="CI56" s="5"/>
      <c r="CJ56" s="5" t="s">
        <v>470</v>
      </c>
      <c r="CK56" s="5" t="s">
        <v>470</v>
      </c>
      <c r="CL56" s="5"/>
      <c r="CM56" s="5" t="s">
        <v>470</v>
      </c>
      <c r="CN56" s="5" t="s">
        <v>470</v>
      </c>
      <c r="CO56" s="5"/>
      <c r="CP56" s="5" t="s">
        <v>470</v>
      </c>
      <c r="CQ56" s="5" t="s">
        <v>470</v>
      </c>
      <c r="CR56" s="5"/>
      <c r="CS56" s="5" t="s">
        <v>470</v>
      </c>
      <c r="CT56" s="5" t="s">
        <v>470</v>
      </c>
      <c r="CU56" s="5"/>
      <c r="CV56" s="5" t="s">
        <v>470</v>
      </c>
      <c r="CW56" s="5" t="s">
        <v>470</v>
      </c>
      <c r="CX56" s="5"/>
      <c r="CY56" s="5" t="s">
        <v>470</v>
      </c>
      <c r="CZ56" s="5" t="s">
        <v>470</v>
      </c>
      <c r="DA56" s="5"/>
      <c r="DB56" s="5" t="s">
        <v>470</v>
      </c>
      <c r="DC56" s="5" t="s">
        <v>470</v>
      </c>
      <c r="DD56" s="5"/>
      <c r="DE56" s="5"/>
      <c r="DF56" s="5">
        <v>60</v>
      </c>
      <c r="DG56" s="5">
        <v>77.5625</v>
      </c>
      <c r="DH56" s="5">
        <v>42.4375</v>
      </c>
      <c r="DI56" s="5">
        <v>0.9375</v>
      </c>
      <c r="DJ56" s="5">
        <v>40</v>
      </c>
      <c r="DK56" s="5">
        <v>9</v>
      </c>
      <c r="DL56" s="5">
        <v>133.09379999999999</v>
      </c>
      <c r="DM56" s="5">
        <v>77.5625</v>
      </c>
      <c r="DN56" s="5">
        <v>55.4375</v>
      </c>
      <c r="DO56" s="5">
        <v>0.75</v>
      </c>
      <c r="DP56" s="12">
        <v>60</v>
      </c>
      <c r="DQ56" s="5">
        <v>6</v>
      </c>
      <c r="DR56" s="13">
        <v>188.53129999999999</v>
      </c>
      <c r="DS56" s="5">
        <v>133.09379999999999</v>
      </c>
      <c r="DT56" s="5">
        <v>55.4375</v>
      </c>
      <c r="DU56" s="5">
        <v>0.625</v>
      </c>
      <c r="DV56" s="5">
        <v>45</v>
      </c>
      <c r="DW56" s="5">
        <v>8</v>
      </c>
      <c r="DX56" s="5">
        <v>243.96875</v>
      </c>
      <c r="DY56" s="5">
        <v>188.53129999999999</v>
      </c>
      <c r="DZ56" s="5">
        <v>55.4375</v>
      </c>
      <c r="EA56" s="5">
        <v>0.5625</v>
      </c>
      <c r="EB56" s="5">
        <v>36</v>
      </c>
      <c r="EC56" s="5">
        <v>10</v>
      </c>
      <c r="ED56" s="5" t="s">
        <v>470</v>
      </c>
      <c r="EE56" s="5" t="s">
        <v>470</v>
      </c>
      <c r="EF56" s="5" t="s">
        <v>470</v>
      </c>
      <c r="EG56" s="5" t="s">
        <v>470</v>
      </c>
      <c r="EH56" s="5" t="s">
        <v>470</v>
      </c>
      <c r="EI56" s="5" t="s">
        <v>470</v>
      </c>
      <c r="EJ56" s="5" t="s">
        <v>470</v>
      </c>
      <c r="EK56" s="5" t="s">
        <v>470</v>
      </c>
      <c r="EL56" s="5" t="s">
        <v>470</v>
      </c>
      <c r="EM56" s="5" t="s">
        <v>470</v>
      </c>
      <c r="EN56" s="5" t="s">
        <v>470</v>
      </c>
      <c r="EO56" s="5" t="s">
        <v>470</v>
      </c>
      <c r="EP56" s="5" t="s">
        <v>470</v>
      </c>
      <c r="EQ56" s="5" t="s">
        <v>470</v>
      </c>
      <c r="ER56" s="5" t="s">
        <v>470</v>
      </c>
      <c r="ES56" s="5" t="s">
        <v>470</v>
      </c>
      <c r="ET56" s="5" t="s">
        <v>470</v>
      </c>
      <c r="EU56" s="5" t="s">
        <v>470</v>
      </c>
      <c r="EV56" s="5" t="s">
        <v>470</v>
      </c>
      <c r="EW56" s="5" t="s">
        <v>470</v>
      </c>
      <c r="EX56" s="5" t="s">
        <v>470</v>
      </c>
      <c r="EY56" s="5">
        <v>0.5</v>
      </c>
      <c r="EZ56" s="5">
        <v>221.78129999999999</v>
      </c>
      <c r="FA56" s="5">
        <v>28</v>
      </c>
      <c r="FB56" s="5">
        <v>12.857100000000001</v>
      </c>
      <c r="FC56" s="5">
        <v>45</v>
      </c>
      <c r="FD56" s="5">
        <v>87</v>
      </c>
      <c r="FE56" s="5" t="s">
        <v>525</v>
      </c>
      <c r="FF56" s="5">
        <v>0.25</v>
      </c>
      <c r="FG56" s="5">
        <v>221.875</v>
      </c>
      <c r="FH56" s="5">
        <v>28</v>
      </c>
      <c r="FI56" s="5">
        <v>12.857100000000001</v>
      </c>
      <c r="FJ56" s="5">
        <v>45</v>
      </c>
      <c r="FK56" s="5">
        <v>87</v>
      </c>
      <c r="FL56" s="5" t="s">
        <v>525</v>
      </c>
      <c r="FM56" s="5">
        <v>0.25</v>
      </c>
      <c r="FN56" s="5">
        <v>344.9375</v>
      </c>
      <c r="FO56" s="5">
        <v>22</v>
      </c>
      <c r="FP56" s="5">
        <v>16.363600000000002</v>
      </c>
      <c r="FQ56" s="5">
        <v>84.497799999999998</v>
      </c>
      <c r="FR56" s="5">
        <v>0</v>
      </c>
      <c r="FS56" s="5" t="s">
        <v>525</v>
      </c>
      <c r="FT56" s="5">
        <v>56</v>
      </c>
      <c r="FU56" s="5">
        <v>24</v>
      </c>
      <c r="FV56" s="5">
        <v>32</v>
      </c>
      <c r="FW56" s="5">
        <v>0.5</v>
      </c>
      <c r="FX56" s="5">
        <v>4</v>
      </c>
      <c r="FY56" s="5">
        <v>52</v>
      </c>
      <c r="FZ56" s="5">
        <v>62</v>
      </c>
      <c r="GA56" s="5">
        <v>1.5</v>
      </c>
      <c r="GB56" s="5">
        <v>120</v>
      </c>
      <c r="GC56" s="5">
        <v>3</v>
      </c>
      <c r="GD56" s="5">
        <v>23</v>
      </c>
      <c r="GE56" s="5">
        <v>27</v>
      </c>
      <c r="GF56" s="5">
        <v>1</v>
      </c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</row>
    <row r="57" spans="1:201" s="1" customFormat="1" ht="15.75" customHeight="1" x14ac:dyDescent="0.25">
      <c r="A57" s="4" t="s">
        <v>527</v>
      </c>
      <c r="B57" s="5" t="s">
        <v>528</v>
      </c>
      <c r="C57" s="5">
        <v>400</v>
      </c>
      <c r="D57" s="5">
        <v>30</v>
      </c>
      <c r="E57" s="6">
        <v>30</v>
      </c>
      <c r="F57" s="5" t="s">
        <v>469</v>
      </c>
      <c r="G57" s="5">
        <v>0</v>
      </c>
      <c r="H57" s="5">
        <f t="shared" si="0"/>
        <v>360</v>
      </c>
      <c r="I57" s="5">
        <f t="shared" si="4"/>
        <v>187</v>
      </c>
      <c r="J57" s="5">
        <f t="shared" si="2"/>
        <v>175</v>
      </c>
      <c r="K57" s="5">
        <v>30</v>
      </c>
      <c r="L57" s="5">
        <v>1.3125</v>
      </c>
      <c r="M57" s="5">
        <v>12</v>
      </c>
      <c r="N57" s="5">
        <v>20</v>
      </c>
      <c r="O57" s="5">
        <v>9</v>
      </c>
      <c r="P57" s="5">
        <v>20</v>
      </c>
      <c r="Q57" s="5">
        <v>40</v>
      </c>
      <c r="R57" s="5" t="s">
        <v>470</v>
      </c>
      <c r="S57" s="5">
        <v>40</v>
      </c>
      <c r="T57" s="5">
        <f t="shared" si="5"/>
        <v>180</v>
      </c>
      <c r="U57" s="5">
        <v>151.19999999999999</v>
      </c>
      <c r="V57" s="5">
        <v>84</v>
      </c>
      <c r="W57" s="5">
        <v>0.5625</v>
      </c>
      <c r="X57" s="5">
        <v>30</v>
      </c>
      <c r="Y57" s="5">
        <v>12</v>
      </c>
      <c r="Z57" s="5">
        <v>151.19999999999999</v>
      </c>
      <c r="AA57" s="5">
        <v>122.4</v>
      </c>
      <c r="AB57" s="5">
        <v>84</v>
      </c>
      <c r="AC57" s="5">
        <v>0.5625</v>
      </c>
      <c r="AD57" s="5">
        <v>45</v>
      </c>
      <c r="AE57" s="5">
        <v>8</v>
      </c>
      <c r="AF57" s="5">
        <v>0</v>
      </c>
      <c r="AG57" s="5">
        <v>122.4</v>
      </c>
      <c r="AH57" s="5">
        <v>92.914299999999997</v>
      </c>
      <c r="AI57" s="5">
        <v>86</v>
      </c>
      <c r="AJ57" s="5">
        <v>0.625</v>
      </c>
      <c r="AK57" s="5">
        <v>60</v>
      </c>
      <c r="AL57" s="5">
        <v>6</v>
      </c>
      <c r="AM57" s="5">
        <v>0</v>
      </c>
      <c r="AN57" s="5">
        <v>92.914299999999997</v>
      </c>
      <c r="AO57" s="5">
        <v>63.243200000000002</v>
      </c>
      <c r="AP57" s="5">
        <v>86.5625</v>
      </c>
      <c r="AQ57" s="5">
        <v>0.75</v>
      </c>
      <c r="AR57" s="5">
        <v>90</v>
      </c>
      <c r="AS57" s="5">
        <v>4</v>
      </c>
      <c r="AT57" s="5"/>
      <c r="AU57" s="5">
        <v>63.243200000000002</v>
      </c>
      <c r="AV57" s="5">
        <v>60</v>
      </c>
      <c r="AW57" s="5">
        <v>19.4375</v>
      </c>
      <c r="AX57" s="5">
        <v>0.75</v>
      </c>
      <c r="AY57" s="5">
        <v>36</v>
      </c>
      <c r="AZ57" s="5">
        <v>10</v>
      </c>
      <c r="BA57" s="5">
        <v>120</v>
      </c>
      <c r="BB57" s="5">
        <v>96</v>
      </c>
      <c r="BC57" s="5">
        <v>120</v>
      </c>
      <c r="BD57" s="5">
        <v>96</v>
      </c>
      <c r="BE57" s="5">
        <v>0.6875</v>
      </c>
      <c r="BF57" s="5">
        <v>120</v>
      </c>
      <c r="BG57" s="5">
        <v>96</v>
      </c>
      <c r="BH57" s="5">
        <v>0.6875</v>
      </c>
      <c r="BI57" s="5">
        <v>120</v>
      </c>
      <c r="BJ57" s="5">
        <v>96</v>
      </c>
      <c r="BK57" s="5">
        <v>0.6875</v>
      </c>
      <c r="BL57" s="5">
        <v>120</v>
      </c>
      <c r="BM57" s="5">
        <v>96</v>
      </c>
      <c r="BN57" s="5">
        <v>0.6875</v>
      </c>
      <c r="BO57" s="5">
        <v>120</v>
      </c>
      <c r="BP57" s="5">
        <v>96</v>
      </c>
      <c r="BQ57" s="5">
        <v>0.6875</v>
      </c>
      <c r="BR57" s="5">
        <v>120</v>
      </c>
      <c r="BS57" s="5">
        <v>96</v>
      </c>
      <c r="BT57" s="5">
        <v>0.6875</v>
      </c>
      <c r="BU57" s="5">
        <v>120</v>
      </c>
      <c r="BV57" s="5">
        <v>96</v>
      </c>
      <c r="BW57" s="5">
        <v>0.6875</v>
      </c>
      <c r="BX57" s="5">
        <v>120</v>
      </c>
      <c r="BY57" s="5">
        <v>96</v>
      </c>
      <c r="BZ57" s="5">
        <v>0.6875</v>
      </c>
      <c r="CA57" s="5" t="s">
        <v>470</v>
      </c>
      <c r="CB57" s="5" t="s">
        <v>470</v>
      </c>
      <c r="CC57" s="5"/>
      <c r="CD57" s="5" t="s">
        <v>470</v>
      </c>
      <c r="CE57" s="5" t="s">
        <v>470</v>
      </c>
      <c r="CF57" s="5"/>
      <c r="CG57" s="5" t="s">
        <v>470</v>
      </c>
      <c r="CH57" s="5" t="s">
        <v>470</v>
      </c>
      <c r="CI57" s="5"/>
      <c r="CJ57" s="5" t="s">
        <v>470</v>
      </c>
      <c r="CK57" s="5" t="s">
        <v>470</v>
      </c>
      <c r="CL57" s="5"/>
      <c r="CM57" s="5" t="s">
        <v>470</v>
      </c>
      <c r="CN57" s="5" t="s">
        <v>470</v>
      </c>
      <c r="CO57" s="5"/>
      <c r="CP57" s="5" t="s">
        <v>470</v>
      </c>
      <c r="CQ57" s="5" t="s">
        <v>470</v>
      </c>
      <c r="CR57" s="5"/>
      <c r="CS57" s="5" t="s">
        <v>470</v>
      </c>
      <c r="CT57" s="5" t="s">
        <v>470</v>
      </c>
      <c r="CU57" s="5"/>
      <c r="CV57" s="5" t="s">
        <v>470</v>
      </c>
      <c r="CW57" s="5" t="s">
        <v>470</v>
      </c>
      <c r="CX57" s="5"/>
      <c r="CY57" s="5" t="s">
        <v>470</v>
      </c>
      <c r="CZ57" s="5" t="s">
        <v>470</v>
      </c>
      <c r="DA57" s="5"/>
      <c r="DB57" s="5" t="s">
        <v>470</v>
      </c>
      <c r="DC57" s="5" t="s">
        <v>470</v>
      </c>
      <c r="DD57" s="5"/>
      <c r="DE57" s="5"/>
      <c r="DF57" s="5">
        <v>60</v>
      </c>
      <c r="DG57" s="5">
        <v>77.5625</v>
      </c>
      <c r="DH57" s="5">
        <v>42.4375</v>
      </c>
      <c r="DI57" s="5">
        <v>0.9375</v>
      </c>
      <c r="DJ57" s="5">
        <v>40</v>
      </c>
      <c r="DK57" s="5">
        <v>9</v>
      </c>
      <c r="DL57" s="5">
        <v>133.09379999999999</v>
      </c>
      <c r="DM57" s="5">
        <v>77.5625</v>
      </c>
      <c r="DN57" s="5">
        <v>55.4375</v>
      </c>
      <c r="DO57" s="5">
        <v>0.75</v>
      </c>
      <c r="DP57" s="12">
        <v>60</v>
      </c>
      <c r="DQ57" s="5">
        <v>6</v>
      </c>
      <c r="DR57" s="13">
        <v>188.53129999999999</v>
      </c>
      <c r="DS57" s="5">
        <v>133.09379999999999</v>
      </c>
      <c r="DT57" s="5">
        <v>55.4375</v>
      </c>
      <c r="DU57" s="5">
        <v>0.625</v>
      </c>
      <c r="DV57" s="5">
        <v>45</v>
      </c>
      <c r="DW57" s="5">
        <v>8</v>
      </c>
      <c r="DX57" s="5">
        <v>243.96875</v>
      </c>
      <c r="DY57" s="5">
        <v>188.53129999999999</v>
      </c>
      <c r="DZ57" s="5">
        <v>55.4375</v>
      </c>
      <c r="EA57" s="5">
        <v>0.5625</v>
      </c>
      <c r="EB57" s="5">
        <v>36</v>
      </c>
      <c r="EC57" s="5">
        <v>10</v>
      </c>
      <c r="ED57" s="5" t="s">
        <v>470</v>
      </c>
      <c r="EE57" s="5" t="s">
        <v>470</v>
      </c>
      <c r="EF57" s="5" t="s">
        <v>470</v>
      </c>
      <c r="EG57" s="5" t="s">
        <v>470</v>
      </c>
      <c r="EH57" s="5" t="s">
        <v>470</v>
      </c>
      <c r="EI57" s="5" t="s">
        <v>470</v>
      </c>
      <c r="EJ57" s="5" t="s">
        <v>470</v>
      </c>
      <c r="EK57" s="5" t="s">
        <v>470</v>
      </c>
      <c r="EL57" s="5" t="s">
        <v>470</v>
      </c>
      <c r="EM57" s="5" t="s">
        <v>470</v>
      </c>
      <c r="EN57" s="5" t="s">
        <v>470</v>
      </c>
      <c r="EO57" s="5" t="s">
        <v>470</v>
      </c>
      <c r="EP57" s="5" t="s">
        <v>470</v>
      </c>
      <c r="EQ57" s="5" t="s">
        <v>470</v>
      </c>
      <c r="ER57" s="5" t="s">
        <v>470</v>
      </c>
      <c r="ES57" s="5" t="s">
        <v>470</v>
      </c>
      <c r="ET57" s="5" t="s">
        <v>470</v>
      </c>
      <c r="EU57" s="5" t="s">
        <v>470</v>
      </c>
      <c r="EV57" s="5" t="s">
        <v>470</v>
      </c>
      <c r="EW57" s="5" t="s">
        <v>470</v>
      </c>
      <c r="EX57" s="5" t="s">
        <v>470</v>
      </c>
      <c r="EY57" s="5">
        <v>0.5</v>
      </c>
      <c r="EZ57" s="5">
        <v>221.78129999999999</v>
      </c>
      <c r="FA57" s="5">
        <v>28</v>
      </c>
      <c r="FB57" s="5">
        <v>12.857100000000001</v>
      </c>
      <c r="FC57" s="5">
        <v>45</v>
      </c>
      <c r="FD57" s="5">
        <v>87</v>
      </c>
      <c r="FE57" s="5" t="s">
        <v>525</v>
      </c>
      <c r="FF57" s="5">
        <v>0.25</v>
      </c>
      <c r="FG57" s="5">
        <v>221.875</v>
      </c>
      <c r="FH57" s="5">
        <v>28</v>
      </c>
      <c r="FI57" s="5">
        <v>12.857100000000001</v>
      </c>
      <c r="FJ57" s="5">
        <v>45</v>
      </c>
      <c r="FK57" s="5">
        <v>87</v>
      </c>
      <c r="FL57" s="5" t="s">
        <v>525</v>
      </c>
      <c r="FM57" s="5">
        <v>0.25</v>
      </c>
      <c r="FN57" s="5">
        <v>344.9375</v>
      </c>
      <c r="FO57" s="5">
        <v>22</v>
      </c>
      <c r="FP57" s="5">
        <v>16.363600000000002</v>
      </c>
      <c r="FQ57" s="5">
        <v>84.497799999999998</v>
      </c>
      <c r="FR57" s="5">
        <v>0</v>
      </c>
      <c r="FS57" s="5" t="s">
        <v>525</v>
      </c>
      <c r="FT57" s="5">
        <v>56</v>
      </c>
      <c r="FU57" s="5">
        <v>24</v>
      </c>
      <c r="FV57" s="5">
        <v>32</v>
      </c>
      <c r="FW57" s="5">
        <v>0.5</v>
      </c>
      <c r="FX57" s="5">
        <v>4</v>
      </c>
      <c r="FY57" s="5">
        <v>52</v>
      </c>
      <c r="FZ57" s="5">
        <v>62</v>
      </c>
      <c r="GA57" s="5">
        <v>1.5</v>
      </c>
      <c r="GB57" s="5">
        <v>120</v>
      </c>
      <c r="GC57" s="5">
        <v>3</v>
      </c>
      <c r="GD57" s="5">
        <v>23</v>
      </c>
      <c r="GE57" s="5">
        <v>27</v>
      </c>
      <c r="GF57" s="5">
        <v>1</v>
      </c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</row>
    <row r="58" spans="1:201" s="1" customFormat="1" ht="15.75" customHeight="1" x14ac:dyDescent="0.25">
      <c r="A58" s="4" t="s">
        <v>529</v>
      </c>
      <c r="B58" s="5"/>
      <c r="C58" s="5">
        <v>400</v>
      </c>
      <c r="D58" s="5">
        <v>32</v>
      </c>
      <c r="E58" s="6">
        <v>25</v>
      </c>
      <c r="F58" s="5" t="s">
        <v>469</v>
      </c>
      <c r="G58" s="5">
        <v>0</v>
      </c>
      <c r="H58" s="5">
        <f t="shared" si="0"/>
        <v>384</v>
      </c>
      <c r="I58" s="5">
        <f t="shared" si="4"/>
        <v>199</v>
      </c>
      <c r="J58" s="5">
        <f t="shared" si="2"/>
        <v>187</v>
      </c>
      <c r="K58" s="5">
        <v>30</v>
      </c>
      <c r="L58" s="5">
        <v>1.6875</v>
      </c>
      <c r="M58" s="5">
        <v>12</v>
      </c>
      <c r="N58" s="5">
        <v>36</v>
      </c>
      <c r="O58" s="5">
        <v>5</v>
      </c>
      <c r="P58" s="5">
        <v>36</v>
      </c>
      <c r="Q58" s="5">
        <v>72</v>
      </c>
      <c r="R58" s="5" t="s">
        <v>470</v>
      </c>
      <c r="S58" s="5">
        <v>72</v>
      </c>
      <c r="T58" s="5">
        <f t="shared" si="5"/>
        <v>192</v>
      </c>
      <c r="U58" s="5">
        <v>153.34375</v>
      </c>
      <c r="V58" s="5">
        <v>84</v>
      </c>
      <c r="W58" s="5">
        <v>0.6875</v>
      </c>
      <c r="X58" s="5">
        <v>30</v>
      </c>
      <c r="Y58" s="5">
        <v>12</v>
      </c>
      <c r="Z58" s="5">
        <v>153.34375</v>
      </c>
      <c r="AA58" s="5">
        <v>114.6875</v>
      </c>
      <c r="AB58" s="5">
        <v>84</v>
      </c>
      <c r="AC58" s="5">
        <v>0.8125</v>
      </c>
      <c r="AD58" s="5">
        <v>36</v>
      </c>
      <c r="AE58" s="5">
        <v>10</v>
      </c>
      <c r="AF58" s="5">
        <v>0</v>
      </c>
      <c r="AG58" s="5">
        <v>114.6875</v>
      </c>
      <c r="AH58" s="5">
        <v>76.0625</v>
      </c>
      <c r="AI58" s="5">
        <v>84</v>
      </c>
      <c r="AJ58" s="5">
        <v>1</v>
      </c>
      <c r="AK58" s="5">
        <v>45</v>
      </c>
      <c r="AL58" s="5">
        <v>8</v>
      </c>
      <c r="AM58" s="5">
        <v>0</v>
      </c>
      <c r="AN58" s="5">
        <v>76.0625</v>
      </c>
      <c r="AO58" s="5">
        <v>65.5</v>
      </c>
      <c r="AP58" s="5">
        <v>22.9375</v>
      </c>
      <c r="AQ58" s="5">
        <v>1.5</v>
      </c>
      <c r="AR58" s="5">
        <v>60</v>
      </c>
      <c r="AS58" s="5">
        <v>6</v>
      </c>
      <c r="AT58" s="5"/>
      <c r="AU58" s="5">
        <v>65.5</v>
      </c>
      <c r="AV58" s="5">
        <v>60</v>
      </c>
      <c r="AW58" s="5">
        <v>25.0625</v>
      </c>
      <c r="AX58" s="5">
        <v>1.5</v>
      </c>
      <c r="AY58" s="5">
        <v>36</v>
      </c>
      <c r="AZ58" s="5">
        <v>10</v>
      </c>
      <c r="BA58" s="5">
        <v>120</v>
      </c>
      <c r="BB58" s="5">
        <v>96</v>
      </c>
      <c r="BC58" s="5">
        <v>120</v>
      </c>
      <c r="BD58" s="5">
        <v>96</v>
      </c>
      <c r="BE58" s="5">
        <v>0.6875</v>
      </c>
      <c r="BF58" s="5">
        <v>120</v>
      </c>
      <c r="BG58" s="5">
        <v>96</v>
      </c>
      <c r="BH58" s="5">
        <v>0.6875</v>
      </c>
      <c r="BI58" s="5">
        <v>120</v>
      </c>
      <c r="BJ58" s="5">
        <v>96</v>
      </c>
      <c r="BK58" s="5">
        <v>0.6875</v>
      </c>
      <c r="BL58" s="5">
        <v>120</v>
      </c>
      <c r="BM58" s="5">
        <v>96</v>
      </c>
      <c r="BN58" s="5">
        <v>0.6875</v>
      </c>
      <c r="BO58" s="5">
        <v>120</v>
      </c>
      <c r="BP58" s="5">
        <v>96</v>
      </c>
      <c r="BQ58" s="5">
        <v>0.6875</v>
      </c>
      <c r="BR58" s="5">
        <v>120</v>
      </c>
      <c r="BS58" s="5">
        <v>96</v>
      </c>
      <c r="BT58" s="5">
        <v>0.6875</v>
      </c>
      <c r="BU58" s="5">
        <v>120</v>
      </c>
      <c r="BV58" s="5">
        <v>96</v>
      </c>
      <c r="BW58" s="5">
        <v>0.6875</v>
      </c>
      <c r="BX58" s="5">
        <v>120</v>
      </c>
      <c r="BY58" s="5">
        <v>96</v>
      </c>
      <c r="BZ58" s="5">
        <v>0.6875</v>
      </c>
      <c r="CA58" s="5" t="s">
        <v>470</v>
      </c>
      <c r="CB58" s="5" t="s">
        <v>470</v>
      </c>
      <c r="CC58" s="5"/>
      <c r="CD58" s="5" t="s">
        <v>470</v>
      </c>
      <c r="CE58" s="5" t="s">
        <v>470</v>
      </c>
      <c r="CF58" s="5"/>
      <c r="CG58" s="5" t="s">
        <v>470</v>
      </c>
      <c r="CH58" s="5" t="s">
        <v>470</v>
      </c>
      <c r="CI58" s="5"/>
      <c r="CJ58" s="5" t="s">
        <v>470</v>
      </c>
      <c r="CK58" s="5" t="s">
        <v>470</v>
      </c>
      <c r="CL58" s="5"/>
      <c r="CM58" s="5" t="s">
        <v>470</v>
      </c>
      <c r="CN58" s="5" t="s">
        <v>470</v>
      </c>
      <c r="CO58" s="5"/>
      <c r="CP58" s="5" t="s">
        <v>470</v>
      </c>
      <c r="CQ58" s="5" t="s">
        <v>470</v>
      </c>
      <c r="CR58" s="5"/>
      <c r="CS58" s="5" t="s">
        <v>470</v>
      </c>
      <c r="CT58" s="5" t="s">
        <v>470</v>
      </c>
      <c r="CU58" s="5"/>
      <c r="CV58" s="5" t="s">
        <v>470</v>
      </c>
      <c r="CW58" s="5" t="s">
        <v>470</v>
      </c>
      <c r="CX58" s="5"/>
      <c r="CY58" s="5" t="s">
        <v>470</v>
      </c>
      <c r="CZ58" s="5" t="s">
        <v>470</v>
      </c>
      <c r="DA58" s="5"/>
      <c r="DB58" s="5" t="s">
        <v>470</v>
      </c>
      <c r="DC58" s="5" t="s">
        <v>470</v>
      </c>
      <c r="DD58" s="5"/>
      <c r="DE58" s="5"/>
      <c r="DF58" s="5">
        <v>60</v>
      </c>
      <c r="DG58" s="5">
        <v>77.5625</v>
      </c>
      <c r="DH58" s="5">
        <v>42.4375</v>
      </c>
      <c r="DI58" s="5">
        <v>0.9375</v>
      </c>
      <c r="DJ58" s="5">
        <v>40</v>
      </c>
      <c r="DK58" s="5">
        <v>9</v>
      </c>
      <c r="DL58" s="5">
        <v>133.09379999999999</v>
      </c>
      <c r="DM58" s="5">
        <v>77.5625</v>
      </c>
      <c r="DN58" s="5">
        <v>55.4375</v>
      </c>
      <c r="DO58" s="5">
        <v>0.75</v>
      </c>
      <c r="DP58" s="12">
        <v>60</v>
      </c>
      <c r="DQ58" s="5">
        <v>6</v>
      </c>
      <c r="DR58" s="13">
        <v>188.53129999999999</v>
      </c>
      <c r="DS58" s="5">
        <v>133.09379999999999</v>
      </c>
      <c r="DT58" s="5">
        <v>55.4375</v>
      </c>
      <c r="DU58" s="5">
        <v>0.625</v>
      </c>
      <c r="DV58" s="5">
        <v>45</v>
      </c>
      <c r="DW58" s="5">
        <v>8</v>
      </c>
      <c r="DX58" s="5">
        <v>243.96875</v>
      </c>
      <c r="DY58" s="5">
        <v>188.53129999999999</v>
      </c>
      <c r="DZ58" s="5">
        <v>55.4375</v>
      </c>
      <c r="EA58" s="5">
        <v>0.5625</v>
      </c>
      <c r="EB58" s="5">
        <v>36</v>
      </c>
      <c r="EC58" s="5">
        <v>10</v>
      </c>
      <c r="ED58" s="5" t="s">
        <v>470</v>
      </c>
      <c r="EE58" s="5" t="s">
        <v>470</v>
      </c>
      <c r="EF58" s="5" t="s">
        <v>470</v>
      </c>
      <c r="EG58" s="5" t="s">
        <v>470</v>
      </c>
      <c r="EH58" s="5" t="s">
        <v>470</v>
      </c>
      <c r="EI58" s="5" t="s">
        <v>470</v>
      </c>
      <c r="EJ58" s="5" t="s">
        <v>470</v>
      </c>
      <c r="EK58" s="5" t="s">
        <v>470</v>
      </c>
      <c r="EL58" s="5" t="s">
        <v>470</v>
      </c>
      <c r="EM58" s="5" t="s">
        <v>470</v>
      </c>
      <c r="EN58" s="5" t="s">
        <v>470</v>
      </c>
      <c r="EO58" s="5" t="s">
        <v>470</v>
      </c>
      <c r="EP58" s="5" t="s">
        <v>470</v>
      </c>
      <c r="EQ58" s="5" t="s">
        <v>470</v>
      </c>
      <c r="ER58" s="5" t="s">
        <v>470</v>
      </c>
      <c r="ES58" s="5" t="s">
        <v>470</v>
      </c>
      <c r="ET58" s="5" t="s">
        <v>470</v>
      </c>
      <c r="EU58" s="5" t="s">
        <v>470</v>
      </c>
      <c r="EV58" s="5" t="s">
        <v>470</v>
      </c>
      <c r="EW58" s="5" t="s">
        <v>470</v>
      </c>
      <c r="EX58" s="5" t="s">
        <v>470</v>
      </c>
      <c r="EY58" s="5">
        <v>0.5</v>
      </c>
      <c r="EZ58" s="5">
        <v>221.78129999999999</v>
      </c>
      <c r="FA58" s="5">
        <v>28</v>
      </c>
      <c r="FB58" s="5">
        <v>12.857100000000001</v>
      </c>
      <c r="FC58" s="5">
        <v>45</v>
      </c>
      <c r="FD58" s="5">
        <v>87</v>
      </c>
      <c r="FE58" s="5" t="s">
        <v>525</v>
      </c>
      <c r="FF58" s="5">
        <v>0.25</v>
      </c>
      <c r="FG58" s="5">
        <v>221.875</v>
      </c>
      <c r="FH58" s="5">
        <v>28</v>
      </c>
      <c r="FI58" s="5">
        <v>12.857100000000001</v>
      </c>
      <c r="FJ58" s="5">
        <v>45</v>
      </c>
      <c r="FK58" s="5">
        <v>87</v>
      </c>
      <c r="FL58" s="5" t="s">
        <v>525</v>
      </c>
      <c r="FM58" s="5">
        <v>0.25</v>
      </c>
      <c r="FN58" s="5">
        <v>344.9375</v>
      </c>
      <c r="FO58" s="5">
        <v>22</v>
      </c>
      <c r="FP58" s="5">
        <v>16.363600000000002</v>
      </c>
      <c r="FQ58" s="5">
        <v>84.497799999999998</v>
      </c>
      <c r="FR58" s="5">
        <v>0</v>
      </c>
      <c r="FS58" s="5" t="s">
        <v>525</v>
      </c>
      <c r="FT58" s="5">
        <v>56</v>
      </c>
      <c r="FU58" s="5">
        <v>24</v>
      </c>
      <c r="FV58" s="5">
        <v>32</v>
      </c>
      <c r="FW58" s="5">
        <v>0.5</v>
      </c>
      <c r="FX58" s="5">
        <v>4</v>
      </c>
      <c r="FY58" s="5">
        <v>52</v>
      </c>
      <c r="FZ58" s="5">
        <v>62</v>
      </c>
      <c r="GA58" s="5">
        <v>1.5</v>
      </c>
      <c r="GB58" s="5">
        <v>120</v>
      </c>
      <c r="GC58" s="5">
        <v>3</v>
      </c>
      <c r="GD58" s="5">
        <v>23</v>
      </c>
      <c r="GE58" s="5">
        <v>27</v>
      </c>
      <c r="GF58" s="5">
        <v>1</v>
      </c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</row>
    <row r="59" spans="1:201" s="1" customFormat="1" ht="15.75" customHeight="1" x14ac:dyDescent="0.25">
      <c r="A59" s="4" t="s">
        <v>530</v>
      </c>
      <c r="B59" s="5"/>
      <c r="C59" s="5">
        <v>400</v>
      </c>
      <c r="D59" s="5">
        <v>32</v>
      </c>
      <c r="E59" s="6">
        <v>30</v>
      </c>
      <c r="F59" s="5" t="s">
        <v>469</v>
      </c>
      <c r="G59" s="5">
        <v>0</v>
      </c>
      <c r="H59" s="5">
        <f t="shared" si="0"/>
        <v>384</v>
      </c>
      <c r="I59" s="5">
        <f t="shared" si="4"/>
        <v>199</v>
      </c>
      <c r="J59" s="5">
        <f t="shared" si="2"/>
        <v>187</v>
      </c>
      <c r="K59" s="5">
        <v>30</v>
      </c>
      <c r="L59" s="5">
        <v>1.3125</v>
      </c>
      <c r="M59" s="5">
        <v>12</v>
      </c>
      <c r="N59" s="5">
        <v>36</v>
      </c>
      <c r="O59" s="5">
        <v>5</v>
      </c>
      <c r="P59" s="5">
        <v>36</v>
      </c>
      <c r="Q59" s="5">
        <v>72</v>
      </c>
      <c r="R59" s="5" t="s">
        <v>470</v>
      </c>
      <c r="S59" s="5">
        <v>72</v>
      </c>
      <c r="T59" s="5">
        <f t="shared" si="5"/>
        <v>192</v>
      </c>
      <c r="U59" s="5">
        <v>160.23230000000001</v>
      </c>
      <c r="V59" s="5">
        <v>84</v>
      </c>
      <c r="W59" s="5">
        <v>0.625</v>
      </c>
      <c r="X59" s="5">
        <v>30</v>
      </c>
      <c r="Y59" s="5">
        <v>12</v>
      </c>
      <c r="Z59" s="5">
        <v>160.23230000000001</v>
      </c>
      <c r="AA59" s="5">
        <v>128.46449999999999</v>
      </c>
      <c r="AB59" s="5">
        <v>84</v>
      </c>
      <c r="AC59" s="5">
        <v>0.6875</v>
      </c>
      <c r="AD59" s="5">
        <v>36</v>
      </c>
      <c r="AE59" s="5">
        <v>10</v>
      </c>
      <c r="AF59" s="5">
        <v>0</v>
      </c>
      <c r="AG59" s="5">
        <v>128.46449999999999</v>
      </c>
      <c r="AH59" s="5">
        <v>96.696799999999996</v>
      </c>
      <c r="AI59" s="5">
        <v>84</v>
      </c>
      <c r="AJ59" s="5">
        <v>0.8125</v>
      </c>
      <c r="AK59" s="5">
        <v>60</v>
      </c>
      <c r="AL59" s="5">
        <v>6</v>
      </c>
      <c r="AM59" s="5">
        <v>0</v>
      </c>
      <c r="AN59" s="5">
        <v>96.696799999999996</v>
      </c>
      <c r="AO59" s="5">
        <v>63.879300000000001</v>
      </c>
      <c r="AP59" s="5">
        <v>86.75</v>
      </c>
      <c r="AQ59" s="5">
        <v>1.0625</v>
      </c>
      <c r="AR59" s="5">
        <v>60</v>
      </c>
      <c r="AS59" s="5">
        <v>6</v>
      </c>
      <c r="AT59" s="5"/>
      <c r="AU59" s="5">
        <v>63.879300000000001</v>
      </c>
      <c r="AV59" s="5">
        <v>60</v>
      </c>
      <c r="AW59" s="5">
        <v>21.25</v>
      </c>
      <c r="AX59" s="5">
        <v>1.1875</v>
      </c>
      <c r="AY59" s="5">
        <v>36</v>
      </c>
      <c r="AZ59" s="5">
        <v>10</v>
      </c>
      <c r="BA59" s="5">
        <v>120</v>
      </c>
      <c r="BB59" s="5">
        <v>96</v>
      </c>
      <c r="BC59" s="5">
        <v>120</v>
      </c>
      <c r="BD59" s="5">
        <v>96</v>
      </c>
      <c r="BE59" s="5">
        <v>0.6875</v>
      </c>
      <c r="BF59" s="5">
        <v>120</v>
      </c>
      <c r="BG59" s="5">
        <v>96</v>
      </c>
      <c r="BH59" s="5">
        <v>0.6875</v>
      </c>
      <c r="BI59" s="5">
        <v>120</v>
      </c>
      <c r="BJ59" s="5">
        <v>96</v>
      </c>
      <c r="BK59" s="5">
        <v>0.6875</v>
      </c>
      <c r="BL59" s="5">
        <v>120</v>
      </c>
      <c r="BM59" s="5">
        <v>96</v>
      </c>
      <c r="BN59" s="5">
        <v>0.6875</v>
      </c>
      <c r="BO59" s="5">
        <v>120</v>
      </c>
      <c r="BP59" s="5">
        <v>96</v>
      </c>
      <c r="BQ59" s="5">
        <v>0.6875</v>
      </c>
      <c r="BR59" s="5">
        <v>120</v>
      </c>
      <c r="BS59" s="5">
        <v>96</v>
      </c>
      <c r="BT59" s="5">
        <v>0.6875</v>
      </c>
      <c r="BU59" s="5">
        <v>120</v>
      </c>
      <c r="BV59" s="5">
        <v>96</v>
      </c>
      <c r="BW59" s="5">
        <v>0.6875</v>
      </c>
      <c r="BX59" s="5">
        <v>120</v>
      </c>
      <c r="BY59" s="5">
        <v>96</v>
      </c>
      <c r="BZ59" s="5">
        <v>0.6875</v>
      </c>
      <c r="CA59" s="5" t="s">
        <v>470</v>
      </c>
      <c r="CB59" s="5" t="s">
        <v>470</v>
      </c>
      <c r="CC59" s="5"/>
      <c r="CD59" s="5" t="s">
        <v>470</v>
      </c>
      <c r="CE59" s="5" t="s">
        <v>470</v>
      </c>
      <c r="CF59" s="5"/>
      <c r="CG59" s="5" t="s">
        <v>470</v>
      </c>
      <c r="CH59" s="5" t="s">
        <v>470</v>
      </c>
      <c r="CI59" s="5"/>
      <c r="CJ59" s="5" t="s">
        <v>470</v>
      </c>
      <c r="CK59" s="5" t="s">
        <v>470</v>
      </c>
      <c r="CL59" s="5"/>
      <c r="CM59" s="5" t="s">
        <v>470</v>
      </c>
      <c r="CN59" s="5" t="s">
        <v>470</v>
      </c>
      <c r="CO59" s="5"/>
      <c r="CP59" s="5" t="s">
        <v>470</v>
      </c>
      <c r="CQ59" s="5" t="s">
        <v>470</v>
      </c>
      <c r="CR59" s="5"/>
      <c r="CS59" s="5" t="s">
        <v>470</v>
      </c>
      <c r="CT59" s="5" t="s">
        <v>470</v>
      </c>
      <c r="CU59" s="5"/>
      <c r="CV59" s="5" t="s">
        <v>470</v>
      </c>
      <c r="CW59" s="5" t="s">
        <v>470</v>
      </c>
      <c r="CX59" s="5"/>
      <c r="CY59" s="5" t="s">
        <v>470</v>
      </c>
      <c r="CZ59" s="5" t="s">
        <v>470</v>
      </c>
      <c r="DA59" s="5"/>
      <c r="DB59" s="5" t="s">
        <v>470</v>
      </c>
      <c r="DC59" s="5" t="s">
        <v>470</v>
      </c>
      <c r="DD59" s="5"/>
      <c r="DE59" s="5"/>
      <c r="DF59" s="5">
        <v>60</v>
      </c>
      <c r="DG59" s="5">
        <v>77.5625</v>
      </c>
      <c r="DH59" s="5">
        <v>42.4375</v>
      </c>
      <c r="DI59" s="5">
        <v>0.9375</v>
      </c>
      <c r="DJ59" s="5">
        <v>40</v>
      </c>
      <c r="DK59" s="5">
        <v>9</v>
      </c>
      <c r="DL59" s="5">
        <v>133.09379999999999</v>
      </c>
      <c r="DM59" s="5">
        <v>77.5625</v>
      </c>
      <c r="DN59" s="5">
        <v>55.4375</v>
      </c>
      <c r="DO59" s="5">
        <v>0.75</v>
      </c>
      <c r="DP59" s="12">
        <v>60</v>
      </c>
      <c r="DQ59" s="5">
        <v>6</v>
      </c>
      <c r="DR59" s="13">
        <v>188.53129999999999</v>
      </c>
      <c r="DS59" s="5">
        <v>133.09379999999999</v>
      </c>
      <c r="DT59" s="5">
        <v>55.4375</v>
      </c>
      <c r="DU59" s="5">
        <v>0.625</v>
      </c>
      <c r="DV59" s="5">
        <v>45</v>
      </c>
      <c r="DW59" s="5">
        <v>8</v>
      </c>
      <c r="DX59" s="5">
        <v>243.96875</v>
      </c>
      <c r="DY59" s="5">
        <v>188.53129999999999</v>
      </c>
      <c r="DZ59" s="5">
        <v>55.4375</v>
      </c>
      <c r="EA59" s="5">
        <v>0.5625</v>
      </c>
      <c r="EB59" s="5">
        <v>36</v>
      </c>
      <c r="EC59" s="5">
        <v>10</v>
      </c>
      <c r="ED59" s="5" t="s">
        <v>470</v>
      </c>
      <c r="EE59" s="5" t="s">
        <v>470</v>
      </c>
      <c r="EF59" s="5" t="s">
        <v>470</v>
      </c>
      <c r="EG59" s="5" t="s">
        <v>470</v>
      </c>
      <c r="EH59" s="5" t="s">
        <v>470</v>
      </c>
      <c r="EI59" s="5" t="s">
        <v>470</v>
      </c>
      <c r="EJ59" s="5" t="s">
        <v>470</v>
      </c>
      <c r="EK59" s="5" t="s">
        <v>470</v>
      </c>
      <c r="EL59" s="5" t="s">
        <v>470</v>
      </c>
      <c r="EM59" s="5" t="s">
        <v>470</v>
      </c>
      <c r="EN59" s="5" t="s">
        <v>470</v>
      </c>
      <c r="EO59" s="5" t="s">
        <v>470</v>
      </c>
      <c r="EP59" s="5" t="s">
        <v>470</v>
      </c>
      <c r="EQ59" s="5" t="s">
        <v>470</v>
      </c>
      <c r="ER59" s="5" t="s">
        <v>470</v>
      </c>
      <c r="ES59" s="5" t="s">
        <v>470</v>
      </c>
      <c r="ET59" s="5" t="s">
        <v>470</v>
      </c>
      <c r="EU59" s="5" t="s">
        <v>470</v>
      </c>
      <c r="EV59" s="5" t="s">
        <v>470</v>
      </c>
      <c r="EW59" s="5" t="s">
        <v>470</v>
      </c>
      <c r="EX59" s="5" t="s">
        <v>470</v>
      </c>
      <c r="EY59" s="5">
        <v>0.5</v>
      </c>
      <c r="EZ59" s="5">
        <v>221.78129999999999</v>
      </c>
      <c r="FA59" s="5">
        <v>28</v>
      </c>
      <c r="FB59" s="5">
        <v>12.857100000000001</v>
      </c>
      <c r="FC59" s="5">
        <v>45</v>
      </c>
      <c r="FD59" s="5">
        <v>87</v>
      </c>
      <c r="FE59" s="5" t="s">
        <v>525</v>
      </c>
      <c r="FF59" s="5">
        <v>0.25</v>
      </c>
      <c r="FG59" s="5">
        <v>221.875</v>
      </c>
      <c r="FH59" s="5">
        <v>28</v>
      </c>
      <c r="FI59" s="5">
        <v>12.857100000000001</v>
      </c>
      <c r="FJ59" s="5">
        <v>45</v>
      </c>
      <c r="FK59" s="5">
        <v>87</v>
      </c>
      <c r="FL59" s="5" t="s">
        <v>525</v>
      </c>
      <c r="FM59" s="5">
        <v>0.25</v>
      </c>
      <c r="FN59" s="5">
        <v>344.9375</v>
      </c>
      <c r="FO59" s="5">
        <v>22</v>
      </c>
      <c r="FP59" s="5">
        <v>16.363600000000002</v>
      </c>
      <c r="FQ59" s="5">
        <v>84.497799999999998</v>
      </c>
      <c r="FR59" s="5">
        <v>0</v>
      </c>
      <c r="FS59" s="5" t="s">
        <v>525</v>
      </c>
      <c r="FT59" s="5">
        <v>56</v>
      </c>
      <c r="FU59" s="5">
        <v>24</v>
      </c>
      <c r="FV59" s="5">
        <v>32</v>
      </c>
      <c r="FW59" s="5">
        <v>0.5</v>
      </c>
      <c r="FX59" s="5">
        <v>4</v>
      </c>
      <c r="FY59" s="5">
        <v>52</v>
      </c>
      <c r="FZ59" s="5">
        <v>62</v>
      </c>
      <c r="GA59" s="5">
        <v>1.5</v>
      </c>
      <c r="GB59" s="5">
        <v>120</v>
      </c>
      <c r="GC59" s="5">
        <v>3</v>
      </c>
      <c r="GD59" s="5">
        <v>23</v>
      </c>
      <c r="GE59" s="5">
        <v>27</v>
      </c>
      <c r="GF59" s="5">
        <v>1</v>
      </c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</row>
    <row r="60" spans="1:201" s="1" customFormat="1" ht="15.75" customHeight="1" x14ac:dyDescent="0.25">
      <c r="A60" s="4" t="s">
        <v>531</v>
      </c>
      <c r="B60" s="5"/>
      <c r="C60" s="5">
        <v>400</v>
      </c>
      <c r="D60" s="5">
        <v>40</v>
      </c>
      <c r="E60" s="6">
        <v>30</v>
      </c>
      <c r="F60" s="5" t="s">
        <v>469</v>
      </c>
      <c r="G60" s="5">
        <v>0</v>
      </c>
      <c r="H60" s="5">
        <f t="shared" si="0"/>
        <v>480</v>
      </c>
      <c r="I60" s="5">
        <f t="shared" si="4"/>
        <v>247</v>
      </c>
      <c r="J60" s="5">
        <f t="shared" si="2"/>
        <v>235</v>
      </c>
      <c r="K60" s="5">
        <v>25.713999999999999</v>
      </c>
      <c r="L60" s="5">
        <v>1.5625</v>
      </c>
      <c r="M60" s="5">
        <v>14</v>
      </c>
      <c r="N60" s="5">
        <v>20</v>
      </c>
      <c r="O60" s="5">
        <v>9</v>
      </c>
      <c r="P60" s="5">
        <v>20</v>
      </c>
      <c r="Q60" s="5">
        <v>40</v>
      </c>
      <c r="R60" s="5" t="s">
        <v>470</v>
      </c>
      <c r="S60" s="5">
        <v>40</v>
      </c>
      <c r="T60" s="5">
        <f t="shared" si="5"/>
        <v>240</v>
      </c>
      <c r="U60" s="5">
        <v>196.21199999999999</v>
      </c>
      <c r="V60" s="5">
        <v>84</v>
      </c>
      <c r="W60" s="5">
        <v>0.625</v>
      </c>
      <c r="X60" s="5">
        <v>25.713999999999999</v>
      </c>
      <c r="Y60" s="5">
        <v>14</v>
      </c>
      <c r="Z60" s="5">
        <v>196.21199999999999</v>
      </c>
      <c r="AA60" s="5">
        <v>152.42400000000001</v>
      </c>
      <c r="AB60" s="5">
        <v>84</v>
      </c>
      <c r="AC60" s="5">
        <v>0.625</v>
      </c>
      <c r="AD60" s="5">
        <v>36</v>
      </c>
      <c r="AE60" s="5">
        <v>10</v>
      </c>
      <c r="AF60" s="5">
        <v>0</v>
      </c>
      <c r="AG60" s="5">
        <v>152.42400000000001</v>
      </c>
      <c r="AH60" s="5">
        <v>108.636</v>
      </c>
      <c r="AI60" s="5">
        <v>84</v>
      </c>
      <c r="AJ60" s="5">
        <v>0.6875</v>
      </c>
      <c r="AK60" s="5">
        <v>45</v>
      </c>
      <c r="AL60" s="5">
        <v>8</v>
      </c>
      <c r="AM60" s="5">
        <v>0</v>
      </c>
      <c r="AN60" s="5">
        <v>108.636</v>
      </c>
      <c r="AO60" s="5">
        <v>66.795000000000002</v>
      </c>
      <c r="AP60" s="5">
        <v>80.25</v>
      </c>
      <c r="AQ60" s="5">
        <v>0.9375</v>
      </c>
      <c r="AR60" s="5">
        <v>60</v>
      </c>
      <c r="AS60" s="5">
        <v>6</v>
      </c>
      <c r="AT60" s="5"/>
      <c r="AU60" s="5">
        <v>66.795000000000002</v>
      </c>
      <c r="AV60" s="5">
        <v>60</v>
      </c>
      <c r="AW60" s="5">
        <v>27.75</v>
      </c>
      <c r="AX60" s="5">
        <v>1.0625</v>
      </c>
      <c r="AY60" s="5">
        <v>36</v>
      </c>
      <c r="AZ60" s="5">
        <v>10</v>
      </c>
      <c r="BA60" s="5">
        <v>120</v>
      </c>
      <c r="BB60" s="5">
        <v>96</v>
      </c>
      <c r="BC60" s="5">
        <v>120</v>
      </c>
      <c r="BD60" s="5">
        <v>96</v>
      </c>
      <c r="BE60" s="5">
        <v>0.6875</v>
      </c>
      <c r="BF60" s="5">
        <v>120</v>
      </c>
      <c r="BG60" s="5">
        <v>96</v>
      </c>
      <c r="BH60" s="5">
        <v>0.6875</v>
      </c>
      <c r="BI60" s="5">
        <v>120</v>
      </c>
      <c r="BJ60" s="5">
        <v>96</v>
      </c>
      <c r="BK60" s="5">
        <v>0.6875</v>
      </c>
      <c r="BL60" s="5">
        <v>120</v>
      </c>
      <c r="BM60" s="5">
        <v>96</v>
      </c>
      <c r="BN60" s="5">
        <v>0.6875</v>
      </c>
      <c r="BO60" s="5">
        <v>120</v>
      </c>
      <c r="BP60" s="5">
        <v>96</v>
      </c>
      <c r="BQ60" s="5">
        <v>0.6875</v>
      </c>
      <c r="BR60" s="5">
        <v>120</v>
      </c>
      <c r="BS60" s="5">
        <v>96</v>
      </c>
      <c r="BT60" s="5">
        <v>0.6875</v>
      </c>
      <c r="BU60" s="5">
        <v>120</v>
      </c>
      <c r="BV60" s="5">
        <v>96</v>
      </c>
      <c r="BW60" s="5">
        <v>0.6875</v>
      </c>
      <c r="BX60" s="5">
        <v>120</v>
      </c>
      <c r="BY60" s="5">
        <v>96</v>
      </c>
      <c r="BZ60" s="5">
        <v>0.6875</v>
      </c>
      <c r="CA60" s="5" t="s">
        <v>470</v>
      </c>
      <c r="CB60" s="5" t="s">
        <v>470</v>
      </c>
      <c r="CC60" s="5"/>
      <c r="CD60" s="5" t="s">
        <v>470</v>
      </c>
      <c r="CE60" s="5" t="s">
        <v>470</v>
      </c>
      <c r="CF60" s="5"/>
      <c r="CG60" s="5" t="s">
        <v>470</v>
      </c>
      <c r="CH60" s="5" t="s">
        <v>470</v>
      </c>
      <c r="CI60" s="5"/>
      <c r="CJ60" s="5" t="s">
        <v>470</v>
      </c>
      <c r="CK60" s="5" t="s">
        <v>470</v>
      </c>
      <c r="CL60" s="5"/>
      <c r="CM60" s="5" t="s">
        <v>470</v>
      </c>
      <c r="CN60" s="5" t="s">
        <v>470</v>
      </c>
      <c r="CO60" s="5"/>
      <c r="CP60" s="5" t="s">
        <v>470</v>
      </c>
      <c r="CQ60" s="5" t="s">
        <v>470</v>
      </c>
      <c r="CR60" s="5"/>
      <c r="CS60" s="5" t="s">
        <v>470</v>
      </c>
      <c r="CT60" s="5" t="s">
        <v>470</v>
      </c>
      <c r="CU60" s="5"/>
      <c r="CV60" s="5" t="s">
        <v>470</v>
      </c>
      <c r="CW60" s="5" t="s">
        <v>470</v>
      </c>
      <c r="CX60" s="5"/>
      <c r="CY60" s="5" t="s">
        <v>470</v>
      </c>
      <c r="CZ60" s="5" t="s">
        <v>470</v>
      </c>
      <c r="DA60" s="5"/>
      <c r="DB60" s="5" t="s">
        <v>470</v>
      </c>
      <c r="DC60" s="5" t="s">
        <v>470</v>
      </c>
      <c r="DD60" s="5"/>
      <c r="DE60" s="5"/>
      <c r="DF60" s="5">
        <v>60</v>
      </c>
      <c r="DG60" s="5">
        <v>77.5625</v>
      </c>
      <c r="DH60" s="5">
        <v>42.4375</v>
      </c>
      <c r="DI60" s="5">
        <v>0.9375</v>
      </c>
      <c r="DJ60" s="5">
        <v>40</v>
      </c>
      <c r="DK60" s="5">
        <v>9</v>
      </c>
      <c r="DL60" s="5">
        <v>133.09379999999999</v>
      </c>
      <c r="DM60" s="5">
        <v>77.5625</v>
      </c>
      <c r="DN60" s="5">
        <v>55.4375</v>
      </c>
      <c r="DO60" s="5">
        <v>0.75</v>
      </c>
      <c r="DP60" s="12">
        <v>60</v>
      </c>
      <c r="DQ60" s="5">
        <v>6</v>
      </c>
      <c r="DR60" s="13">
        <v>188.53129999999999</v>
      </c>
      <c r="DS60" s="5">
        <v>133.09379999999999</v>
      </c>
      <c r="DT60" s="5">
        <v>55.4375</v>
      </c>
      <c r="DU60" s="5">
        <v>0.625</v>
      </c>
      <c r="DV60" s="5">
        <v>45</v>
      </c>
      <c r="DW60" s="5">
        <v>8</v>
      </c>
      <c r="DX60" s="5">
        <v>243.96875</v>
      </c>
      <c r="DY60" s="5">
        <v>188.53129999999999</v>
      </c>
      <c r="DZ60" s="5">
        <v>55.4375</v>
      </c>
      <c r="EA60" s="5">
        <v>0.5625</v>
      </c>
      <c r="EB60" s="5">
        <v>36</v>
      </c>
      <c r="EC60" s="5">
        <v>10</v>
      </c>
      <c r="ED60" s="5" t="s">
        <v>470</v>
      </c>
      <c r="EE60" s="5" t="s">
        <v>470</v>
      </c>
      <c r="EF60" s="5" t="s">
        <v>470</v>
      </c>
      <c r="EG60" s="5" t="s">
        <v>470</v>
      </c>
      <c r="EH60" s="5" t="s">
        <v>470</v>
      </c>
      <c r="EI60" s="5" t="s">
        <v>470</v>
      </c>
      <c r="EJ60" s="5" t="s">
        <v>470</v>
      </c>
      <c r="EK60" s="5" t="s">
        <v>470</v>
      </c>
      <c r="EL60" s="5" t="s">
        <v>470</v>
      </c>
      <c r="EM60" s="5" t="s">
        <v>470</v>
      </c>
      <c r="EN60" s="5" t="s">
        <v>470</v>
      </c>
      <c r="EO60" s="5" t="s">
        <v>470</v>
      </c>
      <c r="EP60" s="5" t="s">
        <v>470</v>
      </c>
      <c r="EQ60" s="5" t="s">
        <v>470</v>
      </c>
      <c r="ER60" s="5" t="s">
        <v>470</v>
      </c>
      <c r="ES60" s="5" t="s">
        <v>470</v>
      </c>
      <c r="ET60" s="5" t="s">
        <v>470</v>
      </c>
      <c r="EU60" s="5" t="s">
        <v>470</v>
      </c>
      <c r="EV60" s="5" t="s">
        <v>470</v>
      </c>
      <c r="EW60" s="5" t="s">
        <v>470</v>
      </c>
      <c r="EX60" s="5" t="s">
        <v>470</v>
      </c>
      <c r="EY60" s="5">
        <v>0.5</v>
      </c>
      <c r="EZ60" s="5">
        <v>221.78129999999999</v>
      </c>
      <c r="FA60" s="5">
        <v>28</v>
      </c>
      <c r="FB60" s="5">
        <v>12.857100000000001</v>
      </c>
      <c r="FC60" s="5">
        <v>45</v>
      </c>
      <c r="FD60" s="5">
        <v>87</v>
      </c>
      <c r="FE60" s="5" t="s">
        <v>525</v>
      </c>
      <c r="FF60" s="5">
        <v>0.25</v>
      </c>
      <c r="FG60" s="5">
        <v>221.875</v>
      </c>
      <c r="FH60" s="5">
        <v>28</v>
      </c>
      <c r="FI60" s="5">
        <v>12.857100000000001</v>
      </c>
      <c r="FJ60" s="5">
        <v>45</v>
      </c>
      <c r="FK60" s="5">
        <v>87</v>
      </c>
      <c r="FL60" s="5" t="s">
        <v>525</v>
      </c>
      <c r="FM60" s="5">
        <v>0.25</v>
      </c>
      <c r="FN60" s="5">
        <v>344.9375</v>
      </c>
      <c r="FO60" s="5">
        <v>22</v>
      </c>
      <c r="FP60" s="5">
        <v>16.363600000000002</v>
      </c>
      <c r="FQ60" s="5">
        <v>84.497799999999998</v>
      </c>
      <c r="FR60" s="5">
        <v>0</v>
      </c>
      <c r="FS60" s="5" t="s">
        <v>525</v>
      </c>
      <c r="FT60" s="5">
        <v>56</v>
      </c>
      <c r="FU60" s="5">
        <v>24</v>
      </c>
      <c r="FV60" s="5">
        <v>32</v>
      </c>
      <c r="FW60" s="5">
        <v>0.5</v>
      </c>
      <c r="FX60" s="5">
        <v>4</v>
      </c>
      <c r="FY60" s="5">
        <v>52</v>
      </c>
      <c r="FZ60" s="5">
        <v>62</v>
      </c>
      <c r="GA60" s="5">
        <v>1.5</v>
      </c>
      <c r="GB60" s="5">
        <v>120</v>
      </c>
      <c r="GC60" s="5">
        <v>3</v>
      </c>
      <c r="GD60" s="5">
        <v>23</v>
      </c>
      <c r="GE60" s="5">
        <v>27</v>
      </c>
      <c r="GF60" s="5">
        <v>1</v>
      </c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</row>
    <row r="61" spans="1:201" s="1" customFormat="1" ht="15.75" customHeight="1" x14ac:dyDescent="0.25">
      <c r="A61" s="4" t="s">
        <v>532</v>
      </c>
      <c r="B61" s="5"/>
      <c r="C61" s="5">
        <v>500</v>
      </c>
      <c r="D61" s="5">
        <v>25</v>
      </c>
      <c r="E61" s="6">
        <v>25</v>
      </c>
      <c r="F61" s="5" t="s">
        <v>469</v>
      </c>
      <c r="G61" s="5">
        <v>0</v>
      </c>
      <c r="H61" s="5">
        <f t="shared" si="0"/>
        <v>300</v>
      </c>
      <c r="I61" s="5">
        <f t="shared" si="4"/>
        <v>157</v>
      </c>
      <c r="J61" s="5">
        <f t="shared" si="2"/>
        <v>145</v>
      </c>
      <c r="K61" s="5">
        <v>40</v>
      </c>
      <c r="L61" s="5">
        <v>1.625</v>
      </c>
      <c r="M61" s="5">
        <v>9</v>
      </c>
      <c r="N61" s="5">
        <v>20</v>
      </c>
      <c r="O61" s="5">
        <v>9</v>
      </c>
      <c r="P61" s="5">
        <v>20</v>
      </c>
      <c r="Q61" s="5">
        <v>40</v>
      </c>
      <c r="R61" s="5" t="s">
        <v>470</v>
      </c>
      <c r="S61" s="5">
        <v>40</v>
      </c>
      <c r="T61" s="5">
        <f t="shared" si="5"/>
        <v>150</v>
      </c>
      <c r="U61" s="5">
        <v>124.0145</v>
      </c>
      <c r="V61" s="5">
        <v>84</v>
      </c>
      <c r="W61" s="5">
        <v>0.625</v>
      </c>
      <c r="X61" s="5">
        <v>40</v>
      </c>
      <c r="Y61" s="5">
        <v>9</v>
      </c>
      <c r="Z61" s="5">
        <v>124.0145</v>
      </c>
      <c r="AA61" s="5">
        <v>98.028999999999996</v>
      </c>
      <c r="AB61" s="5">
        <v>84</v>
      </c>
      <c r="AC61" s="5">
        <v>0.75</v>
      </c>
      <c r="AD61" s="5">
        <v>60</v>
      </c>
      <c r="AE61" s="5">
        <v>6</v>
      </c>
      <c r="AF61" s="5">
        <v>0</v>
      </c>
      <c r="AG61" s="5">
        <v>98.028999999999996</v>
      </c>
      <c r="AH61" s="5">
        <v>72.042500000000004</v>
      </c>
      <c r="AI61" s="5">
        <v>84</v>
      </c>
      <c r="AJ61" s="5">
        <v>0.875</v>
      </c>
      <c r="AK61" s="5">
        <v>60</v>
      </c>
      <c r="AL61" s="5">
        <v>6</v>
      </c>
      <c r="AM61" s="5">
        <v>0</v>
      </c>
      <c r="AN61" s="5">
        <v>72.043499999999995</v>
      </c>
      <c r="AO61" s="5">
        <v>62.680100000000003</v>
      </c>
      <c r="AP61" s="5">
        <v>30.25</v>
      </c>
      <c r="AQ61" s="5">
        <v>1.0625</v>
      </c>
      <c r="AR61" s="5">
        <v>90</v>
      </c>
      <c r="AS61" s="5">
        <v>4</v>
      </c>
      <c r="AT61" s="5">
        <v>60</v>
      </c>
      <c r="AU61" s="5">
        <v>62.680100000000003</v>
      </c>
      <c r="AV61" s="5">
        <v>60</v>
      </c>
      <c r="AW61" s="5">
        <v>17.75</v>
      </c>
      <c r="AX61" s="5">
        <v>1.0625</v>
      </c>
      <c r="AY61" s="5">
        <v>36</v>
      </c>
      <c r="AZ61" s="5">
        <v>10</v>
      </c>
      <c r="BA61" s="5">
        <v>120</v>
      </c>
      <c r="BB61" s="5">
        <v>768</v>
      </c>
      <c r="BC61" s="5">
        <v>120</v>
      </c>
      <c r="BD61" s="5">
        <v>96</v>
      </c>
      <c r="BE61" s="5">
        <v>1</v>
      </c>
      <c r="BF61" s="5">
        <v>120</v>
      </c>
      <c r="BG61" s="5">
        <v>96</v>
      </c>
      <c r="BH61" s="5">
        <v>1</v>
      </c>
      <c r="BI61" s="5">
        <v>120</v>
      </c>
      <c r="BJ61" s="5">
        <v>96</v>
      </c>
      <c r="BK61" s="5">
        <v>1</v>
      </c>
      <c r="BL61" s="5">
        <v>120</v>
      </c>
      <c r="BM61" s="5">
        <v>96</v>
      </c>
      <c r="BN61" s="5">
        <v>1</v>
      </c>
      <c r="BO61" s="5">
        <v>120</v>
      </c>
      <c r="BP61" s="5">
        <v>96</v>
      </c>
      <c r="BQ61" s="5">
        <v>1</v>
      </c>
      <c r="BR61" s="5">
        <v>120</v>
      </c>
      <c r="BS61" s="5">
        <v>96</v>
      </c>
      <c r="BT61" s="5">
        <v>1</v>
      </c>
      <c r="BU61" s="5">
        <v>120</v>
      </c>
      <c r="BV61" s="5">
        <v>96</v>
      </c>
      <c r="BW61" s="5">
        <v>1</v>
      </c>
      <c r="BX61" s="5">
        <v>120</v>
      </c>
      <c r="BY61" s="5">
        <v>96</v>
      </c>
      <c r="BZ61" s="5">
        <v>1</v>
      </c>
      <c r="CA61" s="5" t="s">
        <v>470</v>
      </c>
      <c r="CB61" s="5" t="s">
        <v>470</v>
      </c>
      <c r="CC61" s="5"/>
      <c r="CD61" s="5" t="s">
        <v>470</v>
      </c>
      <c r="CE61" s="5" t="s">
        <v>470</v>
      </c>
      <c r="CF61" s="5"/>
      <c r="CG61" s="5" t="s">
        <v>470</v>
      </c>
      <c r="CH61" s="5" t="s">
        <v>470</v>
      </c>
      <c r="CI61" s="5"/>
      <c r="CJ61" s="5" t="s">
        <v>470</v>
      </c>
      <c r="CK61" s="5" t="s">
        <v>470</v>
      </c>
      <c r="CL61" s="5"/>
      <c r="CM61" s="5" t="s">
        <v>470</v>
      </c>
      <c r="CN61" s="5" t="s">
        <v>470</v>
      </c>
      <c r="CO61" s="5"/>
      <c r="CP61" s="5" t="s">
        <v>470</v>
      </c>
      <c r="CQ61" s="5" t="s">
        <v>470</v>
      </c>
      <c r="CR61" s="5"/>
      <c r="CS61" s="5" t="s">
        <v>470</v>
      </c>
      <c r="CT61" s="5" t="s">
        <v>470</v>
      </c>
      <c r="CU61" s="5"/>
      <c r="CV61" s="5" t="s">
        <v>470</v>
      </c>
      <c r="CW61" s="5" t="s">
        <v>470</v>
      </c>
      <c r="CX61" s="5"/>
      <c r="CY61" s="5" t="s">
        <v>470</v>
      </c>
      <c r="CZ61" s="5" t="s">
        <v>470</v>
      </c>
      <c r="DA61" s="5"/>
      <c r="DB61" s="5" t="s">
        <v>470</v>
      </c>
      <c r="DC61" s="5" t="s">
        <v>470</v>
      </c>
      <c r="DD61" s="5"/>
      <c r="DE61" s="5">
        <v>60</v>
      </c>
      <c r="DF61" s="5">
        <v>60</v>
      </c>
      <c r="DG61" s="5">
        <v>77.581999999999994</v>
      </c>
      <c r="DH61" s="5">
        <v>42.4375</v>
      </c>
      <c r="DI61" s="5">
        <v>1.1875</v>
      </c>
      <c r="DJ61" s="5">
        <v>40</v>
      </c>
      <c r="DK61" s="5">
        <v>9</v>
      </c>
      <c r="DL61" s="5">
        <v>137.453125</v>
      </c>
      <c r="DM61" s="5">
        <v>77.5625</v>
      </c>
      <c r="DN61" s="5">
        <v>59.875</v>
      </c>
      <c r="DO61" s="5">
        <v>0.875</v>
      </c>
      <c r="DP61" s="12">
        <v>60</v>
      </c>
      <c r="DQ61" s="5">
        <v>6</v>
      </c>
      <c r="DR61" s="13">
        <v>197.34375</v>
      </c>
      <c r="DS61" s="5">
        <v>137.453125</v>
      </c>
      <c r="DT61" s="5">
        <v>59.875</v>
      </c>
      <c r="DU61" s="5">
        <v>0.6875</v>
      </c>
      <c r="DV61" s="5">
        <v>45</v>
      </c>
      <c r="DW61" s="5">
        <v>8</v>
      </c>
      <c r="DX61" s="5">
        <v>257.21875</v>
      </c>
      <c r="DY61" s="5">
        <v>197.34375</v>
      </c>
      <c r="DZ61" s="5">
        <v>59.875</v>
      </c>
      <c r="EA61" s="5">
        <v>0.625</v>
      </c>
      <c r="EB61" s="5">
        <v>36</v>
      </c>
      <c r="EC61" s="5">
        <v>10</v>
      </c>
      <c r="ED61" s="5" t="s">
        <v>470</v>
      </c>
      <c r="EE61" s="5" t="s">
        <v>470</v>
      </c>
      <c r="EF61" s="5" t="s">
        <v>470</v>
      </c>
      <c r="EG61" s="5" t="s">
        <v>470</v>
      </c>
      <c r="EH61" s="5" t="s">
        <v>470</v>
      </c>
      <c r="EI61" s="5" t="s">
        <v>470</v>
      </c>
      <c r="EJ61" s="5" t="s">
        <v>470</v>
      </c>
      <c r="EK61" s="5" t="s">
        <v>470</v>
      </c>
      <c r="EL61" s="5" t="s">
        <v>470</v>
      </c>
      <c r="EM61" s="5" t="s">
        <v>470</v>
      </c>
      <c r="EN61" s="5" t="s">
        <v>470</v>
      </c>
      <c r="EO61" s="5" t="s">
        <v>470</v>
      </c>
      <c r="EP61" s="5" t="s">
        <v>470</v>
      </c>
      <c r="EQ61" s="5" t="s">
        <v>470</v>
      </c>
      <c r="ER61" s="5" t="s">
        <v>470</v>
      </c>
      <c r="ES61" s="5" t="s">
        <v>470</v>
      </c>
      <c r="ET61" s="5" t="s">
        <v>470</v>
      </c>
      <c r="EU61" s="5" t="s">
        <v>470</v>
      </c>
      <c r="EV61" s="5" t="s">
        <v>470</v>
      </c>
      <c r="EW61" s="5" t="s">
        <v>470</v>
      </c>
      <c r="EX61" s="5" t="s">
        <v>470</v>
      </c>
      <c r="EY61" s="5">
        <v>0.5</v>
      </c>
      <c r="EZ61" s="5">
        <v>227.75</v>
      </c>
      <c r="FA61" s="5">
        <v>30</v>
      </c>
      <c r="FB61" s="5">
        <v>12</v>
      </c>
      <c r="FC61" s="5">
        <v>45</v>
      </c>
      <c r="FD61" s="5">
        <v>96</v>
      </c>
      <c r="FE61" s="5">
        <v>54</v>
      </c>
      <c r="FF61" s="5">
        <v>0.25</v>
      </c>
      <c r="FG61" s="5">
        <v>227.875</v>
      </c>
      <c r="FH61" s="5">
        <v>30</v>
      </c>
      <c r="FI61" s="5">
        <v>12</v>
      </c>
      <c r="FJ61" s="5">
        <v>45</v>
      </c>
      <c r="FK61" s="5">
        <v>96</v>
      </c>
      <c r="FL61" s="5">
        <v>54</v>
      </c>
      <c r="FM61" s="5">
        <v>0.25</v>
      </c>
      <c r="FN61" s="5">
        <v>363.875</v>
      </c>
      <c r="FO61" s="5">
        <v>24</v>
      </c>
      <c r="FP61" s="5">
        <v>15</v>
      </c>
      <c r="FQ61" s="5">
        <v>84.02</v>
      </c>
      <c r="FR61" s="5">
        <v>0</v>
      </c>
      <c r="FS61" s="5">
        <v>54</v>
      </c>
      <c r="FT61" s="5">
        <v>56</v>
      </c>
      <c r="FU61" s="5">
        <v>21</v>
      </c>
      <c r="FV61" s="5">
        <v>26</v>
      </c>
      <c r="FW61" s="5">
        <v>0.5</v>
      </c>
      <c r="FX61" s="5">
        <v>4</v>
      </c>
      <c r="FY61" s="5">
        <v>52</v>
      </c>
      <c r="FZ61" s="5">
        <v>62</v>
      </c>
      <c r="GA61" s="5">
        <v>1.5</v>
      </c>
      <c r="GB61" s="5">
        <v>120</v>
      </c>
      <c r="GC61" s="5">
        <v>3</v>
      </c>
      <c r="GD61" s="5">
        <v>20</v>
      </c>
      <c r="GE61" s="5">
        <v>24</v>
      </c>
      <c r="GF61" s="5">
        <v>1</v>
      </c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</row>
    <row r="62" spans="1:201" s="1" customFormat="1" ht="15.75" customHeight="1" x14ac:dyDescent="0.25">
      <c r="A62" s="4" t="s">
        <v>532</v>
      </c>
      <c r="B62" s="5" t="s">
        <v>482</v>
      </c>
      <c r="C62" s="5">
        <v>500</v>
      </c>
      <c r="D62" s="5">
        <v>25</v>
      </c>
      <c r="E62" s="6">
        <v>25</v>
      </c>
      <c r="F62" s="5" t="s">
        <v>469</v>
      </c>
      <c r="G62" s="5">
        <v>0</v>
      </c>
      <c r="H62" s="5">
        <f t="shared" si="0"/>
        <v>300</v>
      </c>
      <c r="I62" s="5">
        <f t="shared" si="4"/>
        <v>157</v>
      </c>
      <c r="J62" s="5">
        <f t="shared" si="2"/>
        <v>145</v>
      </c>
      <c r="K62" s="5">
        <v>40</v>
      </c>
      <c r="L62" s="5">
        <v>1.625</v>
      </c>
      <c r="M62" s="5">
        <v>9</v>
      </c>
      <c r="N62" s="5">
        <v>20</v>
      </c>
      <c r="O62" s="5">
        <v>9</v>
      </c>
      <c r="P62" s="5">
        <v>20</v>
      </c>
      <c r="Q62" s="5">
        <v>40</v>
      </c>
      <c r="R62" s="5" t="s">
        <v>470</v>
      </c>
      <c r="S62" s="5">
        <v>40</v>
      </c>
      <c r="T62" s="5">
        <f t="shared" si="5"/>
        <v>150</v>
      </c>
      <c r="U62" s="5">
        <v>124.0145</v>
      </c>
      <c r="V62" s="5">
        <v>84</v>
      </c>
      <c r="W62" s="5">
        <v>0.625</v>
      </c>
      <c r="X62" s="5">
        <v>40</v>
      </c>
      <c r="Y62" s="5">
        <v>9</v>
      </c>
      <c r="Z62" s="5">
        <v>124.0145</v>
      </c>
      <c r="AA62" s="5">
        <v>98.028999999999996</v>
      </c>
      <c r="AB62" s="5">
        <v>84</v>
      </c>
      <c r="AC62" s="5">
        <v>0.75</v>
      </c>
      <c r="AD62" s="5">
        <v>60</v>
      </c>
      <c r="AE62" s="5">
        <v>6</v>
      </c>
      <c r="AF62" s="5">
        <v>0</v>
      </c>
      <c r="AG62" s="5">
        <v>98.028999999999996</v>
      </c>
      <c r="AH62" s="5">
        <v>72.042500000000004</v>
      </c>
      <c r="AI62" s="5">
        <v>84</v>
      </c>
      <c r="AJ62" s="5">
        <v>0.875</v>
      </c>
      <c r="AK62" s="5">
        <v>60</v>
      </c>
      <c r="AL62" s="5">
        <v>6</v>
      </c>
      <c r="AM62" s="5">
        <v>0</v>
      </c>
      <c r="AN62" s="5">
        <v>72.043499999999995</v>
      </c>
      <c r="AO62" s="5">
        <v>62.680100000000003</v>
      </c>
      <c r="AP62" s="5">
        <v>30.25</v>
      </c>
      <c r="AQ62" s="5">
        <v>1.0625</v>
      </c>
      <c r="AR62" s="5">
        <v>90</v>
      </c>
      <c r="AS62" s="5">
        <v>4</v>
      </c>
      <c r="AT62" s="5">
        <v>60</v>
      </c>
      <c r="AU62" s="5">
        <v>62.680100000000003</v>
      </c>
      <c r="AV62" s="5">
        <v>60</v>
      </c>
      <c r="AW62" s="5">
        <v>17.75</v>
      </c>
      <c r="AX62" s="5">
        <v>1.0625</v>
      </c>
      <c r="AY62" s="5">
        <v>36</v>
      </c>
      <c r="AZ62" s="5">
        <v>10</v>
      </c>
      <c r="BA62" s="5">
        <v>120</v>
      </c>
      <c r="BB62" s="5">
        <v>768</v>
      </c>
      <c r="BC62" s="5">
        <v>120</v>
      </c>
      <c r="BD62" s="5">
        <v>96</v>
      </c>
      <c r="BE62" s="5">
        <v>1</v>
      </c>
      <c r="BF62" s="5">
        <v>120</v>
      </c>
      <c r="BG62" s="5">
        <v>96</v>
      </c>
      <c r="BH62" s="5">
        <v>1</v>
      </c>
      <c r="BI62" s="5">
        <v>120</v>
      </c>
      <c r="BJ62" s="5">
        <v>96</v>
      </c>
      <c r="BK62" s="5">
        <v>1</v>
      </c>
      <c r="BL62" s="5">
        <v>120</v>
      </c>
      <c r="BM62" s="5">
        <v>96</v>
      </c>
      <c r="BN62" s="5">
        <v>1</v>
      </c>
      <c r="BO62" s="5">
        <v>120</v>
      </c>
      <c r="BP62" s="5">
        <v>96</v>
      </c>
      <c r="BQ62" s="5">
        <v>1</v>
      </c>
      <c r="BR62" s="5">
        <v>120</v>
      </c>
      <c r="BS62" s="5">
        <v>96</v>
      </c>
      <c r="BT62" s="5">
        <v>1</v>
      </c>
      <c r="BU62" s="5">
        <v>120</v>
      </c>
      <c r="BV62" s="5">
        <v>96</v>
      </c>
      <c r="BW62" s="5">
        <v>1</v>
      </c>
      <c r="BX62" s="5">
        <v>120</v>
      </c>
      <c r="BY62" s="5">
        <v>96</v>
      </c>
      <c r="BZ62" s="5">
        <v>1</v>
      </c>
      <c r="CA62" s="5" t="s">
        <v>470</v>
      </c>
      <c r="CB62" s="5" t="s">
        <v>470</v>
      </c>
      <c r="CC62" s="5"/>
      <c r="CD62" s="5" t="s">
        <v>470</v>
      </c>
      <c r="CE62" s="5" t="s">
        <v>470</v>
      </c>
      <c r="CF62" s="5"/>
      <c r="CG62" s="5" t="s">
        <v>470</v>
      </c>
      <c r="CH62" s="5" t="s">
        <v>470</v>
      </c>
      <c r="CI62" s="5"/>
      <c r="CJ62" s="5" t="s">
        <v>470</v>
      </c>
      <c r="CK62" s="5" t="s">
        <v>470</v>
      </c>
      <c r="CL62" s="5"/>
      <c r="CM62" s="5" t="s">
        <v>470</v>
      </c>
      <c r="CN62" s="5" t="s">
        <v>470</v>
      </c>
      <c r="CO62" s="5"/>
      <c r="CP62" s="5" t="s">
        <v>470</v>
      </c>
      <c r="CQ62" s="5" t="s">
        <v>470</v>
      </c>
      <c r="CR62" s="5"/>
      <c r="CS62" s="5" t="s">
        <v>470</v>
      </c>
      <c r="CT62" s="5" t="s">
        <v>470</v>
      </c>
      <c r="CU62" s="5"/>
      <c r="CV62" s="5" t="s">
        <v>470</v>
      </c>
      <c r="CW62" s="5" t="s">
        <v>470</v>
      </c>
      <c r="CX62" s="5"/>
      <c r="CY62" s="5" t="s">
        <v>470</v>
      </c>
      <c r="CZ62" s="5" t="s">
        <v>470</v>
      </c>
      <c r="DA62" s="5"/>
      <c r="DB62" s="5" t="s">
        <v>470</v>
      </c>
      <c r="DC62" s="5" t="s">
        <v>470</v>
      </c>
      <c r="DD62" s="5"/>
      <c r="DE62" s="5">
        <v>60</v>
      </c>
      <c r="DF62" s="5">
        <v>60</v>
      </c>
      <c r="DG62" s="5">
        <v>77.581999999999994</v>
      </c>
      <c r="DH62" s="5">
        <v>42.4375</v>
      </c>
      <c r="DI62" s="5">
        <v>1.1875</v>
      </c>
      <c r="DJ62" s="5">
        <v>40</v>
      </c>
      <c r="DK62" s="5">
        <v>9</v>
      </c>
      <c r="DL62" s="5">
        <v>137.453125</v>
      </c>
      <c r="DM62" s="5">
        <v>77.5625</v>
      </c>
      <c r="DN62" s="5">
        <v>59.875</v>
      </c>
      <c r="DO62" s="5">
        <v>0.875</v>
      </c>
      <c r="DP62" s="12">
        <v>60</v>
      </c>
      <c r="DQ62" s="5">
        <v>6</v>
      </c>
      <c r="DR62" s="13">
        <v>197.34375</v>
      </c>
      <c r="DS62" s="5">
        <v>137.453125</v>
      </c>
      <c r="DT62" s="5">
        <v>59.875</v>
      </c>
      <c r="DU62" s="5">
        <v>0.6875</v>
      </c>
      <c r="DV62" s="5">
        <v>45</v>
      </c>
      <c r="DW62" s="5">
        <v>8</v>
      </c>
      <c r="DX62" s="5">
        <v>257.21875</v>
      </c>
      <c r="DY62" s="5">
        <v>197.34375</v>
      </c>
      <c r="DZ62" s="5">
        <v>59.875</v>
      </c>
      <c r="EA62" s="5">
        <v>0.625</v>
      </c>
      <c r="EB62" s="5">
        <v>36</v>
      </c>
      <c r="EC62" s="5">
        <v>10</v>
      </c>
      <c r="ED62" s="5" t="s">
        <v>470</v>
      </c>
      <c r="EE62" s="5" t="s">
        <v>470</v>
      </c>
      <c r="EF62" s="5" t="s">
        <v>470</v>
      </c>
      <c r="EG62" s="5" t="s">
        <v>470</v>
      </c>
      <c r="EH62" s="5" t="s">
        <v>470</v>
      </c>
      <c r="EI62" s="5" t="s">
        <v>470</v>
      </c>
      <c r="EJ62" s="5" t="s">
        <v>470</v>
      </c>
      <c r="EK62" s="5" t="s">
        <v>470</v>
      </c>
      <c r="EL62" s="5" t="s">
        <v>470</v>
      </c>
      <c r="EM62" s="5" t="s">
        <v>470</v>
      </c>
      <c r="EN62" s="5" t="s">
        <v>470</v>
      </c>
      <c r="EO62" s="5" t="s">
        <v>470</v>
      </c>
      <c r="EP62" s="5" t="s">
        <v>470</v>
      </c>
      <c r="EQ62" s="5" t="s">
        <v>470</v>
      </c>
      <c r="ER62" s="5" t="s">
        <v>470</v>
      </c>
      <c r="ES62" s="5" t="s">
        <v>470</v>
      </c>
      <c r="ET62" s="5" t="s">
        <v>470</v>
      </c>
      <c r="EU62" s="5" t="s">
        <v>470</v>
      </c>
      <c r="EV62" s="5" t="s">
        <v>470</v>
      </c>
      <c r="EW62" s="5" t="s">
        <v>470</v>
      </c>
      <c r="EX62" s="5" t="s">
        <v>470</v>
      </c>
      <c r="EY62" s="5">
        <v>0.5</v>
      </c>
      <c r="EZ62" s="5">
        <v>227.75</v>
      </c>
      <c r="FA62" s="5">
        <v>30</v>
      </c>
      <c r="FB62" s="5">
        <v>12</v>
      </c>
      <c r="FC62" s="5">
        <v>45</v>
      </c>
      <c r="FD62" s="5">
        <v>96</v>
      </c>
      <c r="FE62" s="5">
        <v>54</v>
      </c>
      <c r="FF62" s="5">
        <v>0.25</v>
      </c>
      <c r="FG62" s="5">
        <v>227.875</v>
      </c>
      <c r="FH62" s="5">
        <v>30</v>
      </c>
      <c r="FI62" s="5">
        <v>12</v>
      </c>
      <c r="FJ62" s="5">
        <v>45</v>
      </c>
      <c r="FK62" s="5">
        <v>96</v>
      </c>
      <c r="FL62" s="5">
        <v>54</v>
      </c>
      <c r="FM62" s="5">
        <v>0.25</v>
      </c>
      <c r="FN62" s="5">
        <v>363.875</v>
      </c>
      <c r="FO62" s="5">
        <v>24</v>
      </c>
      <c r="FP62" s="5">
        <v>15</v>
      </c>
      <c r="FQ62" s="5">
        <v>84.02</v>
      </c>
      <c r="FR62" s="5">
        <v>0</v>
      </c>
      <c r="FS62" s="5">
        <v>54</v>
      </c>
      <c r="FT62" s="5">
        <v>56</v>
      </c>
      <c r="FU62" s="5">
        <v>21</v>
      </c>
      <c r="FV62" s="5">
        <v>26</v>
      </c>
      <c r="FW62" s="5">
        <v>0.5</v>
      </c>
      <c r="FX62" s="5">
        <v>4</v>
      </c>
      <c r="FY62" s="5">
        <v>52</v>
      </c>
      <c r="FZ62" s="5">
        <v>62</v>
      </c>
      <c r="GA62" s="5">
        <v>1.5</v>
      </c>
      <c r="GB62" s="5">
        <v>120</v>
      </c>
      <c r="GC62" s="5">
        <v>3</v>
      </c>
      <c r="GD62" s="5">
        <v>20</v>
      </c>
      <c r="GE62" s="5">
        <v>24</v>
      </c>
      <c r="GF62" s="5">
        <v>1</v>
      </c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</row>
    <row r="63" spans="1:201" s="1" customFormat="1" ht="15.75" customHeight="1" x14ac:dyDescent="0.25">
      <c r="A63" s="4" t="s">
        <v>533</v>
      </c>
      <c r="B63" s="5"/>
      <c r="C63" s="5">
        <v>500</v>
      </c>
      <c r="D63" s="5">
        <v>28</v>
      </c>
      <c r="E63" s="6">
        <v>25</v>
      </c>
      <c r="F63" s="5" t="s">
        <v>469</v>
      </c>
      <c r="G63" s="5">
        <v>0</v>
      </c>
      <c r="H63" s="5">
        <f t="shared" si="0"/>
        <v>336</v>
      </c>
      <c r="I63" s="5">
        <f t="shared" si="4"/>
        <v>175</v>
      </c>
      <c r="J63" s="5">
        <f t="shared" si="2"/>
        <v>163</v>
      </c>
      <c r="K63" s="5">
        <v>40</v>
      </c>
      <c r="L63" s="5">
        <v>1.5</v>
      </c>
      <c r="M63" s="5">
        <v>9</v>
      </c>
      <c r="N63" s="5">
        <v>20</v>
      </c>
      <c r="O63" s="5">
        <v>9</v>
      </c>
      <c r="P63" s="5">
        <v>20</v>
      </c>
      <c r="Q63" s="5">
        <v>40</v>
      </c>
      <c r="R63" s="5" t="s">
        <v>470</v>
      </c>
      <c r="S63" s="5">
        <v>40</v>
      </c>
      <c r="T63" s="5">
        <f t="shared" si="5"/>
        <v>168</v>
      </c>
      <c r="U63" s="5">
        <v>136.62649999999999</v>
      </c>
      <c r="V63" s="5">
        <v>84</v>
      </c>
      <c r="W63" s="5">
        <v>0.625</v>
      </c>
      <c r="X63" s="5">
        <v>40</v>
      </c>
      <c r="Y63" s="5">
        <v>9</v>
      </c>
      <c r="Z63" s="5">
        <v>136.62649999999999</v>
      </c>
      <c r="AA63" s="5">
        <v>105.2529</v>
      </c>
      <c r="AB63" s="5">
        <v>84</v>
      </c>
      <c r="AC63" s="5">
        <v>0.6875</v>
      </c>
      <c r="AD63" s="5">
        <v>60</v>
      </c>
      <c r="AE63" s="5">
        <v>6</v>
      </c>
      <c r="AF63" s="5">
        <v>0</v>
      </c>
      <c r="AG63" s="5">
        <v>105.2529</v>
      </c>
      <c r="AH63" s="5">
        <v>73.879400000000004</v>
      </c>
      <c r="AI63" s="5">
        <v>84</v>
      </c>
      <c r="AJ63" s="5">
        <v>0.75</v>
      </c>
      <c r="AK63" s="5">
        <v>60</v>
      </c>
      <c r="AL63" s="5">
        <v>6</v>
      </c>
      <c r="AM63" s="5">
        <v>0</v>
      </c>
      <c r="AN63" s="5">
        <v>73.879400000000004</v>
      </c>
      <c r="AO63" s="5">
        <v>63.792499999999997</v>
      </c>
      <c r="AP63" s="5">
        <v>27</v>
      </c>
      <c r="AQ63" s="5">
        <v>0.8125</v>
      </c>
      <c r="AR63" s="5">
        <v>90</v>
      </c>
      <c r="AS63" s="5">
        <v>4</v>
      </c>
      <c r="AT63" s="5">
        <v>60</v>
      </c>
      <c r="AU63" s="5">
        <v>63.792499999999997</v>
      </c>
      <c r="AV63" s="5">
        <v>60</v>
      </c>
      <c r="AW63" s="5">
        <v>21</v>
      </c>
      <c r="AX63" s="5">
        <v>0.8125</v>
      </c>
      <c r="AY63" s="5">
        <v>36</v>
      </c>
      <c r="AZ63" s="5">
        <v>10</v>
      </c>
      <c r="BA63" s="5">
        <v>120</v>
      </c>
      <c r="BB63" s="5">
        <v>768</v>
      </c>
      <c r="BC63" s="5">
        <v>120</v>
      </c>
      <c r="BD63" s="5">
        <v>96</v>
      </c>
      <c r="BE63" s="5">
        <v>1</v>
      </c>
      <c r="BF63" s="5">
        <v>120</v>
      </c>
      <c r="BG63" s="5">
        <v>96</v>
      </c>
      <c r="BH63" s="5">
        <v>1</v>
      </c>
      <c r="BI63" s="5">
        <v>120</v>
      </c>
      <c r="BJ63" s="5">
        <v>96</v>
      </c>
      <c r="BK63" s="5">
        <v>1</v>
      </c>
      <c r="BL63" s="5">
        <v>120</v>
      </c>
      <c r="BM63" s="5">
        <v>96</v>
      </c>
      <c r="BN63" s="5">
        <v>1</v>
      </c>
      <c r="BO63" s="5">
        <v>120</v>
      </c>
      <c r="BP63" s="5">
        <v>96</v>
      </c>
      <c r="BQ63" s="5">
        <v>1</v>
      </c>
      <c r="BR63" s="5">
        <v>120</v>
      </c>
      <c r="BS63" s="5">
        <v>96</v>
      </c>
      <c r="BT63" s="5">
        <v>1</v>
      </c>
      <c r="BU63" s="5">
        <v>120</v>
      </c>
      <c r="BV63" s="5">
        <v>96</v>
      </c>
      <c r="BW63" s="5">
        <v>1</v>
      </c>
      <c r="BX63" s="5">
        <v>120</v>
      </c>
      <c r="BY63" s="5">
        <v>96</v>
      </c>
      <c r="BZ63" s="5">
        <v>1</v>
      </c>
      <c r="CA63" s="5" t="s">
        <v>470</v>
      </c>
      <c r="CB63" s="5" t="s">
        <v>470</v>
      </c>
      <c r="CC63" s="5"/>
      <c r="CD63" s="5" t="s">
        <v>470</v>
      </c>
      <c r="CE63" s="5" t="s">
        <v>470</v>
      </c>
      <c r="CF63" s="5"/>
      <c r="CG63" s="5" t="s">
        <v>470</v>
      </c>
      <c r="CH63" s="5" t="s">
        <v>470</v>
      </c>
      <c r="CI63" s="5"/>
      <c r="CJ63" s="5" t="s">
        <v>470</v>
      </c>
      <c r="CK63" s="5" t="s">
        <v>470</v>
      </c>
      <c r="CL63" s="5"/>
      <c r="CM63" s="5" t="s">
        <v>470</v>
      </c>
      <c r="CN63" s="5" t="s">
        <v>470</v>
      </c>
      <c r="CO63" s="5"/>
      <c r="CP63" s="5" t="s">
        <v>470</v>
      </c>
      <c r="CQ63" s="5" t="s">
        <v>470</v>
      </c>
      <c r="CR63" s="5"/>
      <c r="CS63" s="5" t="s">
        <v>470</v>
      </c>
      <c r="CT63" s="5" t="s">
        <v>470</v>
      </c>
      <c r="CU63" s="5"/>
      <c r="CV63" s="5" t="s">
        <v>470</v>
      </c>
      <c r="CW63" s="5" t="s">
        <v>470</v>
      </c>
      <c r="CX63" s="5"/>
      <c r="CY63" s="5" t="s">
        <v>470</v>
      </c>
      <c r="CZ63" s="5" t="s">
        <v>470</v>
      </c>
      <c r="DA63" s="5"/>
      <c r="DB63" s="5" t="s">
        <v>470</v>
      </c>
      <c r="DC63" s="5" t="s">
        <v>470</v>
      </c>
      <c r="DD63" s="5"/>
      <c r="DE63" s="5">
        <v>60</v>
      </c>
      <c r="DF63" s="5">
        <v>60</v>
      </c>
      <c r="DG63" s="5">
        <v>77.581999999999994</v>
      </c>
      <c r="DH63" s="5">
        <v>42.4375</v>
      </c>
      <c r="DI63" s="5">
        <v>1.1875</v>
      </c>
      <c r="DJ63" s="5">
        <v>40</v>
      </c>
      <c r="DK63" s="5">
        <v>9</v>
      </c>
      <c r="DL63" s="5">
        <v>137.453125</v>
      </c>
      <c r="DM63" s="5">
        <v>77.5625</v>
      </c>
      <c r="DN63" s="5">
        <v>59.875</v>
      </c>
      <c r="DO63" s="5">
        <v>0.875</v>
      </c>
      <c r="DP63" s="12">
        <v>60</v>
      </c>
      <c r="DQ63" s="5">
        <v>6</v>
      </c>
      <c r="DR63" s="13">
        <v>197.34375</v>
      </c>
      <c r="DS63" s="5">
        <v>137.453125</v>
      </c>
      <c r="DT63" s="5">
        <v>59.875</v>
      </c>
      <c r="DU63" s="5">
        <v>0.6875</v>
      </c>
      <c r="DV63" s="5">
        <v>45</v>
      </c>
      <c r="DW63" s="5">
        <v>8</v>
      </c>
      <c r="DX63" s="5">
        <v>257.21875</v>
      </c>
      <c r="DY63" s="5">
        <v>197.34375</v>
      </c>
      <c r="DZ63" s="5">
        <v>59.875</v>
      </c>
      <c r="EA63" s="5">
        <v>0.625</v>
      </c>
      <c r="EB63" s="5">
        <v>36</v>
      </c>
      <c r="EC63" s="5">
        <v>10</v>
      </c>
      <c r="ED63" s="5" t="s">
        <v>470</v>
      </c>
      <c r="EE63" s="5" t="s">
        <v>470</v>
      </c>
      <c r="EF63" s="5" t="s">
        <v>470</v>
      </c>
      <c r="EG63" s="5" t="s">
        <v>470</v>
      </c>
      <c r="EH63" s="5" t="s">
        <v>470</v>
      </c>
      <c r="EI63" s="5" t="s">
        <v>470</v>
      </c>
      <c r="EJ63" s="5" t="s">
        <v>470</v>
      </c>
      <c r="EK63" s="5" t="s">
        <v>470</v>
      </c>
      <c r="EL63" s="5" t="s">
        <v>470</v>
      </c>
      <c r="EM63" s="5" t="s">
        <v>470</v>
      </c>
      <c r="EN63" s="5" t="s">
        <v>470</v>
      </c>
      <c r="EO63" s="5" t="s">
        <v>470</v>
      </c>
      <c r="EP63" s="5" t="s">
        <v>470</v>
      </c>
      <c r="EQ63" s="5" t="s">
        <v>470</v>
      </c>
      <c r="ER63" s="5" t="s">
        <v>470</v>
      </c>
      <c r="ES63" s="5" t="s">
        <v>470</v>
      </c>
      <c r="ET63" s="5" t="s">
        <v>470</v>
      </c>
      <c r="EU63" s="5" t="s">
        <v>470</v>
      </c>
      <c r="EV63" s="5" t="s">
        <v>470</v>
      </c>
      <c r="EW63" s="5" t="s">
        <v>470</v>
      </c>
      <c r="EX63" s="5" t="s">
        <v>470</v>
      </c>
      <c r="EY63" s="5">
        <v>0.5</v>
      </c>
      <c r="EZ63" s="5">
        <v>227.75</v>
      </c>
      <c r="FA63" s="5">
        <v>30</v>
      </c>
      <c r="FB63" s="5">
        <v>12</v>
      </c>
      <c r="FC63" s="5">
        <v>45</v>
      </c>
      <c r="FD63" s="5">
        <v>96</v>
      </c>
      <c r="FE63" s="5">
        <v>54</v>
      </c>
      <c r="FF63" s="5">
        <v>0.25</v>
      </c>
      <c r="FG63" s="5">
        <v>227.875</v>
      </c>
      <c r="FH63" s="5">
        <v>30</v>
      </c>
      <c r="FI63" s="5">
        <v>12</v>
      </c>
      <c r="FJ63" s="5">
        <v>45</v>
      </c>
      <c r="FK63" s="5">
        <v>96</v>
      </c>
      <c r="FL63" s="5">
        <v>54</v>
      </c>
      <c r="FM63" s="5">
        <v>0.25</v>
      </c>
      <c r="FN63" s="5">
        <v>363.875</v>
      </c>
      <c r="FO63" s="5">
        <v>24</v>
      </c>
      <c r="FP63" s="5">
        <v>15</v>
      </c>
      <c r="FQ63" s="5">
        <v>84.02</v>
      </c>
      <c r="FR63" s="5">
        <v>0</v>
      </c>
      <c r="FS63" s="5">
        <v>54</v>
      </c>
      <c r="FT63" s="5">
        <v>56</v>
      </c>
      <c r="FU63" s="5">
        <v>21</v>
      </c>
      <c r="FV63" s="5">
        <v>26</v>
      </c>
      <c r="FW63" s="5">
        <v>0.5</v>
      </c>
      <c r="FX63" s="5">
        <v>4</v>
      </c>
      <c r="FY63" s="5">
        <v>52</v>
      </c>
      <c r="FZ63" s="5">
        <v>62</v>
      </c>
      <c r="GA63" s="5">
        <v>1.5</v>
      </c>
      <c r="GB63" s="5">
        <v>120</v>
      </c>
      <c r="GC63" s="5">
        <v>3</v>
      </c>
      <c r="GD63" s="5">
        <v>20</v>
      </c>
      <c r="GE63" s="5">
        <v>24</v>
      </c>
      <c r="GF63" s="5">
        <v>1</v>
      </c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</row>
    <row r="64" spans="1:201" s="1" customFormat="1" ht="15.75" customHeight="1" x14ac:dyDescent="0.25">
      <c r="A64" s="4" t="s">
        <v>534</v>
      </c>
      <c r="B64" s="5"/>
      <c r="C64" s="5">
        <v>500</v>
      </c>
      <c r="D64" s="5">
        <v>30</v>
      </c>
      <c r="E64" s="6">
        <v>30</v>
      </c>
      <c r="F64" s="5" t="s">
        <v>469</v>
      </c>
      <c r="G64" s="5">
        <v>0</v>
      </c>
      <c r="H64" s="5">
        <f t="shared" si="0"/>
        <v>360</v>
      </c>
      <c r="I64" s="5">
        <f t="shared" si="4"/>
        <v>187</v>
      </c>
      <c r="J64" s="5">
        <f t="shared" si="2"/>
        <v>175</v>
      </c>
      <c r="K64" s="5">
        <v>30</v>
      </c>
      <c r="L64" s="5">
        <v>1.5</v>
      </c>
      <c r="M64" s="5">
        <v>12</v>
      </c>
      <c r="N64" s="5">
        <v>20</v>
      </c>
      <c r="O64" s="5">
        <v>9</v>
      </c>
      <c r="P64" s="5">
        <v>20</v>
      </c>
      <c r="Q64" s="5">
        <v>40</v>
      </c>
      <c r="R64" s="5" t="s">
        <v>470</v>
      </c>
      <c r="S64" s="5">
        <v>40</v>
      </c>
      <c r="T64" s="5">
        <f t="shared" si="5"/>
        <v>180</v>
      </c>
      <c r="U64" s="5">
        <v>151.19999999999999</v>
      </c>
      <c r="V64" s="5">
        <v>84</v>
      </c>
      <c r="W64" s="5">
        <v>0.5625</v>
      </c>
      <c r="X64" s="5">
        <v>30</v>
      </c>
      <c r="Y64" s="5">
        <v>12</v>
      </c>
      <c r="Z64" s="5">
        <v>151.19999999999999</v>
      </c>
      <c r="AA64" s="5">
        <v>122.4</v>
      </c>
      <c r="AB64" s="5">
        <v>84</v>
      </c>
      <c r="AC64" s="5">
        <v>0.625</v>
      </c>
      <c r="AD64" s="5">
        <v>45</v>
      </c>
      <c r="AE64" s="5">
        <v>8</v>
      </c>
      <c r="AF64" s="5">
        <v>0</v>
      </c>
      <c r="AG64" s="5">
        <v>122.4</v>
      </c>
      <c r="AH64" s="5">
        <v>92.914299999999997</v>
      </c>
      <c r="AI64" s="5">
        <v>86</v>
      </c>
      <c r="AJ64" s="5">
        <v>0.6875</v>
      </c>
      <c r="AK64" s="5">
        <v>60</v>
      </c>
      <c r="AL64" s="5">
        <v>6</v>
      </c>
      <c r="AM64" s="5">
        <v>0</v>
      </c>
      <c r="AN64" s="5">
        <v>92.914299999999997</v>
      </c>
      <c r="AO64" s="5">
        <v>63.243200000000002</v>
      </c>
      <c r="AP64" s="5">
        <v>86.5625</v>
      </c>
      <c r="AQ64" s="5">
        <v>0.75</v>
      </c>
      <c r="AR64" s="5">
        <v>90</v>
      </c>
      <c r="AS64" s="5">
        <v>4</v>
      </c>
      <c r="AT64" s="5">
        <v>60</v>
      </c>
      <c r="AU64" s="5">
        <v>63.243200000000002</v>
      </c>
      <c r="AV64" s="5">
        <v>60</v>
      </c>
      <c r="AW64" s="5">
        <v>19.4375</v>
      </c>
      <c r="AX64" s="5">
        <v>0.8125</v>
      </c>
      <c r="AY64" s="5">
        <v>36</v>
      </c>
      <c r="AZ64" s="5">
        <v>10</v>
      </c>
      <c r="BA64" s="5">
        <v>120</v>
      </c>
      <c r="BB64" s="5">
        <v>768</v>
      </c>
      <c r="BC64" s="5">
        <v>120</v>
      </c>
      <c r="BD64" s="5">
        <v>96</v>
      </c>
      <c r="BE64" s="5">
        <v>1</v>
      </c>
      <c r="BF64" s="5">
        <v>120</v>
      </c>
      <c r="BG64" s="5">
        <v>96</v>
      </c>
      <c r="BH64" s="5">
        <v>1</v>
      </c>
      <c r="BI64" s="5">
        <v>120</v>
      </c>
      <c r="BJ64" s="5">
        <v>96</v>
      </c>
      <c r="BK64" s="5">
        <v>1</v>
      </c>
      <c r="BL64" s="5">
        <v>120</v>
      </c>
      <c r="BM64" s="5">
        <v>96</v>
      </c>
      <c r="BN64" s="5">
        <v>1</v>
      </c>
      <c r="BO64" s="5">
        <v>120</v>
      </c>
      <c r="BP64" s="5">
        <v>96</v>
      </c>
      <c r="BQ64" s="5">
        <v>1</v>
      </c>
      <c r="BR64" s="5">
        <v>120</v>
      </c>
      <c r="BS64" s="5">
        <v>96</v>
      </c>
      <c r="BT64" s="5">
        <v>1</v>
      </c>
      <c r="BU64" s="5">
        <v>120</v>
      </c>
      <c r="BV64" s="5">
        <v>96</v>
      </c>
      <c r="BW64" s="5">
        <v>1</v>
      </c>
      <c r="BX64" s="5">
        <v>120</v>
      </c>
      <c r="BY64" s="5">
        <v>96</v>
      </c>
      <c r="BZ64" s="5">
        <v>1</v>
      </c>
      <c r="CA64" s="5" t="s">
        <v>470</v>
      </c>
      <c r="CB64" s="5" t="s">
        <v>470</v>
      </c>
      <c r="CC64" s="5"/>
      <c r="CD64" s="5" t="s">
        <v>470</v>
      </c>
      <c r="CE64" s="5" t="s">
        <v>470</v>
      </c>
      <c r="CF64" s="5"/>
      <c r="CG64" s="5" t="s">
        <v>470</v>
      </c>
      <c r="CH64" s="5" t="s">
        <v>470</v>
      </c>
      <c r="CI64" s="5"/>
      <c r="CJ64" s="5" t="s">
        <v>470</v>
      </c>
      <c r="CK64" s="5" t="s">
        <v>470</v>
      </c>
      <c r="CL64" s="5"/>
      <c r="CM64" s="5" t="s">
        <v>470</v>
      </c>
      <c r="CN64" s="5" t="s">
        <v>470</v>
      </c>
      <c r="CO64" s="5"/>
      <c r="CP64" s="5" t="s">
        <v>470</v>
      </c>
      <c r="CQ64" s="5" t="s">
        <v>470</v>
      </c>
      <c r="CR64" s="5"/>
      <c r="CS64" s="5" t="s">
        <v>470</v>
      </c>
      <c r="CT64" s="5" t="s">
        <v>470</v>
      </c>
      <c r="CU64" s="5"/>
      <c r="CV64" s="5" t="s">
        <v>470</v>
      </c>
      <c r="CW64" s="5" t="s">
        <v>470</v>
      </c>
      <c r="CX64" s="5"/>
      <c r="CY64" s="5" t="s">
        <v>470</v>
      </c>
      <c r="CZ64" s="5" t="s">
        <v>470</v>
      </c>
      <c r="DA64" s="5"/>
      <c r="DB64" s="5" t="s">
        <v>470</v>
      </c>
      <c r="DC64" s="5" t="s">
        <v>470</v>
      </c>
      <c r="DD64" s="5"/>
      <c r="DE64" s="5">
        <v>60</v>
      </c>
      <c r="DF64" s="5">
        <v>60</v>
      </c>
      <c r="DG64" s="5">
        <v>77.581999999999994</v>
      </c>
      <c r="DH64" s="5">
        <v>42.4375</v>
      </c>
      <c r="DI64" s="5">
        <v>1.1875</v>
      </c>
      <c r="DJ64" s="5">
        <v>40</v>
      </c>
      <c r="DK64" s="5">
        <v>9</v>
      </c>
      <c r="DL64" s="5">
        <v>137.453125</v>
      </c>
      <c r="DM64" s="5">
        <v>77.5625</v>
      </c>
      <c r="DN64" s="5">
        <v>59.875</v>
      </c>
      <c r="DO64" s="5">
        <v>0.875</v>
      </c>
      <c r="DP64" s="12">
        <v>60</v>
      </c>
      <c r="DQ64" s="5">
        <v>6</v>
      </c>
      <c r="DR64" s="13">
        <v>197.34375</v>
      </c>
      <c r="DS64" s="5">
        <v>137.453125</v>
      </c>
      <c r="DT64" s="5">
        <v>59.875</v>
      </c>
      <c r="DU64" s="5">
        <v>0.6875</v>
      </c>
      <c r="DV64" s="5">
        <v>45</v>
      </c>
      <c r="DW64" s="5">
        <v>8</v>
      </c>
      <c r="DX64" s="5">
        <v>257.21875</v>
      </c>
      <c r="DY64" s="5">
        <v>197.34375</v>
      </c>
      <c r="DZ64" s="5">
        <v>59.875</v>
      </c>
      <c r="EA64" s="5">
        <v>0.625</v>
      </c>
      <c r="EB64" s="5">
        <v>36</v>
      </c>
      <c r="EC64" s="5">
        <v>10</v>
      </c>
      <c r="ED64" s="5" t="s">
        <v>470</v>
      </c>
      <c r="EE64" s="5" t="s">
        <v>470</v>
      </c>
      <c r="EF64" s="5" t="s">
        <v>470</v>
      </c>
      <c r="EG64" s="5" t="s">
        <v>470</v>
      </c>
      <c r="EH64" s="5" t="s">
        <v>470</v>
      </c>
      <c r="EI64" s="5" t="s">
        <v>470</v>
      </c>
      <c r="EJ64" s="5" t="s">
        <v>470</v>
      </c>
      <c r="EK64" s="5" t="s">
        <v>470</v>
      </c>
      <c r="EL64" s="5" t="s">
        <v>470</v>
      </c>
      <c r="EM64" s="5" t="s">
        <v>470</v>
      </c>
      <c r="EN64" s="5" t="s">
        <v>470</v>
      </c>
      <c r="EO64" s="5" t="s">
        <v>470</v>
      </c>
      <c r="EP64" s="5" t="s">
        <v>470</v>
      </c>
      <c r="EQ64" s="5" t="s">
        <v>470</v>
      </c>
      <c r="ER64" s="5" t="s">
        <v>470</v>
      </c>
      <c r="ES64" s="5" t="s">
        <v>470</v>
      </c>
      <c r="ET64" s="5" t="s">
        <v>470</v>
      </c>
      <c r="EU64" s="5" t="s">
        <v>470</v>
      </c>
      <c r="EV64" s="5" t="s">
        <v>470</v>
      </c>
      <c r="EW64" s="5" t="s">
        <v>470</v>
      </c>
      <c r="EX64" s="5" t="s">
        <v>470</v>
      </c>
      <c r="EY64" s="5">
        <v>0.5</v>
      </c>
      <c r="EZ64" s="5">
        <v>227.75</v>
      </c>
      <c r="FA64" s="5">
        <v>30</v>
      </c>
      <c r="FB64" s="5">
        <v>12</v>
      </c>
      <c r="FC64" s="5">
        <v>45</v>
      </c>
      <c r="FD64" s="5">
        <v>96</v>
      </c>
      <c r="FE64" s="5">
        <v>54</v>
      </c>
      <c r="FF64" s="5">
        <v>0.25</v>
      </c>
      <c r="FG64" s="5">
        <v>227.875</v>
      </c>
      <c r="FH64" s="5">
        <v>30</v>
      </c>
      <c r="FI64" s="5">
        <v>12</v>
      </c>
      <c r="FJ64" s="5">
        <v>45</v>
      </c>
      <c r="FK64" s="5">
        <v>96</v>
      </c>
      <c r="FL64" s="5">
        <v>54</v>
      </c>
      <c r="FM64" s="5">
        <v>0.25</v>
      </c>
      <c r="FN64" s="5">
        <v>363.875</v>
      </c>
      <c r="FO64" s="5">
        <v>24</v>
      </c>
      <c r="FP64" s="5">
        <v>15</v>
      </c>
      <c r="FQ64" s="5">
        <v>84.02</v>
      </c>
      <c r="FR64" s="5">
        <v>0</v>
      </c>
      <c r="FS64" s="5">
        <v>54</v>
      </c>
      <c r="FT64" s="5">
        <v>56</v>
      </c>
      <c r="FU64" s="5">
        <v>21</v>
      </c>
      <c r="FV64" s="5">
        <v>26</v>
      </c>
      <c r="FW64" s="5">
        <v>0.5</v>
      </c>
      <c r="FX64" s="5">
        <v>4</v>
      </c>
      <c r="FY64" s="5">
        <v>52</v>
      </c>
      <c r="FZ64" s="5">
        <v>62</v>
      </c>
      <c r="GA64" s="5">
        <v>1.5</v>
      </c>
      <c r="GB64" s="5">
        <v>120</v>
      </c>
      <c r="GC64" s="5">
        <v>3</v>
      </c>
      <c r="GD64" s="5">
        <v>20</v>
      </c>
      <c r="GE64" s="5">
        <v>24</v>
      </c>
      <c r="GF64" s="5">
        <v>1</v>
      </c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</row>
    <row r="65" spans="1:201" s="1" customFormat="1" ht="15.75" customHeight="1" x14ac:dyDescent="0.25">
      <c r="A65" s="4" t="s">
        <v>535</v>
      </c>
      <c r="B65" s="5"/>
      <c r="C65" s="5">
        <v>500</v>
      </c>
      <c r="D65" s="5">
        <v>32</v>
      </c>
      <c r="E65" s="6">
        <v>25</v>
      </c>
      <c r="F65" s="5" t="s">
        <v>469</v>
      </c>
      <c r="G65" s="5">
        <v>0</v>
      </c>
      <c r="H65" s="5">
        <f t="shared" si="0"/>
        <v>384</v>
      </c>
      <c r="I65" s="5">
        <f t="shared" si="4"/>
        <v>199</v>
      </c>
      <c r="J65" s="5">
        <f t="shared" si="2"/>
        <v>187</v>
      </c>
      <c r="K65" s="5">
        <v>30</v>
      </c>
      <c r="L65" s="5">
        <v>1.6875</v>
      </c>
      <c r="M65" s="5">
        <v>12</v>
      </c>
      <c r="N65" s="5">
        <v>20</v>
      </c>
      <c r="O65" s="5">
        <v>9</v>
      </c>
      <c r="P65" s="5">
        <v>20</v>
      </c>
      <c r="Q65" s="5">
        <v>40</v>
      </c>
      <c r="R65" s="5" t="s">
        <v>470</v>
      </c>
      <c r="S65" s="5">
        <v>40</v>
      </c>
      <c r="T65" s="5">
        <f t="shared" si="5"/>
        <v>192</v>
      </c>
      <c r="U65" s="5">
        <v>153.3467</v>
      </c>
      <c r="V65" s="5">
        <v>84</v>
      </c>
      <c r="W65" s="5">
        <v>0.625</v>
      </c>
      <c r="X65" s="5">
        <v>30</v>
      </c>
      <c r="Y65" s="5">
        <v>12</v>
      </c>
      <c r="Z65" s="5">
        <v>153.3467</v>
      </c>
      <c r="AA65" s="5">
        <v>114.69329999999999</v>
      </c>
      <c r="AB65" s="5">
        <v>84</v>
      </c>
      <c r="AC65" s="5">
        <v>0.6875</v>
      </c>
      <c r="AD65" s="5">
        <v>36</v>
      </c>
      <c r="AE65" s="5">
        <v>10</v>
      </c>
      <c r="AF65" s="5">
        <v>0</v>
      </c>
      <c r="AG65" s="5">
        <v>114.69329999999999</v>
      </c>
      <c r="AH65" s="5">
        <v>76.040000000000006</v>
      </c>
      <c r="AI65" s="5">
        <v>84</v>
      </c>
      <c r="AJ65" s="5">
        <v>0.75</v>
      </c>
      <c r="AK65" s="5">
        <v>45</v>
      </c>
      <c r="AL65" s="5">
        <v>8</v>
      </c>
      <c r="AM65" s="5">
        <v>0</v>
      </c>
      <c r="AN65" s="5">
        <v>76.040000000000006</v>
      </c>
      <c r="AO65" s="5">
        <v>65.493899999999996</v>
      </c>
      <c r="AP65" s="5">
        <v>22.9375</v>
      </c>
      <c r="AQ65" s="5">
        <v>0.8125</v>
      </c>
      <c r="AR65" s="5">
        <v>90</v>
      </c>
      <c r="AS65" s="5">
        <v>4</v>
      </c>
      <c r="AT65" s="5">
        <v>60</v>
      </c>
      <c r="AU65" s="5">
        <v>65.493899999999996</v>
      </c>
      <c r="AV65" s="5">
        <v>60</v>
      </c>
      <c r="AW65" s="5">
        <v>25.0625</v>
      </c>
      <c r="AX65" s="5">
        <v>0.8125</v>
      </c>
      <c r="AY65" s="5">
        <v>36</v>
      </c>
      <c r="AZ65" s="5">
        <v>10</v>
      </c>
      <c r="BA65" s="5">
        <v>120</v>
      </c>
      <c r="BB65" s="5">
        <v>768</v>
      </c>
      <c r="BC65" s="5">
        <v>120</v>
      </c>
      <c r="BD65" s="5">
        <v>96</v>
      </c>
      <c r="BE65" s="5">
        <v>1</v>
      </c>
      <c r="BF65" s="5">
        <v>120</v>
      </c>
      <c r="BG65" s="5">
        <v>96</v>
      </c>
      <c r="BH65" s="5">
        <v>1</v>
      </c>
      <c r="BI65" s="5">
        <v>120</v>
      </c>
      <c r="BJ65" s="5">
        <v>96</v>
      </c>
      <c r="BK65" s="5">
        <v>1</v>
      </c>
      <c r="BL65" s="5">
        <v>120</v>
      </c>
      <c r="BM65" s="5">
        <v>96</v>
      </c>
      <c r="BN65" s="5">
        <v>1</v>
      </c>
      <c r="BO65" s="5">
        <v>120</v>
      </c>
      <c r="BP65" s="5">
        <v>96</v>
      </c>
      <c r="BQ65" s="5">
        <v>1</v>
      </c>
      <c r="BR65" s="5">
        <v>120</v>
      </c>
      <c r="BS65" s="5">
        <v>96</v>
      </c>
      <c r="BT65" s="5">
        <v>1</v>
      </c>
      <c r="BU65" s="5">
        <v>120</v>
      </c>
      <c r="BV65" s="5">
        <v>96</v>
      </c>
      <c r="BW65" s="5">
        <v>1</v>
      </c>
      <c r="BX65" s="5">
        <v>120</v>
      </c>
      <c r="BY65" s="5">
        <v>96</v>
      </c>
      <c r="BZ65" s="5">
        <v>1</v>
      </c>
      <c r="CA65" s="5" t="s">
        <v>470</v>
      </c>
      <c r="CB65" s="5" t="s">
        <v>470</v>
      </c>
      <c r="CC65" s="5"/>
      <c r="CD65" s="5" t="s">
        <v>470</v>
      </c>
      <c r="CE65" s="5" t="s">
        <v>470</v>
      </c>
      <c r="CF65" s="5"/>
      <c r="CG65" s="5" t="s">
        <v>470</v>
      </c>
      <c r="CH65" s="5" t="s">
        <v>470</v>
      </c>
      <c r="CI65" s="5"/>
      <c r="CJ65" s="5" t="s">
        <v>470</v>
      </c>
      <c r="CK65" s="5" t="s">
        <v>470</v>
      </c>
      <c r="CL65" s="5"/>
      <c r="CM65" s="5" t="s">
        <v>470</v>
      </c>
      <c r="CN65" s="5" t="s">
        <v>470</v>
      </c>
      <c r="CO65" s="5"/>
      <c r="CP65" s="5" t="s">
        <v>470</v>
      </c>
      <c r="CQ65" s="5" t="s">
        <v>470</v>
      </c>
      <c r="CR65" s="5"/>
      <c r="CS65" s="5" t="s">
        <v>470</v>
      </c>
      <c r="CT65" s="5" t="s">
        <v>470</v>
      </c>
      <c r="CU65" s="5"/>
      <c r="CV65" s="5" t="s">
        <v>470</v>
      </c>
      <c r="CW65" s="5" t="s">
        <v>470</v>
      </c>
      <c r="CX65" s="5"/>
      <c r="CY65" s="5" t="s">
        <v>470</v>
      </c>
      <c r="CZ65" s="5" t="s">
        <v>470</v>
      </c>
      <c r="DA65" s="5"/>
      <c r="DB65" s="5" t="s">
        <v>470</v>
      </c>
      <c r="DC65" s="5" t="s">
        <v>470</v>
      </c>
      <c r="DD65" s="5"/>
      <c r="DE65" s="5">
        <v>60</v>
      </c>
      <c r="DF65" s="5">
        <v>60</v>
      </c>
      <c r="DG65" s="5">
        <v>77.581999999999994</v>
      </c>
      <c r="DH65" s="5">
        <v>42.4375</v>
      </c>
      <c r="DI65" s="5">
        <v>1.1875</v>
      </c>
      <c r="DJ65" s="5">
        <v>40</v>
      </c>
      <c r="DK65" s="5">
        <v>9</v>
      </c>
      <c r="DL65" s="5">
        <v>137.453125</v>
      </c>
      <c r="DM65" s="5">
        <v>77.5625</v>
      </c>
      <c r="DN65" s="5">
        <v>59.875</v>
      </c>
      <c r="DO65" s="5">
        <v>0.875</v>
      </c>
      <c r="DP65" s="12">
        <v>60</v>
      </c>
      <c r="DQ65" s="5">
        <v>6</v>
      </c>
      <c r="DR65" s="13">
        <v>197.34375</v>
      </c>
      <c r="DS65" s="5">
        <v>137.453125</v>
      </c>
      <c r="DT65" s="5">
        <v>59.875</v>
      </c>
      <c r="DU65" s="5">
        <v>0.6875</v>
      </c>
      <c r="DV65" s="5">
        <v>45</v>
      </c>
      <c r="DW65" s="5">
        <v>8</v>
      </c>
      <c r="DX65" s="5">
        <v>257.21875</v>
      </c>
      <c r="DY65" s="5">
        <v>197.34375</v>
      </c>
      <c r="DZ65" s="5">
        <v>59.875</v>
      </c>
      <c r="EA65" s="5">
        <v>0.625</v>
      </c>
      <c r="EB65" s="5">
        <v>36</v>
      </c>
      <c r="EC65" s="5">
        <v>10</v>
      </c>
      <c r="ED65" s="5" t="s">
        <v>470</v>
      </c>
      <c r="EE65" s="5" t="s">
        <v>470</v>
      </c>
      <c r="EF65" s="5" t="s">
        <v>470</v>
      </c>
      <c r="EG65" s="5" t="s">
        <v>470</v>
      </c>
      <c r="EH65" s="5" t="s">
        <v>470</v>
      </c>
      <c r="EI65" s="5" t="s">
        <v>470</v>
      </c>
      <c r="EJ65" s="5" t="s">
        <v>470</v>
      </c>
      <c r="EK65" s="5" t="s">
        <v>470</v>
      </c>
      <c r="EL65" s="5" t="s">
        <v>470</v>
      </c>
      <c r="EM65" s="5" t="s">
        <v>470</v>
      </c>
      <c r="EN65" s="5" t="s">
        <v>470</v>
      </c>
      <c r="EO65" s="5" t="s">
        <v>470</v>
      </c>
      <c r="EP65" s="5" t="s">
        <v>470</v>
      </c>
      <c r="EQ65" s="5" t="s">
        <v>470</v>
      </c>
      <c r="ER65" s="5" t="s">
        <v>470</v>
      </c>
      <c r="ES65" s="5" t="s">
        <v>470</v>
      </c>
      <c r="ET65" s="5" t="s">
        <v>470</v>
      </c>
      <c r="EU65" s="5" t="s">
        <v>470</v>
      </c>
      <c r="EV65" s="5" t="s">
        <v>470</v>
      </c>
      <c r="EW65" s="5" t="s">
        <v>470</v>
      </c>
      <c r="EX65" s="5" t="s">
        <v>470</v>
      </c>
      <c r="EY65" s="5">
        <v>0.5</v>
      </c>
      <c r="EZ65" s="5">
        <v>227.75</v>
      </c>
      <c r="FA65" s="5">
        <v>30</v>
      </c>
      <c r="FB65" s="5">
        <v>12</v>
      </c>
      <c r="FC65" s="5">
        <v>45</v>
      </c>
      <c r="FD65" s="5">
        <v>96</v>
      </c>
      <c r="FE65" s="5">
        <v>54</v>
      </c>
      <c r="FF65" s="5">
        <v>0.25</v>
      </c>
      <c r="FG65" s="5">
        <v>227.875</v>
      </c>
      <c r="FH65" s="5">
        <v>30</v>
      </c>
      <c r="FI65" s="5">
        <v>12</v>
      </c>
      <c r="FJ65" s="5">
        <v>45</v>
      </c>
      <c r="FK65" s="5">
        <v>96</v>
      </c>
      <c r="FL65" s="5">
        <v>54</v>
      </c>
      <c r="FM65" s="5">
        <v>0.25</v>
      </c>
      <c r="FN65" s="5">
        <v>363.875</v>
      </c>
      <c r="FO65" s="5">
        <v>24</v>
      </c>
      <c r="FP65" s="5">
        <v>15</v>
      </c>
      <c r="FQ65" s="5">
        <v>84.02</v>
      </c>
      <c r="FR65" s="5">
        <v>0</v>
      </c>
      <c r="FS65" s="5">
        <v>54</v>
      </c>
      <c r="FT65" s="5">
        <v>56</v>
      </c>
      <c r="FU65" s="5">
        <v>21</v>
      </c>
      <c r="FV65" s="5">
        <v>26</v>
      </c>
      <c r="FW65" s="5">
        <v>0.5</v>
      </c>
      <c r="FX65" s="5">
        <v>4</v>
      </c>
      <c r="FY65" s="5">
        <v>52</v>
      </c>
      <c r="FZ65" s="5">
        <v>62</v>
      </c>
      <c r="GA65" s="5">
        <v>1.5</v>
      </c>
      <c r="GB65" s="5">
        <v>120</v>
      </c>
      <c r="GC65" s="5">
        <v>3</v>
      </c>
      <c r="GD65" s="5">
        <v>20</v>
      </c>
      <c r="GE65" s="5">
        <v>24</v>
      </c>
      <c r="GF65" s="5">
        <v>1</v>
      </c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</row>
    <row r="66" spans="1:201" s="1" customFormat="1" ht="15.75" customHeight="1" x14ac:dyDescent="0.25">
      <c r="A66" s="4" t="s">
        <v>536</v>
      </c>
      <c r="B66" s="5"/>
      <c r="C66" s="5">
        <v>500</v>
      </c>
      <c r="D66" s="5">
        <v>32</v>
      </c>
      <c r="E66" s="6">
        <v>28</v>
      </c>
      <c r="F66" s="5" t="s">
        <v>469</v>
      </c>
      <c r="G66" s="5">
        <v>0</v>
      </c>
      <c r="H66" s="5">
        <f t="shared" ref="H66:H76" si="6">D66*12</f>
        <v>384</v>
      </c>
      <c r="I66" s="5">
        <f t="shared" si="4"/>
        <v>199</v>
      </c>
      <c r="J66" s="5">
        <f t="shared" si="2"/>
        <v>187</v>
      </c>
      <c r="K66" s="5">
        <v>30</v>
      </c>
      <c r="L66" s="5">
        <v>2.875</v>
      </c>
      <c r="M66" s="5">
        <v>12</v>
      </c>
      <c r="N66" s="5">
        <v>20</v>
      </c>
      <c r="O66" s="5">
        <v>9</v>
      </c>
      <c r="P66" s="5">
        <v>20</v>
      </c>
      <c r="Q66" s="5">
        <v>40</v>
      </c>
      <c r="R66" s="5" t="s">
        <v>470</v>
      </c>
      <c r="S66" s="5">
        <v>40</v>
      </c>
      <c r="T66" s="5">
        <f t="shared" si="5"/>
        <v>192</v>
      </c>
      <c r="U66" s="5">
        <v>157.8546</v>
      </c>
      <c r="V66" s="5">
        <v>84</v>
      </c>
      <c r="W66" s="5">
        <v>0.625</v>
      </c>
      <c r="X66" s="5">
        <v>30</v>
      </c>
      <c r="Y66" s="5">
        <v>12</v>
      </c>
      <c r="Z66" s="5">
        <v>157.8546</v>
      </c>
      <c r="AA66" s="5">
        <v>123.7672</v>
      </c>
      <c r="AB66" s="5">
        <v>84</v>
      </c>
      <c r="AC66" s="5">
        <v>0.6825</v>
      </c>
      <c r="AD66" s="5">
        <v>40</v>
      </c>
      <c r="AE66" s="5">
        <v>9</v>
      </c>
      <c r="AF66" s="5">
        <v>0</v>
      </c>
      <c r="AG66" s="5">
        <v>123.7672</v>
      </c>
      <c r="AH66" s="5">
        <v>89.6798</v>
      </c>
      <c r="AI66" s="5">
        <v>84</v>
      </c>
      <c r="AJ66" s="5">
        <v>0.625</v>
      </c>
      <c r="AK66" s="5">
        <v>45</v>
      </c>
      <c r="AL66" s="5">
        <v>8</v>
      </c>
      <c r="AM66" s="5">
        <v>0</v>
      </c>
      <c r="AN66" s="5">
        <v>89.6798</v>
      </c>
      <c r="AO66" s="5">
        <v>65.852699999999999</v>
      </c>
      <c r="AP66" s="5">
        <v>57.9375</v>
      </c>
      <c r="AQ66" s="5">
        <v>1.0625</v>
      </c>
      <c r="AR66" s="5">
        <v>60</v>
      </c>
      <c r="AS66" s="5">
        <v>6</v>
      </c>
      <c r="AT66" s="5">
        <v>60</v>
      </c>
      <c r="AU66" s="5">
        <v>65.852699999999999</v>
      </c>
      <c r="AV66" s="5">
        <v>60</v>
      </c>
      <c r="AW66" s="5">
        <v>26.0625</v>
      </c>
      <c r="AX66" s="5">
        <v>1.0625</v>
      </c>
      <c r="AY66" s="5">
        <v>36</v>
      </c>
      <c r="AZ66" s="5">
        <v>10</v>
      </c>
      <c r="BA66" s="5">
        <v>120</v>
      </c>
      <c r="BB66" s="5">
        <v>768</v>
      </c>
      <c r="BC66" s="5">
        <v>120</v>
      </c>
      <c r="BD66" s="5">
        <v>96</v>
      </c>
      <c r="BE66" s="5">
        <v>1</v>
      </c>
      <c r="BF66" s="5">
        <v>120</v>
      </c>
      <c r="BG66" s="5">
        <v>96</v>
      </c>
      <c r="BH66" s="5">
        <v>1</v>
      </c>
      <c r="BI66" s="5">
        <v>120</v>
      </c>
      <c r="BJ66" s="5">
        <v>96</v>
      </c>
      <c r="BK66" s="5">
        <v>1</v>
      </c>
      <c r="BL66" s="5">
        <v>120</v>
      </c>
      <c r="BM66" s="5">
        <v>96</v>
      </c>
      <c r="BN66" s="5">
        <v>1</v>
      </c>
      <c r="BO66" s="5">
        <v>120</v>
      </c>
      <c r="BP66" s="5">
        <v>96</v>
      </c>
      <c r="BQ66" s="5">
        <v>1</v>
      </c>
      <c r="BR66" s="5">
        <v>120</v>
      </c>
      <c r="BS66" s="5">
        <v>96</v>
      </c>
      <c r="BT66" s="5">
        <v>1</v>
      </c>
      <c r="BU66" s="5">
        <v>120</v>
      </c>
      <c r="BV66" s="5">
        <v>96</v>
      </c>
      <c r="BW66" s="5">
        <v>1</v>
      </c>
      <c r="BX66" s="5">
        <v>120</v>
      </c>
      <c r="BY66" s="5">
        <v>96</v>
      </c>
      <c r="BZ66" s="5">
        <v>1</v>
      </c>
      <c r="CA66" s="5" t="s">
        <v>470</v>
      </c>
      <c r="CB66" s="5" t="s">
        <v>470</v>
      </c>
      <c r="CC66" s="5"/>
      <c r="CD66" s="5" t="s">
        <v>470</v>
      </c>
      <c r="CE66" s="5" t="s">
        <v>470</v>
      </c>
      <c r="CF66" s="5"/>
      <c r="CG66" s="5" t="s">
        <v>470</v>
      </c>
      <c r="CH66" s="5" t="s">
        <v>470</v>
      </c>
      <c r="CI66" s="5"/>
      <c r="CJ66" s="5" t="s">
        <v>470</v>
      </c>
      <c r="CK66" s="5" t="s">
        <v>470</v>
      </c>
      <c r="CL66" s="5"/>
      <c r="CM66" s="5" t="s">
        <v>470</v>
      </c>
      <c r="CN66" s="5" t="s">
        <v>470</v>
      </c>
      <c r="CO66" s="5"/>
      <c r="CP66" s="5" t="s">
        <v>470</v>
      </c>
      <c r="CQ66" s="5" t="s">
        <v>470</v>
      </c>
      <c r="CR66" s="5"/>
      <c r="CS66" s="5" t="s">
        <v>470</v>
      </c>
      <c r="CT66" s="5" t="s">
        <v>470</v>
      </c>
      <c r="CU66" s="5"/>
      <c r="CV66" s="5" t="s">
        <v>470</v>
      </c>
      <c r="CW66" s="5" t="s">
        <v>470</v>
      </c>
      <c r="CX66" s="5"/>
      <c r="CY66" s="5" t="s">
        <v>470</v>
      </c>
      <c r="CZ66" s="5" t="s">
        <v>470</v>
      </c>
      <c r="DA66" s="5"/>
      <c r="DB66" s="5" t="s">
        <v>470</v>
      </c>
      <c r="DC66" s="5" t="s">
        <v>470</v>
      </c>
      <c r="DD66" s="5"/>
      <c r="DE66" s="5">
        <v>60</v>
      </c>
      <c r="DF66" s="5">
        <v>60</v>
      </c>
      <c r="DG66" s="5">
        <v>77.581999999999994</v>
      </c>
      <c r="DH66" s="5">
        <v>42.4375</v>
      </c>
      <c r="DI66" s="5">
        <v>1.1875</v>
      </c>
      <c r="DJ66" s="5">
        <v>40</v>
      </c>
      <c r="DK66" s="5">
        <v>9</v>
      </c>
      <c r="DL66" s="5">
        <v>137.453125</v>
      </c>
      <c r="DM66" s="5">
        <v>77.5625</v>
      </c>
      <c r="DN66" s="5">
        <v>59.875</v>
      </c>
      <c r="DO66" s="5">
        <v>0.875</v>
      </c>
      <c r="DP66" s="12">
        <v>60</v>
      </c>
      <c r="DQ66" s="5">
        <v>6</v>
      </c>
      <c r="DR66" s="13">
        <v>197.34375</v>
      </c>
      <c r="DS66" s="5">
        <v>137.453125</v>
      </c>
      <c r="DT66" s="5">
        <v>59.875</v>
      </c>
      <c r="DU66" s="5">
        <v>0.6875</v>
      </c>
      <c r="DV66" s="5">
        <v>45</v>
      </c>
      <c r="DW66" s="5">
        <v>8</v>
      </c>
      <c r="DX66" s="5">
        <v>257.21875</v>
      </c>
      <c r="DY66" s="5">
        <v>197.34375</v>
      </c>
      <c r="DZ66" s="5">
        <v>59.875</v>
      </c>
      <c r="EA66" s="5">
        <v>0.625</v>
      </c>
      <c r="EB66" s="5">
        <v>36</v>
      </c>
      <c r="EC66" s="5">
        <v>10</v>
      </c>
      <c r="ED66" s="5" t="s">
        <v>470</v>
      </c>
      <c r="EE66" s="5" t="s">
        <v>470</v>
      </c>
      <c r="EF66" s="5" t="s">
        <v>470</v>
      </c>
      <c r="EG66" s="5" t="s">
        <v>470</v>
      </c>
      <c r="EH66" s="5" t="s">
        <v>470</v>
      </c>
      <c r="EI66" s="5" t="s">
        <v>470</v>
      </c>
      <c r="EJ66" s="5" t="s">
        <v>470</v>
      </c>
      <c r="EK66" s="5" t="s">
        <v>470</v>
      </c>
      <c r="EL66" s="5" t="s">
        <v>470</v>
      </c>
      <c r="EM66" s="5" t="s">
        <v>470</v>
      </c>
      <c r="EN66" s="5" t="s">
        <v>470</v>
      </c>
      <c r="EO66" s="5" t="s">
        <v>470</v>
      </c>
      <c r="EP66" s="5" t="s">
        <v>470</v>
      </c>
      <c r="EQ66" s="5" t="s">
        <v>470</v>
      </c>
      <c r="ER66" s="5" t="s">
        <v>470</v>
      </c>
      <c r="ES66" s="5" t="s">
        <v>470</v>
      </c>
      <c r="ET66" s="5" t="s">
        <v>470</v>
      </c>
      <c r="EU66" s="5" t="s">
        <v>470</v>
      </c>
      <c r="EV66" s="5" t="s">
        <v>470</v>
      </c>
      <c r="EW66" s="5" t="s">
        <v>470</v>
      </c>
      <c r="EX66" s="5" t="s">
        <v>470</v>
      </c>
      <c r="EY66" s="5">
        <v>0.5</v>
      </c>
      <c r="EZ66" s="5">
        <v>227.75</v>
      </c>
      <c r="FA66" s="5">
        <v>30</v>
      </c>
      <c r="FB66" s="5">
        <v>12</v>
      </c>
      <c r="FC66" s="5">
        <v>45</v>
      </c>
      <c r="FD66" s="5">
        <v>96</v>
      </c>
      <c r="FE66" s="5">
        <v>54</v>
      </c>
      <c r="FF66" s="5">
        <v>0.25</v>
      </c>
      <c r="FG66" s="5">
        <v>227.875</v>
      </c>
      <c r="FH66" s="5">
        <v>30</v>
      </c>
      <c r="FI66" s="5">
        <v>12</v>
      </c>
      <c r="FJ66" s="5">
        <v>45</v>
      </c>
      <c r="FK66" s="5">
        <v>96</v>
      </c>
      <c r="FL66" s="5">
        <v>54</v>
      </c>
      <c r="FM66" s="5">
        <v>0.25</v>
      </c>
      <c r="FN66" s="5">
        <v>363.875</v>
      </c>
      <c r="FO66" s="5">
        <v>24</v>
      </c>
      <c r="FP66" s="5">
        <v>15</v>
      </c>
      <c r="FQ66" s="5">
        <v>84.02</v>
      </c>
      <c r="FR66" s="5">
        <v>0</v>
      </c>
      <c r="FS66" s="5">
        <v>54</v>
      </c>
      <c r="FT66" s="5">
        <v>56</v>
      </c>
      <c r="FU66" s="5">
        <v>21</v>
      </c>
      <c r="FV66" s="5">
        <v>26</v>
      </c>
      <c r="FW66" s="5">
        <v>0.5</v>
      </c>
      <c r="FX66" s="5">
        <v>4</v>
      </c>
      <c r="FY66" s="5">
        <v>52</v>
      </c>
      <c r="FZ66" s="5">
        <v>62</v>
      </c>
      <c r="GA66" s="5">
        <v>1.5</v>
      </c>
      <c r="GB66" s="5">
        <v>120</v>
      </c>
      <c r="GC66" s="5">
        <v>3</v>
      </c>
      <c r="GD66" s="5">
        <v>20</v>
      </c>
      <c r="GE66" s="5">
        <v>24</v>
      </c>
      <c r="GF66" s="5">
        <v>1</v>
      </c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</row>
    <row r="67" spans="1:201" s="1" customFormat="1" ht="15.75" customHeight="1" x14ac:dyDescent="0.25">
      <c r="A67" s="4" t="s">
        <v>537</v>
      </c>
      <c r="B67" s="5"/>
      <c r="C67" s="5">
        <v>500</v>
      </c>
      <c r="D67" s="5">
        <v>32</v>
      </c>
      <c r="E67" s="6">
        <v>30</v>
      </c>
      <c r="F67" s="5" t="s">
        <v>469</v>
      </c>
      <c r="G67" s="5">
        <v>0</v>
      </c>
      <c r="H67" s="5">
        <f t="shared" si="6"/>
        <v>384</v>
      </c>
      <c r="I67" s="5">
        <f t="shared" si="4"/>
        <v>199</v>
      </c>
      <c r="J67" s="5">
        <f t="shared" ref="J67:J76" si="7">I67-12</f>
        <v>187</v>
      </c>
      <c r="K67" s="5">
        <v>30</v>
      </c>
      <c r="L67" s="5">
        <v>1.25</v>
      </c>
      <c r="M67" s="5">
        <v>12</v>
      </c>
      <c r="N67" s="5">
        <v>20</v>
      </c>
      <c r="O67" s="5">
        <v>9</v>
      </c>
      <c r="P67" s="5">
        <v>20</v>
      </c>
      <c r="Q67" s="5">
        <v>40</v>
      </c>
      <c r="R67" s="5" t="s">
        <v>470</v>
      </c>
      <c r="S67" s="5">
        <v>40</v>
      </c>
      <c r="T67" s="5">
        <f t="shared" si="5"/>
        <v>192</v>
      </c>
      <c r="U67" s="5">
        <v>160.23230000000001</v>
      </c>
      <c r="V67" s="5">
        <v>84</v>
      </c>
      <c r="W67" s="5">
        <v>0.5625</v>
      </c>
      <c r="X67" s="5">
        <v>30</v>
      </c>
      <c r="Y67" s="5">
        <v>12</v>
      </c>
      <c r="Z67" s="5">
        <v>160.23230000000001</v>
      </c>
      <c r="AA67" s="5">
        <v>128.46449999999999</v>
      </c>
      <c r="AB67" s="5">
        <v>84</v>
      </c>
      <c r="AC67" s="5">
        <v>0.625</v>
      </c>
      <c r="AD67" s="5">
        <v>36</v>
      </c>
      <c r="AE67" s="5">
        <v>10</v>
      </c>
      <c r="AF67" s="5">
        <v>0</v>
      </c>
      <c r="AG67" s="5">
        <v>128.46449999999999</v>
      </c>
      <c r="AH67" s="5">
        <v>96.696799999999996</v>
      </c>
      <c r="AI67" s="5">
        <v>84</v>
      </c>
      <c r="AJ67" s="5">
        <v>0.75</v>
      </c>
      <c r="AK67" s="5">
        <v>45</v>
      </c>
      <c r="AL67" s="5">
        <v>8</v>
      </c>
      <c r="AM67" s="5">
        <v>0</v>
      </c>
      <c r="AN67" s="5">
        <v>96.696799999999996</v>
      </c>
      <c r="AO67" s="5">
        <v>63.879300000000001</v>
      </c>
      <c r="AP67" s="5">
        <v>86.75</v>
      </c>
      <c r="AQ67" s="5">
        <v>0.6875</v>
      </c>
      <c r="AR67" s="5">
        <v>60</v>
      </c>
      <c r="AS67" s="5">
        <v>6</v>
      </c>
      <c r="AT67" s="5">
        <v>60</v>
      </c>
      <c r="AU67" s="5">
        <v>63.879300000000001</v>
      </c>
      <c r="AV67" s="5">
        <v>60</v>
      </c>
      <c r="AW67" s="5">
        <v>21.25</v>
      </c>
      <c r="AX67" s="5">
        <v>1.25</v>
      </c>
      <c r="AY67" s="5">
        <v>36</v>
      </c>
      <c r="AZ67" s="5">
        <v>10</v>
      </c>
      <c r="BA67" s="5">
        <v>120</v>
      </c>
      <c r="BB67" s="5">
        <v>768</v>
      </c>
      <c r="BC67" s="5">
        <v>120</v>
      </c>
      <c r="BD67" s="5">
        <v>96</v>
      </c>
      <c r="BE67" s="5">
        <v>1</v>
      </c>
      <c r="BF67" s="5">
        <v>120</v>
      </c>
      <c r="BG67" s="5">
        <v>96</v>
      </c>
      <c r="BH67" s="5">
        <v>1</v>
      </c>
      <c r="BI67" s="5">
        <v>120</v>
      </c>
      <c r="BJ67" s="5">
        <v>96</v>
      </c>
      <c r="BK67" s="5">
        <v>1</v>
      </c>
      <c r="BL67" s="5">
        <v>120</v>
      </c>
      <c r="BM67" s="5">
        <v>96</v>
      </c>
      <c r="BN67" s="5">
        <v>1</v>
      </c>
      <c r="BO67" s="5">
        <v>120</v>
      </c>
      <c r="BP67" s="5">
        <v>96</v>
      </c>
      <c r="BQ67" s="5">
        <v>1</v>
      </c>
      <c r="BR67" s="5">
        <v>120</v>
      </c>
      <c r="BS67" s="5">
        <v>96</v>
      </c>
      <c r="BT67" s="5">
        <v>1</v>
      </c>
      <c r="BU67" s="5">
        <v>120</v>
      </c>
      <c r="BV67" s="5">
        <v>96</v>
      </c>
      <c r="BW67" s="5">
        <v>1</v>
      </c>
      <c r="BX67" s="5">
        <v>120</v>
      </c>
      <c r="BY67" s="5">
        <v>96</v>
      </c>
      <c r="BZ67" s="5">
        <v>1</v>
      </c>
      <c r="CA67" s="5" t="s">
        <v>470</v>
      </c>
      <c r="CB67" s="5" t="s">
        <v>470</v>
      </c>
      <c r="CC67" s="5"/>
      <c r="CD67" s="5" t="s">
        <v>470</v>
      </c>
      <c r="CE67" s="5" t="s">
        <v>470</v>
      </c>
      <c r="CF67" s="5"/>
      <c r="CG67" s="5" t="s">
        <v>470</v>
      </c>
      <c r="CH67" s="5" t="s">
        <v>470</v>
      </c>
      <c r="CI67" s="5"/>
      <c r="CJ67" s="5" t="s">
        <v>470</v>
      </c>
      <c r="CK67" s="5" t="s">
        <v>470</v>
      </c>
      <c r="CL67" s="5"/>
      <c r="CM67" s="5" t="s">
        <v>470</v>
      </c>
      <c r="CN67" s="5" t="s">
        <v>470</v>
      </c>
      <c r="CO67" s="5"/>
      <c r="CP67" s="5" t="s">
        <v>470</v>
      </c>
      <c r="CQ67" s="5" t="s">
        <v>470</v>
      </c>
      <c r="CR67" s="5"/>
      <c r="CS67" s="5" t="s">
        <v>470</v>
      </c>
      <c r="CT67" s="5" t="s">
        <v>470</v>
      </c>
      <c r="CU67" s="5"/>
      <c r="CV67" s="5" t="s">
        <v>470</v>
      </c>
      <c r="CW67" s="5" t="s">
        <v>470</v>
      </c>
      <c r="CX67" s="5"/>
      <c r="CY67" s="5" t="s">
        <v>470</v>
      </c>
      <c r="CZ67" s="5" t="s">
        <v>470</v>
      </c>
      <c r="DA67" s="5"/>
      <c r="DB67" s="5" t="s">
        <v>470</v>
      </c>
      <c r="DC67" s="5" t="s">
        <v>470</v>
      </c>
      <c r="DD67" s="5"/>
      <c r="DE67" s="5">
        <v>60</v>
      </c>
      <c r="DF67" s="5">
        <v>60</v>
      </c>
      <c r="DG67" s="5">
        <v>77.581999999999994</v>
      </c>
      <c r="DH67" s="5">
        <v>42.4375</v>
      </c>
      <c r="DI67" s="5">
        <v>1.1875</v>
      </c>
      <c r="DJ67" s="5">
        <v>40</v>
      </c>
      <c r="DK67" s="5">
        <v>9</v>
      </c>
      <c r="DL67" s="5">
        <v>137.453125</v>
      </c>
      <c r="DM67" s="5">
        <v>77.5625</v>
      </c>
      <c r="DN67" s="5">
        <v>59.875</v>
      </c>
      <c r="DO67" s="5">
        <v>0.875</v>
      </c>
      <c r="DP67" s="12">
        <v>60</v>
      </c>
      <c r="DQ67" s="5">
        <v>6</v>
      </c>
      <c r="DR67" s="13">
        <v>197.34375</v>
      </c>
      <c r="DS67" s="5">
        <v>137.453125</v>
      </c>
      <c r="DT67" s="5">
        <v>59.875</v>
      </c>
      <c r="DU67" s="5">
        <v>0.6875</v>
      </c>
      <c r="DV67" s="5">
        <v>45</v>
      </c>
      <c r="DW67" s="5">
        <v>8</v>
      </c>
      <c r="DX67" s="5">
        <v>257.21875</v>
      </c>
      <c r="DY67" s="5">
        <v>197.34375</v>
      </c>
      <c r="DZ67" s="5">
        <v>59.875</v>
      </c>
      <c r="EA67" s="5">
        <v>0.625</v>
      </c>
      <c r="EB67" s="5">
        <v>36</v>
      </c>
      <c r="EC67" s="5">
        <v>10</v>
      </c>
      <c r="ED67" s="5" t="s">
        <v>470</v>
      </c>
      <c r="EE67" s="5" t="s">
        <v>470</v>
      </c>
      <c r="EF67" s="5" t="s">
        <v>470</v>
      </c>
      <c r="EG67" s="5" t="s">
        <v>470</v>
      </c>
      <c r="EH67" s="5" t="s">
        <v>470</v>
      </c>
      <c r="EI67" s="5" t="s">
        <v>470</v>
      </c>
      <c r="EJ67" s="5" t="s">
        <v>470</v>
      </c>
      <c r="EK67" s="5" t="s">
        <v>470</v>
      </c>
      <c r="EL67" s="5" t="s">
        <v>470</v>
      </c>
      <c r="EM67" s="5" t="s">
        <v>470</v>
      </c>
      <c r="EN67" s="5" t="s">
        <v>470</v>
      </c>
      <c r="EO67" s="5" t="s">
        <v>470</v>
      </c>
      <c r="EP67" s="5" t="s">
        <v>470</v>
      </c>
      <c r="EQ67" s="5" t="s">
        <v>470</v>
      </c>
      <c r="ER67" s="5" t="s">
        <v>470</v>
      </c>
      <c r="ES67" s="5" t="s">
        <v>470</v>
      </c>
      <c r="ET67" s="5" t="s">
        <v>470</v>
      </c>
      <c r="EU67" s="5" t="s">
        <v>470</v>
      </c>
      <c r="EV67" s="5" t="s">
        <v>470</v>
      </c>
      <c r="EW67" s="5" t="s">
        <v>470</v>
      </c>
      <c r="EX67" s="5" t="s">
        <v>470</v>
      </c>
      <c r="EY67" s="5">
        <v>0.5</v>
      </c>
      <c r="EZ67" s="5">
        <v>227.75</v>
      </c>
      <c r="FA67" s="5">
        <v>30</v>
      </c>
      <c r="FB67" s="5">
        <v>12</v>
      </c>
      <c r="FC67" s="5">
        <v>45</v>
      </c>
      <c r="FD67" s="5">
        <v>96</v>
      </c>
      <c r="FE67" s="5">
        <v>54</v>
      </c>
      <c r="FF67" s="5">
        <v>0.25</v>
      </c>
      <c r="FG67" s="5">
        <v>227.875</v>
      </c>
      <c r="FH67" s="5">
        <v>30</v>
      </c>
      <c r="FI67" s="5">
        <v>12</v>
      </c>
      <c r="FJ67" s="5">
        <v>45</v>
      </c>
      <c r="FK67" s="5">
        <v>96</v>
      </c>
      <c r="FL67" s="5">
        <v>54</v>
      </c>
      <c r="FM67" s="5">
        <v>0.25</v>
      </c>
      <c r="FN67" s="5">
        <v>363.875</v>
      </c>
      <c r="FO67" s="5">
        <v>24</v>
      </c>
      <c r="FP67" s="5">
        <v>15</v>
      </c>
      <c r="FQ67" s="5">
        <v>84.02</v>
      </c>
      <c r="FR67" s="5">
        <v>0</v>
      </c>
      <c r="FS67" s="5">
        <v>54</v>
      </c>
      <c r="FT67" s="5">
        <v>56</v>
      </c>
      <c r="FU67" s="5">
        <v>21</v>
      </c>
      <c r="FV67" s="5">
        <v>26</v>
      </c>
      <c r="FW67" s="5">
        <v>0.5</v>
      </c>
      <c r="FX67" s="5">
        <v>4</v>
      </c>
      <c r="FY67" s="5">
        <v>52</v>
      </c>
      <c r="FZ67" s="5">
        <v>62</v>
      </c>
      <c r="GA67" s="5">
        <v>1.5</v>
      </c>
      <c r="GB67" s="5">
        <v>120</v>
      </c>
      <c r="GC67" s="5">
        <v>3</v>
      </c>
      <c r="GD67" s="5">
        <v>20</v>
      </c>
      <c r="GE67" s="5">
        <v>24</v>
      </c>
      <c r="GF67" s="5">
        <v>1</v>
      </c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</row>
    <row r="68" spans="1:201" s="1" customFormat="1" ht="15.75" customHeight="1" x14ac:dyDescent="0.25">
      <c r="A68" s="4" t="s">
        <v>538</v>
      </c>
      <c r="B68" s="5"/>
      <c r="C68" s="5">
        <v>500</v>
      </c>
      <c r="D68" s="5">
        <v>34</v>
      </c>
      <c r="E68" s="6">
        <v>30</v>
      </c>
      <c r="F68" s="5" t="s">
        <v>469</v>
      </c>
      <c r="G68" s="5">
        <v>0</v>
      </c>
      <c r="H68" s="5">
        <f t="shared" si="6"/>
        <v>408</v>
      </c>
      <c r="I68" s="5">
        <f t="shared" si="4"/>
        <v>211</v>
      </c>
      <c r="J68" s="5">
        <f t="shared" si="7"/>
        <v>199</v>
      </c>
      <c r="K68" s="5">
        <v>30</v>
      </c>
      <c r="L68" s="5">
        <v>1.5</v>
      </c>
      <c r="M68" s="5">
        <v>12</v>
      </c>
      <c r="N68" s="5">
        <v>20</v>
      </c>
      <c r="O68" s="5">
        <v>9</v>
      </c>
      <c r="P68" s="5">
        <v>20</v>
      </c>
      <c r="Q68" s="5">
        <v>40</v>
      </c>
      <c r="R68" s="5" t="s">
        <v>470</v>
      </c>
      <c r="S68" s="5">
        <v>40</v>
      </c>
      <c r="T68" s="5">
        <f t="shared" si="5"/>
        <v>204</v>
      </c>
      <c r="U68" s="5">
        <v>169.25290000000001</v>
      </c>
      <c r="V68" s="5">
        <v>84</v>
      </c>
      <c r="W68" s="5">
        <v>0.625</v>
      </c>
      <c r="X68" s="5">
        <v>30</v>
      </c>
      <c r="Y68" s="5">
        <v>12</v>
      </c>
      <c r="Z68" s="5">
        <v>169.25290000000001</v>
      </c>
      <c r="AA68" s="5">
        <v>134.50579999999999</v>
      </c>
      <c r="AB68" s="5">
        <v>84</v>
      </c>
      <c r="AC68" s="5">
        <v>0.6875</v>
      </c>
      <c r="AD68" s="5">
        <v>40</v>
      </c>
      <c r="AE68" s="5">
        <v>9</v>
      </c>
      <c r="AF68" s="5">
        <v>0</v>
      </c>
      <c r="AG68" s="5">
        <v>134.50579999999999</v>
      </c>
      <c r="AH68" s="5">
        <v>99.758600000000001</v>
      </c>
      <c r="AI68" s="5">
        <v>84</v>
      </c>
      <c r="AJ68" s="5">
        <v>0.6875</v>
      </c>
      <c r="AK68" s="5">
        <v>45</v>
      </c>
      <c r="AL68" s="5">
        <v>8</v>
      </c>
      <c r="AM68" s="5">
        <v>0</v>
      </c>
      <c r="AN68" s="5">
        <v>99.758600000000001</v>
      </c>
      <c r="AO68" s="5">
        <v>64.5625</v>
      </c>
      <c r="AP68" s="5">
        <v>85.0625</v>
      </c>
      <c r="AQ68" s="5">
        <v>0.75</v>
      </c>
      <c r="AR68" s="5">
        <v>60</v>
      </c>
      <c r="AS68" s="5">
        <v>6</v>
      </c>
      <c r="AT68" s="5">
        <v>60</v>
      </c>
      <c r="AU68" s="5">
        <v>64.5625</v>
      </c>
      <c r="AV68" s="5">
        <v>60</v>
      </c>
      <c r="AW68" s="5">
        <v>22.9375</v>
      </c>
      <c r="AX68" s="5">
        <v>0.81125000000000003</v>
      </c>
      <c r="AY68" s="5">
        <v>36</v>
      </c>
      <c r="AZ68" s="5">
        <v>10</v>
      </c>
      <c r="BA68" s="5">
        <v>120</v>
      </c>
      <c r="BB68" s="5">
        <v>768</v>
      </c>
      <c r="BC68" s="5">
        <v>120</v>
      </c>
      <c r="BD68" s="5">
        <v>96</v>
      </c>
      <c r="BE68" s="5">
        <v>1</v>
      </c>
      <c r="BF68" s="5">
        <v>120</v>
      </c>
      <c r="BG68" s="5">
        <v>96</v>
      </c>
      <c r="BH68" s="5">
        <v>1</v>
      </c>
      <c r="BI68" s="5">
        <v>120</v>
      </c>
      <c r="BJ68" s="5">
        <v>96</v>
      </c>
      <c r="BK68" s="5">
        <v>1</v>
      </c>
      <c r="BL68" s="5">
        <v>120</v>
      </c>
      <c r="BM68" s="5">
        <v>96</v>
      </c>
      <c r="BN68" s="5">
        <v>1</v>
      </c>
      <c r="BO68" s="5">
        <v>120</v>
      </c>
      <c r="BP68" s="5">
        <v>96</v>
      </c>
      <c r="BQ68" s="5">
        <v>1</v>
      </c>
      <c r="BR68" s="5">
        <v>120</v>
      </c>
      <c r="BS68" s="5">
        <v>96</v>
      </c>
      <c r="BT68" s="5">
        <v>1</v>
      </c>
      <c r="BU68" s="5">
        <v>120</v>
      </c>
      <c r="BV68" s="5">
        <v>96</v>
      </c>
      <c r="BW68" s="5">
        <v>1</v>
      </c>
      <c r="BX68" s="5">
        <v>120</v>
      </c>
      <c r="BY68" s="5">
        <v>96</v>
      </c>
      <c r="BZ68" s="5">
        <v>1</v>
      </c>
      <c r="CA68" s="5" t="s">
        <v>470</v>
      </c>
      <c r="CB68" s="5" t="s">
        <v>470</v>
      </c>
      <c r="CC68" s="5"/>
      <c r="CD68" s="5" t="s">
        <v>470</v>
      </c>
      <c r="CE68" s="5" t="s">
        <v>470</v>
      </c>
      <c r="CF68" s="5"/>
      <c r="CG68" s="5" t="s">
        <v>470</v>
      </c>
      <c r="CH68" s="5" t="s">
        <v>470</v>
      </c>
      <c r="CI68" s="5"/>
      <c r="CJ68" s="5" t="s">
        <v>470</v>
      </c>
      <c r="CK68" s="5" t="s">
        <v>470</v>
      </c>
      <c r="CL68" s="5"/>
      <c r="CM68" s="5" t="s">
        <v>470</v>
      </c>
      <c r="CN68" s="5" t="s">
        <v>470</v>
      </c>
      <c r="CO68" s="5"/>
      <c r="CP68" s="5" t="s">
        <v>470</v>
      </c>
      <c r="CQ68" s="5" t="s">
        <v>470</v>
      </c>
      <c r="CR68" s="5"/>
      <c r="CS68" s="5" t="s">
        <v>470</v>
      </c>
      <c r="CT68" s="5" t="s">
        <v>470</v>
      </c>
      <c r="CU68" s="5"/>
      <c r="CV68" s="5" t="s">
        <v>470</v>
      </c>
      <c r="CW68" s="5" t="s">
        <v>470</v>
      </c>
      <c r="CX68" s="5"/>
      <c r="CY68" s="5" t="s">
        <v>470</v>
      </c>
      <c r="CZ68" s="5" t="s">
        <v>470</v>
      </c>
      <c r="DA68" s="5"/>
      <c r="DB68" s="5" t="s">
        <v>470</v>
      </c>
      <c r="DC68" s="5" t="s">
        <v>470</v>
      </c>
      <c r="DD68" s="5"/>
      <c r="DE68" s="5">
        <v>60</v>
      </c>
      <c r="DF68" s="5">
        <v>60</v>
      </c>
      <c r="DG68" s="5">
        <v>77.581999999999994</v>
      </c>
      <c r="DH68" s="5">
        <v>42.4375</v>
      </c>
      <c r="DI68" s="5">
        <v>1.1875</v>
      </c>
      <c r="DJ68" s="5">
        <v>40</v>
      </c>
      <c r="DK68" s="5">
        <v>9</v>
      </c>
      <c r="DL68" s="5">
        <v>137.453125</v>
      </c>
      <c r="DM68" s="5">
        <v>77.5625</v>
      </c>
      <c r="DN68" s="5">
        <v>59.875</v>
      </c>
      <c r="DO68" s="5">
        <v>0.875</v>
      </c>
      <c r="DP68" s="12">
        <v>60</v>
      </c>
      <c r="DQ68" s="5">
        <v>6</v>
      </c>
      <c r="DR68" s="13">
        <v>197.34375</v>
      </c>
      <c r="DS68" s="5">
        <v>137.453125</v>
      </c>
      <c r="DT68" s="5">
        <v>59.875</v>
      </c>
      <c r="DU68" s="5">
        <v>0.6875</v>
      </c>
      <c r="DV68" s="5">
        <v>45</v>
      </c>
      <c r="DW68" s="5">
        <v>8</v>
      </c>
      <c r="DX68" s="5">
        <v>257.21875</v>
      </c>
      <c r="DY68" s="5">
        <v>197.34375</v>
      </c>
      <c r="DZ68" s="5">
        <v>59.875</v>
      </c>
      <c r="EA68" s="5">
        <v>0.625</v>
      </c>
      <c r="EB68" s="5">
        <v>36</v>
      </c>
      <c r="EC68" s="5">
        <v>10</v>
      </c>
      <c r="ED68" s="5" t="s">
        <v>470</v>
      </c>
      <c r="EE68" s="5" t="s">
        <v>470</v>
      </c>
      <c r="EF68" s="5" t="s">
        <v>470</v>
      </c>
      <c r="EG68" s="5" t="s">
        <v>470</v>
      </c>
      <c r="EH68" s="5" t="s">
        <v>470</v>
      </c>
      <c r="EI68" s="5" t="s">
        <v>470</v>
      </c>
      <c r="EJ68" s="5" t="s">
        <v>470</v>
      </c>
      <c r="EK68" s="5" t="s">
        <v>470</v>
      </c>
      <c r="EL68" s="5" t="s">
        <v>470</v>
      </c>
      <c r="EM68" s="5" t="s">
        <v>470</v>
      </c>
      <c r="EN68" s="5" t="s">
        <v>470</v>
      </c>
      <c r="EO68" s="5" t="s">
        <v>470</v>
      </c>
      <c r="EP68" s="5" t="s">
        <v>470</v>
      </c>
      <c r="EQ68" s="5" t="s">
        <v>470</v>
      </c>
      <c r="ER68" s="5" t="s">
        <v>470</v>
      </c>
      <c r="ES68" s="5" t="s">
        <v>470</v>
      </c>
      <c r="ET68" s="5" t="s">
        <v>470</v>
      </c>
      <c r="EU68" s="5" t="s">
        <v>470</v>
      </c>
      <c r="EV68" s="5" t="s">
        <v>470</v>
      </c>
      <c r="EW68" s="5" t="s">
        <v>470</v>
      </c>
      <c r="EX68" s="5" t="s">
        <v>470</v>
      </c>
      <c r="EY68" s="5">
        <v>0.5</v>
      </c>
      <c r="EZ68" s="5">
        <v>227.75</v>
      </c>
      <c r="FA68" s="5">
        <v>30</v>
      </c>
      <c r="FB68" s="5">
        <v>12</v>
      </c>
      <c r="FC68" s="5">
        <v>45</v>
      </c>
      <c r="FD68" s="5">
        <v>96</v>
      </c>
      <c r="FE68" s="5">
        <v>54</v>
      </c>
      <c r="FF68" s="5">
        <v>0.25</v>
      </c>
      <c r="FG68" s="5">
        <v>227.875</v>
      </c>
      <c r="FH68" s="5">
        <v>30</v>
      </c>
      <c r="FI68" s="5">
        <v>12</v>
      </c>
      <c r="FJ68" s="5">
        <v>45</v>
      </c>
      <c r="FK68" s="5">
        <v>96</v>
      </c>
      <c r="FL68" s="5">
        <v>54</v>
      </c>
      <c r="FM68" s="5">
        <v>0.25</v>
      </c>
      <c r="FN68" s="5">
        <v>363.875</v>
      </c>
      <c r="FO68" s="5">
        <v>24</v>
      </c>
      <c r="FP68" s="5">
        <v>15</v>
      </c>
      <c r="FQ68" s="5">
        <v>84.02</v>
      </c>
      <c r="FR68" s="5">
        <v>0</v>
      </c>
      <c r="FS68" s="5">
        <v>54</v>
      </c>
      <c r="FT68" s="5">
        <v>56</v>
      </c>
      <c r="FU68" s="5">
        <v>21</v>
      </c>
      <c r="FV68" s="5">
        <v>26</v>
      </c>
      <c r="FW68" s="5">
        <v>0.5</v>
      </c>
      <c r="FX68" s="5">
        <v>4</v>
      </c>
      <c r="FY68" s="5">
        <v>52</v>
      </c>
      <c r="FZ68" s="5">
        <v>62</v>
      </c>
      <c r="GA68" s="5">
        <v>1.5</v>
      </c>
      <c r="GB68" s="5">
        <v>120</v>
      </c>
      <c r="GC68" s="5">
        <v>3</v>
      </c>
      <c r="GD68" s="5">
        <v>20</v>
      </c>
      <c r="GE68" s="5">
        <v>24</v>
      </c>
      <c r="GF68" s="5">
        <v>1</v>
      </c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</row>
    <row r="69" spans="1:201" s="1" customFormat="1" ht="15.75" customHeight="1" x14ac:dyDescent="0.25">
      <c r="A69" s="4" t="s">
        <v>539</v>
      </c>
      <c r="B69" s="5"/>
      <c r="C69" s="5">
        <v>500</v>
      </c>
      <c r="D69" s="5">
        <v>38</v>
      </c>
      <c r="E69" s="6">
        <v>30</v>
      </c>
      <c r="F69" s="5" t="s">
        <v>469</v>
      </c>
      <c r="G69" s="5">
        <v>0</v>
      </c>
      <c r="H69" s="5">
        <f t="shared" si="6"/>
        <v>456</v>
      </c>
      <c r="I69" s="5">
        <f t="shared" ref="I69:I76" si="8">D69*12/2+7</f>
        <v>235</v>
      </c>
      <c r="J69" s="5">
        <f t="shared" si="7"/>
        <v>223</v>
      </c>
      <c r="K69" s="5">
        <v>22.5</v>
      </c>
      <c r="L69" s="5">
        <v>1.625</v>
      </c>
      <c r="M69" s="5">
        <v>16</v>
      </c>
      <c r="N69" s="5">
        <v>20</v>
      </c>
      <c r="O69" s="5">
        <v>9</v>
      </c>
      <c r="P69" s="5">
        <v>20</v>
      </c>
      <c r="Q69" s="5">
        <v>40</v>
      </c>
      <c r="R69" s="5" t="s">
        <v>470</v>
      </c>
      <c r="S69" s="5">
        <v>40</v>
      </c>
      <c r="T69" s="5">
        <f t="shared" ref="T69:T76" si="9">I69-7</f>
        <v>228</v>
      </c>
      <c r="U69" s="5">
        <v>187.2388</v>
      </c>
      <c r="V69" s="5">
        <v>84</v>
      </c>
      <c r="W69" s="5">
        <v>0.6875</v>
      </c>
      <c r="X69" s="5">
        <v>22.5</v>
      </c>
      <c r="Y69" s="5">
        <v>16</v>
      </c>
      <c r="Z69" s="5">
        <v>187.2388</v>
      </c>
      <c r="AA69" s="5">
        <v>146.47749999999999</v>
      </c>
      <c r="AB69" s="5">
        <v>84</v>
      </c>
      <c r="AC69" s="5">
        <v>0.6875</v>
      </c>
      <c r="AD69" s="5">
        <v>30</v>
      </c>
      <c r="AE69" s="5">
        <v>12</v>
      </c>
      <c r="AF69" s="5">
        <v>0</v>
      </c>
      <c r="AG69" s="5">
        <v>146.47749999999999</v>
      </c>
      <c r="AH69" s="5">
        <v>105.7163</v>
      </c>
      <c r="AI69" s="5">
        <v>84</v>
      </c>
      <c r="AJ69" s="5">
        <v>0.75</v>
      </c>
      <c r="AK69" s="5">
        <v>36</v>
      </c>
      <c r="AL69" s="5">
        <v>10</v>
      </c>
      <c r="AM69" s="5">
        <v>0</v>
      </c>
      <c r="AN69" s="5">
        <v>105.7163</v>
      </c>
      <c r="AO69" s="5">
        <v>66.0197</v>
      </c>
      <c r="AP69" s="5">
        <v>81.8125</v>
      </c>
      <c r="AQ69" s="5">
        <v>1</v>
      </c>
      <c r="AR69" s="5">
        <v>45</v>
      </c>
      <c r="AS69" s="5">
        <v>8</v>
      </c>
      <c r="AT69" s="5">
        <v>60</v>
      </c>
      <c r="AU69" s="5">
        <v>66.0197</v>
      </c>
      <c r="AV69" s="5">
        <v>60</v>
      </c>
      <c r="AW69" s="5">
        <v>26.1875</v>
      </c>
      <c r="AX69" s="5">
        <v>1.25</v>
      </c>
      <c r="AY69" s="5">
        <v>36</v>
      </c>
      <c r="AZ69" s="5">
        <v>10</v>
      </c>
      <c r="BA69" s="5">
        <v>120</v>
      </c>
      <c r="BB69" s="5">
        <v>768</v>
      </c>
      <c r="BC69" s="5">
        <v>120</v>
      </c>
      <c r="BD69" s="5">
        <v>96</v>
      </c>
      <c r="BE69" s="5">
        <v>1</v>
      </c>
      <c r="BF69" s="5">
        <v>120</v>
      </c>
      <c r="BG69" s="5">
        <v>96</v>
      </c>
      <c r="BH69" s="5">
        <v>1</v>
      </c>
      <c r="BI69" s="5">
        <v>120</v>
      </c>
      <c r="BJ69" s="5">
        <v>96</v>
      </c>
      <c r="BK69" s="5">
        <v>1</v>
      </c>
      <c r="BL69" s="5">
        <v>120</v>
      </c>
      <c r="BM69" s="5">
        <v>96</v>
      </c>
      <c r="BN69" s="5">
        <v>1</v>
      </c>
      <c r="BO69" s="5">
        <v>120</v>
      </c>
      <c r="BP69" s="5">
        <v>96</v>
      </c>
      <c r="BQ69" s="5">
        <v>1</v>
      </c>
      <c r="BR69" s="5">
        <v>120</v>
      </c>
      <c r="BS69" s="5">
        <v>96</v>
      </c>
      <c r="BT69" s="5">
        <v>1</v>
      </c>
      <c r="BU69" s="5">
        <v>120</v>
      </c>
      <c r="BV69" s="5">
        <v>96</v>
      </c>
      <c r="BW69" s="5">
        <v>1</v>
      </c>
      <c r="BX69" s="5">
        <v>120</v>
      </c>
      <c r="BY69" s="5">
        <v>96</v>
      </c>
      <c r="BZ69" s="5">
        <v>1</v>
      </c>
      <c r="CA69" s="5" t="s">
        <v>470</v>
      </c>
      <c r="CB69" s="5" t="s">
        <v>470</v>
      </c>
      <c r="CC69" s="5"/>
      <c r="CD69" s="5" t="s">
        <v>470</v>
      </c>
      <c r="CE69" s="5" t="s">
        <v>470</v>
      </c>
      <c r="CF69" s="5"/>
      <c r="CG69" s="5" t="s">
        <v>470</v>
      </c>
      <c r="CH69" s="5" t="s">
        <v>470</v>
      </c>
      <c r="CI69" s="5"/>
      <c r="CJ69" s="5" t="s">
        <v>470</v>
      </c>
      <c r="CK69" s="5" t="s">
        <v>470</v>
      </c>
      <c r="CL69" s="5"/>
      <c r="CM69" s="5" t="s">
        <v>470</v>
      </c>
      <c r="CN69" s="5" t="s">
        <v>470</v>
      </c>
      <c r="CO69" s="5"/>
      <c r="CP69" s="5" t="s">
        <v>470</v>
      </c>
      <c r="CQ69" s="5" t="s">
        <v>470</v>
      </c>
      <c r="CR69" s="5"/>
      <c r="CS69" s="5" t="s">
        <v>470</v>
      </c>
      <c r="CT69" s="5" t="s">
        <v>470</v>
      </c>
      <c r="CU69" s="5"/>
      <c r="CV69" s="5" t="s">
        <v>470</v>
      </c>
      <c r="CW69" s="5" t="s">
        <v>470</v>
      </c>
      <c r="CX69" s="5"/>
      <c r="CY69" s="5" t="s">
        <v>470</v>
      </c>
      <c r="CZ69" s="5" t="s">
        <v>470</v>
      </c>
      <c r="DA69" s="5"/>
      <c r="DB69" s="5" t="s">
        <v>470</v>
      </c>
      <c r="DC69" s="5" t="s">
        <v>470</v>
      </c>
      <c r="DD69" s="5"/>
      <c r="DE69" s="5">
        <v>60</v>
      </c>
      <c r="DF69" s="5">
        <v>60</v>
      </c>
      <c r="DG69" s="5">
        <v>77.581999999999994</v>
      </c>
      <c r="DH69" s="5">
        <v>42.4375</v>
      </c>
      <c r="DI69" s="5">
        <v>1.1875</v>
      </c>
      <c r="DJ69" s="5">
        <v>40</v>
      </c>
      <c r="DK69" s="5">
        <v>9</v>
      </c>
      <c r="DL69" s="5">
        <v>137.453125</v>
      </c>
      <c r="DM69" s="5">
        <v>77.5625</v>
      </c>
      <c r="DN69" s="5">
        <v>59.875</v>
      </c>
      <c r="DO69" s="5">
        <v>0.875</v>
      </c>
      <c r="DP69" s="12">
        <v>60</v>
      </c>
      <c r="DQ69" s="5">
        <v>6</v>
      </c>
      <c r="DR69" s="13">
        <v>197.34375</v>
      </c>
      <c r="DS69" s="5">
        <v>137.453125</v>
      </c>
      <c r="DT69" s="5">
        <v>59.875</v>
      </c>
      <c r="DU69" s="5">
        <v>0.6875</v>
      </c>
      <c r="DV69" s="5">
        <v>45</v>
      </c>
      <c r="DW69" s="5">
        <v>8</v>
      </c>
      <c r="DX69" s="5">
        <v>257.21875</v>
      </c>
      <c r="DY69" s="5">
        <v>197.34375</v>
      </c>
      <c r="DZ69" s="5">
        <v>59.875</v>
      </c>
      <c r="EA69" s="5">
        <v>0.625</v>
      </c>
      <c r="EB69" s="5">
        <v>36</v>
      </c>
      <c r="EC69" s="5">
        <v>10</v>
      </c>
      <c r="ED69" s="5" t="s">
        <v>470</v>
      </c>
      <c r="EE69" s="5" t="s">
        <v>470</v>
      </c>
      <c r="EF69" s="5" t="s">
        <v>470</v>
      </c>
      <c r="EG69" s="5" t="s">
        <v>470</v>
      </c>
      <c r="EH69" s="5" t="s">
        <v>470</v>
      </c>
      <c r="EI69" s="5" t="s">
        <v>470</v>
      </c>
      <c r="EJ69" s="5" t="s">
        <v>470</v>
      </c>
      <c r="EK69" s="5" t="s">
        <v>470</v>
      </c>
      <c r="EL69" s="5" t="s">
        <v>470</v>
      </c>
      <c r="EM69" s="5" t="s">
        <v>470</v>
      </c>
      <c r="EN69" s="5" t="s">
        <v>470</v>
      </c>
      <c r="EO69" s="5" t="s">
        <v>470</v>
      </c>
      <c r="EP69" s="5" t="s">
        <v>470</v>
      </c>
      <c r="EQ69" s="5" t="s">
        <v>470</v>
      </c>
      <c r="ER69" s="5" t="s">
        <v>470</v>
      </c>
      <c r="ES69" s="5" t="s">
        <v>470</v>
      </c>
      <c r="ET69" s="5" t="s">
        <v>470</v>
      </c>
      <c r="EU69" s="5" t="s">
        <v>470</v>
      </c>
      <c r="EV69" s="5" t="s">
        <v>470</v>
      </c>
      <c r="EW69" s="5" t="s">
        <v>470</v>
      </c>
      <c r="EX69" s="5" t="s">
        <v>470</v>
      </c>
      <c r="EY69" s="5">
        <v>0.5</v>
      </c>
      <c r="EZ69" s="5">
        <v>227.75</v>
      </c>
      <c r="FA69" s="5">
        <v>30</v>
      </c>
      <c r="FB69" s="5">
        <v>12</v>
      </c>
      <c r="FC69" s="5">
        <v>45</v>
      </c>
      <c r="FD69" s="5">
        <v>96</v>
      </c>
      <c r="FE69" s="5">
        <v>54</v>
      </c>
      <c r="FF69" s="5">
        <v>0.25</v>
      </c>
      <c r="FG69" s="5">
        <v>227.875</v>
      </c>
      <c r="FH69" s="5">
        <v>30</v>
      </c>
      <c r="FI69" s="5">
        <v>12</v>
      </c>
      <c r="FJ69" s="5">
        <v>45</v>
      </c>
      <c r="FK69" s="5">
        <v>96</v>
      </c>
      <c r="FL69" s="5">
        <v>54</v>
      </c>
      <c r="FM69" s="5">
        <v>0.25</v>
      </c>
      <c r="FN69" s="5">
        <v>363.875</v>
      </c>
      <c r="FO69" s="5">
        <v>24</v>
      </c>
      <c r="FP69" s="5">
        <v>15</v>
      </c>
      <c r="FQ69" s="5">
        <v>84.02</v>
      </c>
      <c r="FR69" s="5">
        <v>0</v>
      </c>
      <c r="FS69" s="5">
        <v>54</v>
      </c>
      <c r="FT69" s="5">
        <v>56</v>
      </c>
      <c r="FU69" s="5">
        <v>21</v>
      </c>
      <c r="FV69" s="5">
        <v>26</v>
      </c>
      <c r="FW69" s="5">
        <v>0.5</v>
      </c>
      <c r="FX69" s="5">
        <v>4</v>
      </c>
      <c r="FY69" s="5">
        <v>52</v>
      </c>
      <c r="FZ69" s="5">
        <v>62</v>
      </c>
      <c r="GA69" s="5">
        <v>1.5</v>
      </c>
      <c r="GB69" s="5">
        <v>120</v>
      </c>
      <c r="GC69" s="5">
        <v>3</v>
      </c>
      <c r="GD69" s="5">
        <v>20</v>
      </c>
      <c r="GE69" s="5">
        <v>24</v>
      </c>
      <c r="GF69" s="5">
        <v>1</v>
      </c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</row>
    <row r="70" spans="1:201" s="1" customFormat="1" ht="15.75" customHeight="1" x14ac:dyDescent="0.25">
      <c r="A70" s="4" t="s">
        <v>540</v>
      </c>
      <c r="B70" s="5" t="s">
        <v>541</v>
      </c>
      <c r="C70" s="5">
        <v>500</v>
      </c>
      <c r="D70" s="5">
        <v>40</v>
      </c>
      <c r="E70" s="6">
        <v>30</v>
      </c>
      <c r="F70" s="5" t="s">
        <v>469</v>
      </c>
      <c r="G70" s="5">
        <v>0</v>
      </c>
      <c r="H70" s="5">
        <f t="shared" si="6"/>
        <v>480</v>
      </c>
      <c r="I70" s="5">
        <f t="shared" si="8"/>
        <v>247</v>
      </c>
      <c r="J70" s="5">
        <f t="shared" si="7"/>
        <v>235</v>
      </c>
      <c r="K70" s="5">
        <v>22.5</v>
      </c>
      <c r="L70" s="5">
        <v>1.8125</v>
      </c>
      <c r="M70" s="5">
        <v>16</v>
      </c>
      <c r="N70" s="5">
        <v>20</v>
      </c>
      <c r="O70" s="5">
        <v>9</v>
      </c>
      <c r="P70" s="5">
        <v>20</v>
      </c>
      <c r="Q70" s="5">
        <v>40</v>
      </c>
      <c r="R70" s="5" t="s">
        <v>470</v>
      </c>
      <c r="S70" s="5">
        <v>40</v>
      </c>
      <c r="T70" s="5">
        <f t="shared" si="9"/>
        <v>240</v>
      </c>
      <c r="U70" s="5">
        <v>199.2388</v>
      </c>
      <c r="V70" s="5">
        <v>84</v>
      </c>
      <c r="W70" s="5">
        <v>0.6875</v>
      </c>
      <c r="X70" s="5">
        <v>22.5</v>
      </c>
      <c r="Y70" s="5">
        <v>16</v>
      </c>
      <c r="Z70" s="5">
        <v>19932388</v>
      </c>
      <c r="AA70" s="5">
        <v>158.47749999999999</v>
      </c>
      <c r="AB70" s="5">
        <v>84</v>
      </c>
      <c r="AC70" s="5">
        <v>0.6875</v>
      </c>
      <c r="AD70" s="5">
        <v>30</v>
      </c>
      <c r="AE70" s="5">
        <v>12</v>
      </c>
      <c r="AF70" s="5">
        <v>0</v>
      </c>
      <c r="AG70" s="5">
        <v>158.47749999999999</v>
      </c>
      <c r="AH70" s="5">
        <v>117.7163</v>
      </c>
      <c r="AI70" s="5">
        <v>84</v>
      </c>
      <c r="AJ70" s="5">
        <v>0.8125</v>
      </c>
      <c r="AK70" s="5">
        <v>36</v>
      </c>
      <c r="AL70" s="5">
        <v>10</v>
      </c>
      <c r="AM70" s="5">
        <v>0</v>
      </c>
      <c r="AN70" s="5">
        <v>117.7163</v>
      </c>
      <c r="AO70" s="5">
        <v>78.0197</v>
      </c>
      <c r="AP70" s="5">
        <v>81.8125</v>
      </c>
      <c r="AQ70" s="5">
        <v>1.0625</v>
      </c>
      <c r="AR70" s="5">
        <v>45</v>
      </c>
      <c r="AS70" s="5">
        <v>8</v>
      </c>
      <c r="AT70" s="5">
        <v>72</v>
      </c>
      <c r="AU70" s="5">
        <v>78.0197</v>
      </c>
      <c r="AV70" s="5">
        <v>72</v>
      </c>
      <c r="AW70" s="5">
        <v>26.1875</v>
      </c>
      <c r="AX70" s="5">
        <v>1.25</v>
      </c>
      <c r="AY70" s="5">
        <v>36</v>
      </c>
      <c r="AZ70" s="5">
        <v>10</v>
      </c>
      <c r="BA70" s="5">
        <v>120</v>
      </c>
      <c r="BB70" s="5">
        <v>768</v>
      </c>
      <c r="BC70" s="5">
        <v>120</v>
      </c>
      <c r="BD70" s="5">
        <v>96</v>
      </c>
      <c r="BE70" s="5">
        <v>1</v>
      </c>
      <c r="BF70" s="5">
        <v>120</v>
      </c>
      <c r="BG70" s="5">
        <v>96</v>
      </c>
      <c r="BH70" s="5">
        <v>1</v>
      </c>
      <c r="BI70" s="5">
        <v>120</v>
      </c>
      <c r="BJ70" s="5">
        <v>96</v>
      </c>
      <c r="BK70" s="5">
        <v>1</v>
      </c>
      <c r="BL70" s="5">
        <v>120</v>
      </c>
      <c r="BM70" s="5">
        <v>96</v>
      </c>
      <c r="BN70" s="5">
        <v>1</v>
      </c>
      <c r="BO70" s="5">
        <v>120</v>
      </c>
      <c r="BP70" s="5">
        <v>96</v>
      </c>
      <c r="BQ70" s="5">
        <v>1</v>
      </c>
      <c r="BR70" s="5">
        <v>120</v>
      </c>
      <c r="BS70" s="5">
        <v>96</v>
      </c>
      <c r="BT70" s="5">
        <v>1</v>
      </c>
      <c r="BU70" s="5">
        <v>120</v>
      </c>
      <c r="BV70" s="5">
        <v>96</v>
      </c>
      <c r="BW70" s="5">
        <v>1</v>
      </c>
      <c r="BX70" s="5">
        <v>120</v>
      </c>
      <c r="BY70" s="5">
        <v>96</v>
      </c>
      <c r="BZ70" s="5">
        <v>1</v>
      </c>
      <c r="CA70" s="5" t="s">
        <v>470</v>
      </c>
      <c r="CB70" s="5" t="s">
        <v>470</v>
      </c>
      <c r="CC70" s="5"/>
      <c r="CD70" s="5" t="s">
        <v>470</v>
      </c>
      <c r="CE70" s="5" t="s">
        <v>470</v>
      </c>
      <c r="CF70" s="5"/>
      <c r="CG70" s="5" t="s">
        <v>470</v>
      </c>
      <c r="CH70" s="5" t="s">
        <v>470</v>
      </c>
      <c r="CI70" s="5"/>
      <c r="CJ70" s="5" t="s">
        <v>470</v>
      </c>
      <c r="CK70" s="5" t="s">
        <v>470</v>
      </c>
      <c r="CL70" s="5"/>
      <c r="CM70" s="5" t="s">
        <v>470</v>
      </c>
      <c r="CN70" s="5" t="s">
        <v>470</v>
      </c>
      <c r="CO70" s="5"/>
      <c r="CP70" s="5" t="s">
        <v>470</v>
      </c>
      <c r="CQ70" s="5" t="s">
        <v>470</v>
      </c>
      <c r="CR70" s="5"/>
      <c r="CS70" s="5" t="s">
        <v>470</v>
      </c>
      <c r="CT70" s="5" t="s">
        <v>470</v>
      </c>
      <c r="CU70" s="5"/>
      <c r="CV70" s="5" t="s">
        <v>470</v>
      </c>
      <c r="CW70" s="5" t="s">
        <v>470</v>
      </c>
      <c r="CX70" s="5"/>
      <c r="CY70" s="5" t="s">
        <v>470</v>
      </c>
      <c r="CZ70" s="5" t="s">
        <v>470</v>
      </c>
      <c r="DA70" s="5"/>
      <c r="DB70" s="5" t="s">
        <v>470</v>
      </c>
      <c r="DC70" s="5" t="s">
        <v>470</v>
      </c>
      <c r="DD70" s="5"/>
      <c r="DE70" s="5">
        <v>60</v>
      </c>
      <c r="DF70" s="5">
        <v>60</v>
      </c>
      <c r="DG70" s="5">
        <v>77.581999999999994</v>
      </c>
      <c r="DH70" s="5">
        <v>42.4375</v>
      </c>
      <c r="DI70" s="5">
        <v>1.1875</v>
      </c>
      <c r="DJ70" s="5">
        <v>40</v>
      </c>
      <c r="DK70" s="5">
        <v>9</v>
      </c>
      <c r="DL70" s="5">
        <v>137.453125</v>
      </c>
      <c r="DM70" s="5">
        <v>77.5625</v>
      </c>
      <c r="DN70" s="5">
        <v>59.875</v>
      </c>
      <c r="DO70" s="5">
        <v>0.875</v>
      </c>
      <c r="DP70" s="12">
        <v>60</v>
      </c>
      <c r="DQ70" s="5">
        <v>6</v>
      </c>
      <c r="DR70" s="13">
        <v>197.34375</v>
      </c>
      <c r="DS70" s="5">
        <v>137.453125</v>
      </c>
      <c r="DT70" s="5">
        <v>59.875</v>
      </c>
      <c r="DU70" s="5">
        <v>0.6875</v>
      </c>
      <c r="DV70" s="5">
        <v>45</v>
      </c>
      <c r="DW70" s="5">
        <v>8</v>
      </c>
      <c r="DX70" s="5">
        <v>257.21875</v>
      </c>
      <c r="DY70" s="5">
        <v>197.34375</v>
      </c>
      <c r="DZ70" s="5">
        <v>59.875</v>
      </c>
      <c r="EA70" s="5">
        <v>0.625</v>
      </c>
      <c r="EB70" s="5">
        <v>36</v>
      </c>
      <c r="EC70" s="5">
        <v>10</v>
      </c>
      <c r="ED70" s="5" t="s">
        <v>470</v>
      </c>
      <c r="EE70" s="5" t="s">
        <v>470</v>
      </c>
      <c r="EF70" s="5" t="s">
        <v>470</v>
      </c>
      <c r="EG70" s="5" t="s">
        <v>470</v>
      </c>
      <c r="EH70" s="5" t="s">
        <v>470</v>
      </c>
      <c r="EI70" s="5" t="s">
        <v>470</v>
      </c>
      <c r="EJ70" s="5" t="s">
        <v>470</v>
      </c>
      <c r="EK70" s="5" t="s">
        <v>470</v>
      </c>
      <c r="EL70" s="5" t="s">
        <v>470</v>
      </c>
      <c r="EM70" s="5" t="s">
        <v>470</v>
      </c>
      <c r="EN70" s="5" t="s">
        <v>470</v>
      </c>
      <c r="EO70" s="5" t="s">
        <v>470</v>
      </c>
      <c r="EP70" s="5" t="s">
        <v>470</v>
      </c>
      <c r="EQ70" s="5" t="s">
        <v>470</v>
      </c>
      <c r="ER70" s="5" t="s">
        <v>470</v>
      </c>
      <c r="ES70" s="5" t="s">
        <v>470</v>
      </c>
      <c r="ET70" s="5" t="s">
        <v>470</v>
      </c>
      <c r="EU70" s="5" t="s">
        <v>470</v>
      </c>
      <c r="EV70" s="5" t="s">
        <v>470</v>
      </c>
      <c r="EW70" s="5" t="s">
        <v>470</v>
      </c>
      <c r="EX70" s="5" t="s">
        <v>470</v>
      </c>
      <c r="EY70" s="5">
        <v>0.5</v>
      </c>
      <c r="EZ70" s="5">
        <v>227.75</v>
      </c>
      <c r="FA70" s="5">
        <v>30</v>
      </c>
      <c r="FB70" s="5">
        <v>12</v>
      </c>
      <c r="FC70" s="5">
        <v>45</v>
      </c>
      <c r="FD70" s="5">
        <v>96</v>
      </c>
      <c r="FE70" s="5">
        <v>54</v>
      </c>
      <c r="FF70" s="5">
        <v>0.25</v>
      </c>
      <c r="FG70" s="5">
        <v>227.875</v>
      </c>
      <c r="FH70" s="5">
        <v>30</v>
      </c>
      <c r="FI70" s="5">
        <v>12</v>
      </c>
      <c r="FJ70" s="5">
        <v>45</v>
      </c>
      <c r="FK70" s="5">
        <v>96</v>
      </c>
      <c r="FL70" s="5">
        <v>54</v>
      </c>
      <c r="FM70" s="5">
        <v>0.25</v>
      </c>
      <c r="FN70" s="5">
        <v>363.875</v>
      </c>
      <c r="FO70" s="5">
        <v>24</v>
      </c>
      <c r="FP70" s="5">
        <v>15</v>
      </c>
      <c r="FQ70" s="5">
        <v>84.02</v>
      </c>
      <c r="FR70" s="5">
        <v>0</v>
      </c>
      <c r="FS70" s="5">
        <v>54</v>
      </c>
      <c r="FT70" s="5">
        <v>56</v>
      </c>
      <c r="FU70" s="5">
        <v>21</v>
      </c>
      <c r="FV70" s="5">
        <v>26</v>
      </c>
      <c r="FW70" s="5">
        <v>0.5</v>
      </c>
      <c r="FX70" s="5">
        <v>4</v>
      </c>
      <c r="FY70" s="5">
        <v>52</v>
      </c>
      <c r="FZ70" s="5">
        <v>62</v>
      </c>
      <c r="GA70" s="5">
        <v>1.5</v>
      </c>
      <c r="GB70" s="5">
        <v>120</v>
      </c>
      <c r="GC70" s="5">
        <v>3</v>
      </c>
      <c r="GD70" s="5">
        <v>20</v>
      </c>
      <c r="GE70" s="5">
        <v>24</v>
      </c>
      <c r="GF70" s="5">
        <v>1</v>
      </c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</row>
    <row r="71" spans="1:201" s="1" customFormat="1" ht="15.75" customHeight="1" x14ac:dyDescent="0.25">
      <c r="A71" s="4" t="s">
        <v>542</v>
      </c>
      <c r="B71" s="5"/>
      <c r="C71" s="5">
        <v>600</v>
      </c>
      <c r="D71" s="5">
        <v>28</v>
      </c>
      <c r="E71" s="6">
        <v>25</v>
      </c>
      <c r="F71" s="5" t="s">
        <v>469</v>
      </c>
      <c r="G71" s="5">
        <v>0</v>
      </c>
      <c r="H71" s="5">
        <f t="shared" si="6"/>
        <v>336</v>
      </c>
      <c r="I71" s="5">
        <f t="shared" si="8"/>
        <v>175</v>
      </c>
      <c r="J71" s="5">
        <f t="shared" si="7"/>
        <v>163</v>
      </c>
      <c r="K71" s="5">
        <v>40</v>
      </c>
      <c r="L71" s="5">
        <v>1.75</v>
      </c>
      <c r="M71" s="5">
        <v>9</v>
      </c>
      <c r="N71" s="5">
        <v>16</v>
      </c>
      <c r="O71" s="5">
        <v>11.25</v>
      </c>
      <c r="P71" s="5">
        <v>16</v>
      </c>
      <c r="Q71" s="5">
        <v>32</v>
      </c>
      <c r="R71" s="5" t="s">
        <v>470</v>
      </c>
      <c r="S71" s="5">
        <v>32</v>
      </c>
      <c r="T71" s="5">
        <f t="shared" si="9"/>
        <v>168</v>
      </c>
      <c r="U71" s="5">
        <v>136.62649999999999</v>
      </c>
      <c r="V71" s="5">
        <v>84</v>
      </c>
      <c r="W71" s="5">
        <v>0.6875</v>
      </c>
      <c r="X71" s="5">
        <v>40</v>
      </c>
      <c r="Y71" s="5">
        <v>9</v>
      </c>
      <c r="Z71" s="5">
        <v>136.62649999999999</v>
      </c>
      <c r="AA71" s="5">
        <v>105.2529</v>
      </c>
      <c r="AB71" s="5">
        <v>84</v>
      </c>
      <c r="AC71" s="5">
        <v>0.8125</v>
      </c>
      <c r="AD71" s="5">
        <v>60</v>
      </c>
      <c r="AE71" s="5">
        <v>6</v>
      </c>
      <c r="AF71" s="5">
        <v>0</v>
      </c>
      <c r="AG71" s="5">
        <v>105.2529</v>
      </c>
      <c r="AH71" s="5">
        <v>73.879400000000004</v>
      </c>
      <c r="AI71" s="5">
        <v>84</v>
      </c>
      <c r="AJ71" s="5">
        <v>0.875</v>
      </c>
      <c r="AK71" s="5">
        <v>60</v>
      </c>
      <c r="AL71" s="5">
        <v>6</v>
      </c>
      <c r="AM71" s="5">
        <v>0</v>
      </c>
      <c r="AN71" s="5">
        <v>73.879400000000004</v>
      </c>
      <c r="AO71" s="5">
        <v>63.792499999999997</v>
      </c>
      <c r="AP71" s="5">
        <v>27</v>
      </c>
      <c r="AQ71" s="5">
        <v>1.125</v>
      </c>
      <c r="AR71" s="5">
        <v>90</v>
      </c>
      <c r="AS71" s="5">
        <v>4</v>
      </c>
      <c r="AT71" s="5">
        <v>60</v>
      </c>
      <c r="AU71" s="5">
        <v>63.792499999999997</v>
      </c>
      <c r="AV71" s="5">
        <v>60</v>
      </c>
      <c r="AW71" s="5">
        <v>21</v>
      </c>
      <c r="AX71" s="5">
        <v>1.125</v>
      </c>
      <c r="AY71" s="5">
        <v>36</v>
      </c>
      <c r="AZ71" s="5">
        <v>10</v>
      </c>
      <c r="BA71" s="5">
        <v>120</v>
      </c>
      <c r="BB71" s="5">
        <v>96</v>
      </c>
      <c r="BC71" s="5">
        <v>108</v>
      </c>
      <c r="BD71" s="5">
        <v>96</v>
      </c>
      <c r="BE71" s="5">
        <v>1</v>
      </c>
      <c r="BF71" s="5">
        <v>108</v>
      </c>
      <c r="BG71" s="5">
        <v>96</v>
      </c>
      <c r="BH71" s="5">
        <v>1</v>
      </c>
      <c r="BI71" s="5">
        <v>108</v>
      </c>
      <c r="BJ71" s="5">
        <v>96</v>
      </c>
      <c r="BK71" s="5">
        <v>1</v>
      </c>
      <c r="BL71" s="5">
        <v>108</v>
      </c>
      <c r="BM71" s="5">
        <v>96</v>
      </c>
      <c r="BN71" s="5">
        <v>1</v>
      </c>
      <c r="BO71" s="5">
        <v>108</v>
      </c>
      <c r="BP71" s="5">
        <v>96</v>
      </c>
      <c r="BQ71" s="5">
        <v>1</v>
      </c>
      <c r="BR71" s="5">
        <v>108</v>
      </c>
      <c r="BS71" s="5">
        <v>96</v>
      </c>
      <c r="BT71" s="5">
        <v>1</v>
      </c>
      <c r="BU71" s="5">
        <v>108</v>
      </c>
      <c r="BV71" s="5">
        <v>96</v>
      </c>
      <c r="BW71" s="5">
        <v>1</v>
      </c>
      <c r="BX71" s="5">
        <v>108</v>
      </c>
      <c r="BY71" s="5">
        <v>96</v>
      </c>
      <c r="BZ71" s="5">
        <v>1</v>
      </c>
      <c r="CA71" s="5" t="s">
        <v>470</v>
      </c>
      <c r="CB71" s="5" t="s">
        <v>470</v>
      </c>
      <c r="CC71" s="5"/>
      <c r="CD71" s="5" t="s">
        <v>470</v>
      </c>
      <c r="CE71" s="5" t="s">
        <v>470</v>
      </c>
      <c r="CF71" s="5"/>
      <c r="CG71" s="5" t="s">
        <v>470</v>
      </c>
      <c r="CH71" s="5" t="s">
        <v>470</v>
      </c>
      <c r="CI71" s="5"/>
      <c r="CJ71" s="5" t="s">
        <v>470</v>
      </c>
      <c r="CK71" s="5" t="s">
        <v>470</v>
      </c>
      <c r="CL71" s="5"/>
      <c r="CM71" s="5" t="s">
        <v>470</v>
      </c>
      <c r="CN71" s="5" t="s">
        <v>470</v>
      </c>
      <c r="CO71" s="5"/>
      <c r="CP71" s="5" t="s">
        <v>470</v>
      </c>
      <c r="CQ71" s="5" t="s">
        <v>470</v>
      </c>
      <c r="CR71" s="5"/>
      <c r="CS71" s="5" t="s">
        <v>470</v>
      </c>
      <c r="CT71" s="5" t="s">
        <v>470</v>
      </c>
      <c r="CU71" s="5"/>
      <c r="CV71" s="5" t="s">
        <v>470</v>
      </c>
      <c r="CW71" s="5" t="s">
        <v>470</v>
      </c>
      <c r="CX71" s="5"/>
      <c r="CY71" s="5" t="s">
        <v>470</v>
      </c>
      <c r="CZ71" s="5" t="s">
        <v>470</v>
      </c>
      <c r="DA71" s="5"/>
      <c r="DB71" s="5" t="s">
        <v>470</v>
      </c>
      <c r="DC71" s="5" t="s">
        <v>470</v>
      </c>
      <c r="DD71" s="5"/>
      <c r="DE71" s="5">
        <v>60</v>
      </c>
      <c r="DF71" s="5">
        <v>60</v>
      </c>
      <c r="DG71" s="5">
        <v>77.581900000000005</v>
      </c>
      <c r="DH71" s="5">
        <v>42.4375</v>
      </c>
      <c r="DI71" s="5">
        <v>1.5625</v>
      </c>
      <c r="DJ71" s="5">
        <v>40</v>
      </c>
      <c r="DK71" s="5">
        <v>9</v>
      </c>
      <c r="DL71" s="5">
        <v>125.845</v>
      </c>
      <c r="DM71" s="5">
        <v>77.581900000000005</v>
      </c>
      <c r="DN71" s="5">
        <v>48.25</v>
      </c>
      <c r="DO71" s="5">
        <v>1.125</v>
      </c>
      <c r="DP71" s="12">
        <v>60</v>
      </c>
      <c r="DQ71" s="5">
        <v>6</v>
      </c>
      <c r="DR71" s="13">
        <v>174.10849999999999</v>
      </c>
      <c r="DS71" s="5">
        <v>125.845</v>
      </c>
      <c r="DT71" s="5">
        <v>48.25</v>
      </c>
      <c r="DU71" s="5">
        <v>0.8125</v>
      </c>
      <c r="DV71" s="5">
        <v>45</v>
      </c>
      <c r="DW71" s="5">
        <v>8</v>
      </c>
      <c r="DX71" s="5">
        <v>222.37100000000001</v>
      </c>
      <c r="DY71" s="5">
        <v>174.10849999999999</v>
      </c>
      <c r="DZ71" s="5">
        <v>48.25</v>
      </c>
      <c r="EA71" s="5">
        <v>0.75</v>
      </c>
      <c r="EB71" s="5">
        <v>36</v>
      </c>
      <c r="EC71" s="5">
        <v>10</v>
      </c>
      <c r="ED71" s="5">
        <v>270.63400000000001</v>
      </c>
      <c r="EE71" s="5">
        <v>222.37100000000001</v>
      </c>
      <c r="EF71" s="5">
        <v>48.25</v>
      </c>
      <c r="EG71" s="5">
        <v>0.75</v>
      </c>
      <c r="EH71" s="5">
        <v>30</v>
      </c>
      <c r="EI71" s="5">
        <v>12</v>
      </c>
      <c r="EJ71" s="5">
        <v>318.89690000000002</v>
      </c>
      <c r="EK71" s="5">
        <v>270.63400000000001</v>
      </c>
      <c r="EL71" s="5">
        <v>48.25</v>
      </c>
      <c r="EM71" s="5">
        <v>0.625</v>
      </c>
      <c r="EN71" s="5">
        <v>30</v>
      </c>
      <c r="EO71" s="5">
        <v>12</v>
      </c>
      <c r="EP71" s="5"/>
      <c r="EQ71" s="5"/>
      <c r="ER71" s="5"/>
      <c r="ES71" s="5"/>
      <c r="ET71" s="5"/>
      <c r="EU71" s="5"/>
      <c r="EV71" s="5"/>
      <c r="EW71" s="5"/>
      <c r="EX71" s="5"/>
      <c r="EY71" s="5">
        <v>0.4375</v>
      </c>
      <c r="EZ71" s="5">
        <v>192</v>
      </c>
      <c r="FA71" s="5">
        <v>34</v>
      </c>
      <c r="FB71" s="5">
        <v>10.588200000000001</v>
      </c>
      <c r="FC71" s="5">
        <v>45</v>
      </c>
      <c r="FD71" s="5">
        <v>183</v>
      </c>
      <c r="FE71" s="5" t="s">
        <v>543</v>
      </c>
      <c r="FF71" s="5">
        <v>0.25</v>
      </c>
      <c r="FG71" s="5">
        <v>192</v>
      </c>
      <c r="FH71" s="5">
        <v>34</v>
      </c>
      <c r="FI71" s="5">
        <v>10.588200000000001</v>
      </c>
      <c r="FJ71" s="5">
        <v>45</v>
      </c>
      <c r="FK71" s="5">
        <v>183</v>
      </c>
      <c r="FL71" s="5" t="s">
        <v>543</v>
      </c>
      <c r="FM71" s="5">
        <v>0.25</v>
      </c>
      <c r="FN71" s="5">
        <v>451</v>
      </c>
      <c r="FO71" s="5">
        <v>30</v>
      </c>
      <c r="FP71" s="5">
        <v>12</v>
      </c>
      <c r="FQ71" s="5">
        <v>85.8</v>
      </c>
      <c r="FR71" s="5">
        <v>0</v>
      </c>
      <c r="FS71" s="5" t="s">
        <v>543</v>
      </c>
      <c r="FT71" s="5">
        <v>56</v>
      </c>
      <c r="FU71" s="5">
        <v>24</v>
      </c>
      <c r="FV71" s="5">
        <v>32</v>
      </c>
      <c r="FW71" s="5">
        <v>0.5</v>
      </c>
      <c r="FX71" s="5">
        <v>4</v>
      </c>
      <c r="FY71" s="5">
        <v>52</v>
      </c>
      <c r="FZ71" s="5">
        <v>62</v>
      </c>
      <c r="GA71" s="5">
        <v>1.875</v>
      </c>
      <c r="GB71" s="5">
        <v>120</v>
      </c>
      <c r="GC71" s="5">
        <v>3</v>
      </c>
      <c r="GD71" s="5">
        <v>23</v>
      </c>
      <c r="GE71" s="5">
        <v>27</v>
      </c>
      <c r="GF71" s="5">
        <v>1</v>
      </c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</row>
    <row r="72" spans="1:201" s="1" customFormat="1" ht="15.75" customHeight="1" x14ac:dyDescent="0.25">
      <c r="A72" s="4" t="s">
        <v>544</v>
      </c>
      <c r="B72" s="5"/>
      <c r="C72" s="5">
        <v>600</v>
      </c>
      <c r="D72" s="5">
        <v>32</v>
      </c>
      <c r="E72" s="6">
        <v>30</v>
      </c>
      <c r="F72" s="5" t="s">
        <v>469</v>
      </c>
      <c r="G72" s="5">
        <v>0</v>
      </c>
      <c r="H72" s="5">
        <f t="shared" si="6"/>
        <v>384</v>
      </c>
      <c r="I72" s="5">
        <f t="shared" si="8"/>
        <v>199</v>
      </c>
      <c r="J72" s="5">
        <f t="shared" si="7"/>
        <v>187</v>
      </c>
      <c r="K72" s="5">
        <v>30</v>
      </c>
      <c r="L72" s="5">
        <v>1.625</v>
      </c>
      <c r="M72" s="5">
        <v>12</v>
      </c>
      <c r="N72" s="5">
        <v>28</v>
      </c>
      <c r="O72" s="5">
        <v>6.4286000000000003</v>
      </c>
      <c r="P72" s="5">
        <v>28</v>
      </c>
      <c r="Q72" s="5">
        <v>54</v>
      </c>
      <c r="R72" s="5" t="s">
        <v>470</v>
      </c>
      <c r="S72" s="5">
        <v>28</v>
      </c>
      <c r="T72" s="5">
        <f t="shared" si="9"/>
        <v>192</v>
      </c>
      <c r="U72" s="5">
        <v>160.23230000000001</v>
      </c>
      <c r="V72" s="5">
        <v>84</v>
      </c>
      <c r="W72" s="5">
        <v>0.75</v>
      </c>
      <c r="X72" s="5">
        <v>30</v>
      </c>
      <c r="Y72" s="5">
        <v>12</v>
      </c>
      <c r="Z72" s="5">
        <v>160.23230000000001</v>
      </c>
      <c r="AA72" s="5">
        <v>128.46449999999999</v>
      </c>
      <c r="AB72" s="5">
        <v>84</v>
      </c>
      <c r="AC72" s="5">
        <v>0.8125</v>
      </c>
      <c r="AD72" s="5">
        <v>36</v>
      </c>
      <c r="AE72" s="5">
        <v>10</v>
      </c>
      <c r="AF72" s="5">
        <v>0</v>
      </c>
      <c r="AG72" s="5">
        <v>128.46449999999999</v>
      </c>
      <c r="AH72" s="5">
        <v>96.696799999999996</v>
      </c>
      <c r="AI72" s="5">
        <v>84</v>
      </c>
      <c r="AJ72" s="5">
        <v>0.875</v>
      </c>
      <c r="AK72" s="5">
        <v>45</v>
      </c>
      <c r="AL72" s="5">
        <v>8</v>
      </c>
      <c r="AM72" s="5">
        <v>0</v>
      </c>
      <c r="AN72" s="5">
        <v>96.696799999999996</v>
      </c>
      <c r="AO72" s="5">
        <v>63.879300000000001</v>
      </c>
      <c r="AP72" s="5">
        <v>86.75</v>
      </c>
      <c r="AQ72" s="5">
        <v>1.0625</v>
      </c>
      <c r="AR72" s="5">
        <v>60</v>
      </c>
      <c r="AS72" s="5">
        <v>6</v>
      </c>
      <c r="AT72" s="5">
        <v>60</v>
      </c>
      <c r="AU72" s="5">
        <v>63.879300000000001</v>
      </c>
      <c r="AV72" s="5">
        <v>60</v>
      </c>
      <c r="AW72" s="5">
        <v>21.25</v>
      </c>
      <c r="AX72" s="5">
        <v>1.25</v>
      </c>
      <c r="AY72" s="5">
        <v>36</v>
      </c>
      <c r="AZ72" s="5">
        <v>10</v>
      </c>
      <c r="BA72" s="5">
        <v>120</v>
      </c>
      <c r="BB72" s="5">
        <v>96</v>
      </c>
      <c r="BC72" s="5">
        <v>108</v>
      </c>
      <c r="BD72" s="5">
        <v>96</v>
      </c>
      <c r="BE72" s="5">
        <v>1</v>
      </c>
      <c r="BF72" s="5">
        <v>108</v>
      </c>
      <c r="BG72" s="5">
        <v>96</v>
      </c>
      <c r="BH72" s="5">
        <v>1</v>
      </c>
      <c r="BI72" s="5">
        <v>108</v>
      </c>
      <c r="BJ72" s="5">
        <v>96</v>
      </c>
      <c r="BK72" s="5">
        <v>1</v>
      </c>
      <c r="BL72" s="5">
        <v>108</v>
      </c>
      <c r="BM72" s="5">
        <v>96</v>
      </c>
      <c r="BN72" s="5">
        <v>1</v>
      </c>
      <c r="BO72" s="5">
        <v>108</v>
      </c>
      <c r="BP72" s="5">
        <v>96</v>
      </c>
      <c r="BQ72" s="5">
        <v>1</v>
      </c>
      <c r="BR72" s="5">
        <v>108</v>
      </c>
      <c r="BS72" s="5">
        <v>96</v>
      </c>
      <c r="BT72" s="5">
        <v>1</v>
      </c>
      <c r="BU72" s="5">
        <v>108</v>
      </c>
      <c r="BV72" s="5">
        <v>96</v>
      </c>
      <c r="BW72" s="5">
        <v>1</v>
      </c>
      <c r="BX72" s="5">
        <v>108</v>
      </c>
      <c r="BY72" s="5">
        <v>96</v>
      </c>
      <c r="BZ72" s="5">
        <v>1</v>
      </c>
      <c r="CA72" s="5" t="s">
        <v>470</v>
      </c>
      <c r="CB72" s="5" t="s">
        <v>470</v>
      </c>
      <c r="CC72" s="5"/>
      <c r="CD72" s="5" t="s">
        <v>470</v>
      </c>
      <c r="CE72" s="5" t="s">
        <v>470</v>
      </c>
      <c r="CF72" s="5"/>
      <c r="CG72" s="5" t="s">
        <v>470</v>
      </c>
      <c r="CH72" s="5" t="s">
        <v>470</v>
      </c>
      <c r="CI72" s="5"/>
      <c r="CJ72" s="5" t="s">
        <v>470</v>
      </c>
      <c r="CK72" s="5" t="s">
        <v>470</v>
      </c>
      <c r="CL72" s="5"/>
      <c r="CM72" s="5" t="s">
        <v>470</v>
      </c>
      <c r="CN72" s="5" t="s">
        <v>470</v>
      </c>
      <c r="CO72" s="5"/>
      <c r="CP72" s="5" t="s">
        <v>470</v>
      </c>
      <c r="CQ72" s="5" t="s">
        <v>470</v>
      </c>
      <c r="CR72" s="5"/>
      <c r="CS72" s="5" t="s">
        <v>470</v>
      </c>
      <c r="CT72" s="5" t="s">
        <v>470</v>
      </c>
      <c r="CU72" s="5"/>
      <c r="CV72" s="5" t="s">
        <v>470</v>
      </c>
      <c r="CW72" s="5" t="s">
        <v>470</v>
      </c>
      <c r="CX72" s="5"/>
      <c r="CY72" s="5" t="s">
        <v>470</v>
      </c>
      <c r="CZ72" s="5" t="s">
        <v>470</v>
      </c>
      <c r="DA72" s="5"/>
      <c r="DB72" s="5" t="s">
        <v>470</v>
      </c>
      <c r="DC72" s="5" t="s">
        <v>470</v>
      </c>
      <c r="DD72" s="5"/>
      <c r="DE72" s="5">
        <v>60</v>
      </c>
      <c r="DF72" s="5">
        <v>60</v>
      </c>
      <c r="DG72" s="5">
        <v>77.581900000000005</v>
      </c>
      <c r="DH72" s="5">
        <v>42.4375</v>
      </c>
      <c r="DI72" s="5">
        <v>1.5625</v>
      </c>
      <c r="DJ72" s="5">
        <v>40</v>
      </c>
      <c r="DK72" s="5">
        <v>9</v>
      </c>
      <c r="DL72" s="5">
        <v>125.845</v>
      </c>
      <c r="DM72" s="5">
        <v>77.581900000000005</v>
      </c>
      <c r="DN72" s="5">
        <v>48.25</v>
      </c>
      <c r="DO72" s="5">
        <v>1.125</v>
      </c>
      <c r="DP72" s="12">
        <v>60</v>
      </c>
      <c r="DQ72" s="5">
        <v>6</v>
      </c>
      <c r="DR72" s="13">
        <v>174.10849999999999</v>
      </c>
      <c r="DS72" s="5">
        <v>125.845</v>
      </c>
      <c r="DT72" s="5">
        <v>48.25</v>
      </c>
      <c r="DU72" s="5">
        <v>0.8125</v>
      </c>
      <c r="DV72" s="5">
        <v>45</v>
      </c>
      <c r="DW72" s="5">
        <v>8</v>
      </c>
      <c r="DX72" s="5">
        <v>222.37100000000001</v>
      </c>
      <c r="DY72" s="5">
        <v>174.10849999999999</v>
      </c>
      <c r="DZ72" s="5">
        <v>48.25</v>
      </c>
      <c r="EA72" s="5">
        <v>0.75</v>
      </c>
      <c r="EB72" s="5">
        <v>36</v>
      </c>
      <c r="EC72" s="5">
        <v>10</v>
      </c>
      <c r="ED72" s="5">
        <v>270.63400000000001</v>
      </c>
      <c r="EE72" s="5">
        <v>222.37100000000001</v>
      </c>
      <c r="EF72" s="5">
        <v>48.25</v>
      </c>
      <c r="EG72" s="5">
        <v>0.75</v>
      </c>
      <c r="EH72" s="5">
        <v>30</v>
      </c>
      <c r="EI72" s="5">
        <v>12</v>
      </c>
      <c r="EJ72" s="5">
        <v>318.89690000000002</v>
      </c>
      <c r="EK72" s="5">
        <v>270.63400000000001</v>
      </c>
      <c r="EL72" s="5">
        <v>48.25</v>
      </c>
      <c r="EM72" s="5">
        <v>0.625</v>
      </c>
      <c r="EN72" s="5">
        <v>30</v>
      </c>
      <c r="EO72" s="5">
        <v>12</v>
      </c>
      <c r="EP72" s="5"/>
      <c r="EQ72" s="5"/>
      <c r="ER72" s="5"/>
      <c r="ES72" s="5"/>
      <c r="ET72" s="5"/>
      <c r="EU72" s="5"/>
      <c r="EV72" s="5"/>
      <c r="EW72" s="5"/>
      <c r="EX72" s="5"/>
      <c r="EY72" s="5">
        <v>0.4375</v>
      </c>
      <c r="EZ72" s="5">
        <v>192</v>
      </c>
      <c r="FA72" s="5">
        <v>34</v>
      </c>
      <c r="FB72" s="5">
        <v>10.588200000000001</v>
      </c>
      <c r="FC72" s="5">
        <v>45</v>
      </c>
      <c r="FD72" s="5">
        <v>183</v>
      </c>
      <c r="FE72" s="5" t="s">
        <v>543</v>
      </c>
      <c r="FF72" s="5">
        <v>0.25</v>
      </c>
      <c r="FG72" s="5">
        <v>192</v>
      </c>
      <c r="FH72" s="5">
        <v>34</v>
      </c>
      <c r="FI72" s="5">
        <v>10.588200000000001</v>
      </c>
      <c r="FJ72" s="5">
        <v>45</v>
      </c>
      <c r="FK72" s="5">
        <v>183</v>
      </c>
      <c r="FL72" s="5" t="s">
        <v>543</v>
      </c>
      <c r="FM72" s="5">
        <v>0.25</v>
      </c>
      <c r="FN72" s="5">
        <v>451</v>
      </c>
      <c r="FO72" s="5">
        <v>30</v>
      </c>
      <c r="FP72" s="5">
        <v>12</v>
      </c>
      <c r="FQ72" s="5">
        <v>85.8</v>
      </c>
      <c r="FR72" s="5">
        <v>0</v>
      </c>
      <c r="FS72" s="5" t="s">
        <v>543</v>
      </c>
      <c r="FT72" s="5">
        <v>56</v>
      </c>
      <c r="FU72" s="5">
        <v>24</v>
      </c>
      <c r="FV72" s="5">
        <v>32</v>
      </c>
      <c r="FW72" s="5">
        <v>0.5</v>
      </c>
      <c r="FX72" s="5">
        <v>4</v>
      </c>
      <c r="FY72" s="5">
        <v>52</v>
      </c>
      <c r="FZ72" s="5">
        <v>62</v>
      </c>
      <c r="GA72" s="5">
        <v>1.875</v>
      </c>
      <c r="GB72" s="5">
        <v>120</v>
      </c>
      <c r="GC72" s="5">
        <v>3</v>
      </c>
      <c r="GD72" s="5">
        <v>23</v>
      </c>
      <c r="GE72" s="5">
        <v>27</v>
      </c>
      <c r="GF72" s="5">
        <v>1</v>
      </c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</row>
    <row r="73" spans="1:201" s="1" customFormat="1" ht="15.75" customHeight="1" x14ac:dyDescent="0.25">
      <c r="A73" s="4" t="s">
        <v>545</v>
      </c>
      <c r="B73" s="5"/>
      <c r="C73" s="5">
        <v>600</v>
      </c>
      <c r="D73" s="5">
        <v>38</v>
      </c>
      <c r="E73" s="6">
        <v>30</v>
      </c>
      <c r="F73" s="5" t="s">
        <v>469</v>
      </c>
      <c r="G73" s="5">
        <v>0</v>
      </c>
      <c r="H73" s="5">
        <f t="shared" si="6"/>
        <v>456</v>
      </c>
      <c r="I73" s="5">
        <f t="shared" si="8"/>
        <v>235</v>
      </c>
      <c r="J73" s="5">
        <f t="shared" si="7"/>
        <v>223</v>
      </c>
      <c r="K73" s="5">
        <v>22.5</v>
      </c>
      <c r="L73" s="5">
        <v>2.375</v>
      </c>
      <c r="M73" s="5">
        <v>16</v>
      </c>
      <c r="N73" s="5">
        <v>16</v>
      </c>
      <c r="O73" s="5">
        <v>11.25</v>
      </c>
      <c r="P73" s="5">
        <v>16</v>
      </c>
      <c r="Q73" s="5">
        <v>32</v>
      </c>
      <c r="R73" s="5" t="s">
        <v>470</v>
      </c>
      <c r="S73" s="5">
        <v>32</v>
      </c>
      <c r="T73" s="5">
        <f t="shared" si="9"/>
        <v>228</v>
      </c>
      <c r="U73" s="5">
        <v>187.2388</v>
      </c>
      <c r="V73" s="5">
        <v>84</v>
      </c>
      <c r="W73" s="5">
        <v>0.6875</v>
      </c>
      <c r="X73" s="5">
        <v>22.5</v>
      </c>
      <c r="Y73" s="5">
        <v>16</v>
      </c>
      <c r="Z73" s="5">
        <v>187.2388</v>
      </c>
      <c r="AA73" s="5">
        <v>146.47749999999999</v>
      </c>
      <c r="AB73" s="5">
        <v>84</v>
      </c>
      <c r="AC73" s="5">
        <v>0.75</v>
      </c>
      <c r="AD73" s="5">
        <v>30</v>
      </c>
      <c r="AE73" s="5">
        <v>12</v>
      </c>
      <c r="AF73" s="5">
        <v>0</v>
      </c>
      <c r="AG73" s="5">
        <v>146.47749999999999</v>
      </c>
      <c r="AH73" s="5">
        <v>105.7163</v>
      </c>
      <c r="AI73" s="5">
        <v>84</v>
      </c>
      <c r="AJ73" s="5">
        <v>0.8125</v>
      </c>
      <c r="AK73" s="5">
        <v>36</v>
      </c>
      <c r="AL73" s="5">
        <v>10</v>
      </c>
      <c r="AM73" s="5">
        <v>0</v>
      </c>
      <c r="AN73" s="5">
        <v>105.7163</v>
      </c>
      <c r="AO73" s="5">
        <v>66.0197</v>
      </c>
      <c r="AP73" s="5">
        <v>81.8125</v>
      </c>
      <c r="AQ73" s="5">
        <v>0.9375</v>
      </c>
      <c r="AR73" s="5">
        <v>45</v>
      </c>
      <c r="AS73" s="5">
        <v>8</v>
      </c>
      <c r="AT73" s="5">
        <v>60</v>
      </c>
      <c r="AU73" s="5">
        <v>66.0197</v>
      </c>
      <c r="AV73" s="5">
        <v>60</v>
      </c>
      <c r="AW73" s="5">
        <v>26.1875</v>
      </c>
      <c r="AX73" s="5">
        <v>1.0625</v>
      </c>
      <c r="AY73" s="5">
        <v>36</v>
      </c>
      <c r="AZ73" s="5">
        <v>10</v>
      </c>
      <c r="BA73" s="5">
        <v>120</v>
      </c>
      <c r="BB73" s="5">
        <v>96</v>
      </c>
      <c r="BC73" s="5">
        <v>108</v>
      </c>
      <c r="BD73" s="5">
        <v>96</v>
      </c>
      <c r="BE73" s="5">
        <v>1</v>
      </c>
      <c r="BF73" s="5">
        <v>108</v>
      </c>
      <c r="BG73" s="5">
        <v>96</v>
      </c>
      <c r="BH73" s="5">
        <v>1</v>
      </c>
      <c r="BI73" s="5">
        <v>108</v>
      </c>
      <c r="BJ73" s="5">
        <v>96</v>
      </c>
      <c r="BK73" s="5">
        <v>1</v>
      </c>
      <c r="BL73" s="5">
        <v>108</v>
      </c>
      <c r="BM73" s="5">
        <v>96</v>
      </c>
      <c r="BN73" s="5">
        <v>1</v>
      </c>
      <c r="BO73" s="5">
        <v>108</v>
      </c>
      <c r="BP73" s="5">
        <v>96</v>
      </c>
      <c r="BQ73" s="5">
        <v>1</v>
      </c>
      <c r="BR73" s="5">
        <v>108</v>
      </c>
      <c r="BS73" s="5">
        <v>96</v>
      </c>
      <c r="BT73" s="5">
        <v>1</v>
      </c>
      <c r="BU73" s="5">
        <v>108</v>
      </c>
      <c r="BV73" s="5">
        <v>96</v>
      </c>
      <c r="BW73" s="5">
        <v>1</v>
      </c>
      <c r="BX73" s="5">
        <v>108</v>
      </c>
      <c r="BY73" s="5">
        <v>96</v>
      </c>
      <c r="BZ73" s="5">
        <v>1</v>
      </c>
      <c r="CA73" s="5" t="s">
        <v>470</v>
      </c>
      <c r="CB73" s="5" t="s">
        <v>470</v>
      </c>
      <c r="CC73" s="5"/>
      <c r="CD73" s="5" t="s">
        <v>470</v>
      </c>
      <c r="CE73" s="5" t="s">
        <v>470</v>
      </c>
      <c r="CF73" s="5"/>
      <c r="CG73" s="5" t="s">
        <v>470</v>
      </c>
      <c r="CH73" s="5" t="s">
        <v>470</v>
      </c>
      <c r="CI73" s="5"/>
      <c r="CJ73" s="5" t="s">
        <v>470</v>
      </c>
      <c r="CK73" s="5" t="s">
        <v>470</v>
      </c>
      <c r="CL73" s="5"/>
      <c r="CM73" s="5" t="s">
        <v>470</v>
      </c>
      <c r="CN73" s="5" t="s">
        <v>470</v>
      </c>
      <c r="CO73" s="5"/>
      <c r="CP73" s="5" t="s">
        <v>470</v>
      </c>
      <c r="CQ73" s="5" t="s">
        <v>470</v>
      </c>
      <c r="CR73" s="5"/>
      <c r="CS73" s="5" t="s">
        <v>470</v>
      </c>
      <c r="CT73" s="5" t="s">
        <v>470</v>
      </c>
      <c r="CU73" s="5"/>
      <c r="CV73" s="5" t="s">
        <v>470</v>
      </c>
      <c r="CW73" s="5" t="s">
        <v>470</v>
      </c>
      <c r="CX73" s="5"/>
      <c r="CY73" s="5" t="s">
        <v>470</v>
      </c>
      <c r="CZ73" s="5" t="s">
        <v>470</v>
      </c>
      <c r="DA73" s="5"/>
      <c r="DB73" s="5" t="s">
        <v>470</v>
      </c>
      <c r="DC73" s="5" t="s">
        <v>470</v>
      </c>
      <c r="DD73" s="5"/>
      <c r="DE73" s="5">
        <v>60</v>
      </c>
      <c r="DF73" s="5">
        <v>60</v>
      </c>
      <c r="DG73" s="5">
        <v>77.581900000000005</v>
      </c>
      <c r="DH73" s="5">
        <v>42.4375</v>
      </c>
      <c r="DI73" s="5">
        <v>1.5625</v>
      </c>
      <c r="DJ73" s="5">
        <v>40</v>
      </c>
      <c r="DK73" s="5">
        <v>9</v>
      </c>
      <c r="DL73" s="5">
        <v>125.845</v>
      </c>
      <c r="DM73" s="5">
        <v>77.581900000000005</v>
      </c>
      <c r="DN73" s="5">
        <v>48.25</v>
      </c>
      <c r="DO73" s="5">
        <v>1.125</v>
      </c>
      <c r="DP73" s="12">
        <v>60</v>
      </c>
      <c r="DQ73" s="5">
        <v>6</v>
      </c>
      <c r="DR73" s="13">
        <v>174.10849999999999</v>
      </c>
      <c r="DS73" s="5">
        <v>125.845</v>
      </c>
      <c r="DT73" s="5">
        <v>48.25</v>
      </c>
      <c r="DU73" s="5">
        <v>0.8125</v>
      </c>
      <c r="DV73" s="5">
        <v>45</v>
      </c>
      <c r="DW73" s="5">
        <v>8</v>
      </c>
      <c r="DX73" s="5">
        <v>222.37100000000001</v>
      </c>
      <c r="DY73" s="5">
        <v>174.10849999999999</v>
      </c>
      <c r="DZ73" s="5">
        <v>48.25</v>
      </c>
      <c r="EA73" s="5">
        <v>0.75</v>
      </c>
      <c r="EB73" s="5">
        <v>36</v>
      </c>
      <c r="EC73" s="5">
        <v>10</v>
      </c>
      <c r="ED73" s="5">
        <v>270.63400000000001</v>
      </c>
      <c r="EE73" s="5">
        <v>222.37100000000001</v>
      </c>
      <c r="EF73" s="5">
        <v>48.25</v>
      </c>
      <c r="EG73" s="5">
        <v>0.75</v>
      </c>
      <c r="EH73" s="5">
        <v>30</v>
      </c>
      <c r="EI73" s="5">
        <v>12</v>
      </c>
      <c r="EJ73" s="5">
        <v>318.89690000000002</v>
      </c>
      <c r="EK73" s="5">
        <v>270.63400000000001</v>
      </c>
      <c r="EL73" s="5">
        <v>48.25</v>
      </c>
      <c r="EM73" s="5">
        <v>0.625</v>
      </c>
      <c r="EN73" s="5">
        <v>30</v>
      </c>
      <c r="EO73" s="5">
        <v>12</v>
      </c>
      <c r="EP73" s="5"/>
      <c r="EQ73" s="5"/>
      <c r="ER73" s="5"/>
      <c r="ES73" s="5"/>
      <c r="ET73" s="5"/>
      <c r="EU73" s="5"/>
      <c r="EV73" s="5"/>
      <c r="EW73" s="5"/>
      <c r="EX73" s="5"/>
      <c r="EY73" s="5">
        <v>0.4375</v>
      </c>
      <c r="EZ73" s="5">
        <v>192</v>
      </c>
      <c r="FA73" s="5">
        <v>34</v>
      </c>
      <c r="FB73" s="5">
        <v>10.588200000000001</v>
      </c>
      <c r="FC73" s="5">
        <v>45</v>
      </c>
      <c r="FD73" s="5">
        <v>183</v>
      </c>
      <c r="FE73" s="5" t="s">
        <v>543</v>
      </c>
      <c r="FF73" s="5">
        <v>0.25</v>
      </c>
      <c r="FG73" s="5">
        <v>192</v>
      </c>
      <c r="FH73" s="5">
        <v>34</v>
      </c>
      <c r="FI73" s="5">
        <v>10.588200000000001</v>
      </c>
      <c r="FJ73" s="5">
        <v>45</v>
      </c>
      <c r="FK73" s="5">
        <v>183</v>
      </c>
      <c r="FL73" s="5" t="s">
        <v>543</v>
      </c>
      <c r="FM73" s="5">
        <v>0.25</v>
      </c>
      <c r="FN73" s="5">
        <v>451</v>
      </c>
      <c r="FO73" s="5">
        <v>30</v>
      </c>
      <c r="FP73" s="5">
        <v>12</v>
      </c>
      <c r="FQ73" s="5">
        <v>85.8</v>
      </c>
      <c r="FR73" s="5">
        <v>0</v>
      </c>
      <c r="FS73" s="5" t="s">
        <v>543</v>
      </c>
      <c r="FT73" s="5">
        <v>56</v>
      </c>
      <c r="FU73" s="5">
        <v>24</v>
      </c>
      <c r="FV73" s="5">
        <v>32</v>
      </c>
      <c r="FW73" s="5">
        <v>0.5</v>
      </c>
      <c r="FX73" s="5">
        <v>4</v>
      </c>
      <c r="FY73" s="5">
        <v>52</v>
      </c>
      <c r="FZ73" s="5">
        <v>62</v>
      </c>
      <c r="GA73" s="5">
        <v>1.875</v>
      </c>
      <c r="GB73" s="5">
        <v>120</v>
      </c>
      <c r="GC73" s="5">
        <v>3</v>
      </c>
      <c r="GD73" s="5">
        <v>23</v>
      </c>
      <c r="GE73" s="5">
        <v>27</v>
      </c>
      <c r="GF73" s="5">
        <v>1</v>
      </c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</row>
    <row r="74" spans="1:201" s="1" customFormat="1" ht="15.75" customHeight="1" x14ac:dyDescent="0.25">
      <c r="A74" s="4" t="s">
        <v>546</v>
      </c>
      <c r="B74" s="5"/>
      <c r="C74" s="5">
        <v>600</v>
      </c>
      <c r="D74" s="5">
        <v>40</v>
      </c>
      <c r="E74" s="6">
        <v>30</v>
      </c>
      <c r="F74" s="5" t="s">
        <v>469</v>
      </c>
      <c r="G74" s="5">
        <v>0</v>
      </c>
      <c r="H74" s="5">
        <f t="shared" si="6"/>
        <v>480</v>
      </c>
      <c r="I74" s="5">
        <f t="shared" si="8"/>
        <v>247</v>
      </c>
      <c r="J74" s="5">
        <f t="shared" si="7"/>
        <v>235</v>
      </c>
      <c r="K74" s="5">
        <v>25.714300000000001</v>
      </c>
      <c r="L74" s="5">
        <v>2.5</v>
      </c>
      <c r="M74" s="5">
        <v>14</v>
      </c>
      <c r="N74" s="5">
        <v>16</v>
      </c>
      <c r="O74" s="5">
        <v>11.25</v>
      </c>
      <c r="P74" s="5">
        <v>16</v>
      </c>
      <c r="Q74" s="5">
        <v>32</v>
      </c>
      <c r="R74" s="5" t="s">
        <v>470</v>
      </c>
      <c r="S74" s="5">
        <v>32</v>
      </c>
      <c r="T74" s="5">
        <f t="shared" si="9"/>
        <v>240</v>
      </c>
      <c r="U74" s="5">
        <v>196.21199999999999</v>
      </c>
      <c r="V74" s="5">
        <v>84</v>
      </c>
      <c r="W74" s="5">
        <v>0.6875</v>
      </c>
      <c r="X74" s="5">
        <v>25.714300000000001</v>
      </c>
      <c r="Y74" s="5">
        <v>14</v>
      </c>
      <c r="Z74" s="5">
        <v>196.21199999999999</v>
      </c>
      <c r="AA74" s="5">
        <v>152.42400000000001</v>
      </c>
      <c r="AB74" s="5">
        <v>84</v>
      </c>
      <c r="AC74" s="5">
        <v>0.6875</v>
      </c>
      <c r="AD74" s="5">
        <v>36</v>
      </c>
      <c r="AE74" s="5">
        <v>10</v>
      </c>
      <c r="AF74" s="5">
        <v>0</v>
      </c>
      <c r="AG74" s="5">
        <v>152.42400000000001</v>
      </c>
      <c r="AH74" s="5">
        <v>108.636</v>
      </c>
      <c r="AI74" s="5">
        <v>84</v>
      </c>
      <c r="AJ74" s="5">
        <v>0.8125</v>
      </c>
      <c r="AK74" s="5">
        <v>45</v>
      </c>
      <c r="AL74" s="5">
        <v>8</v>
      </c>
      <c r="AM74" s="5">
        <v>0</v>
      </c>
      <c r="AN74" s="5">
        <v>108.636</v>
      </c>
      <c r="AO74" s="5">
        <v>66.795000000000002</v>
      </c>
      <c r="AP74" s="5">
        <v>80.25</v>
      </c>
      <c r="AQ74" s="5">
        <v>0.9375</v>
      </c>
      <c r="AR74" s="5">
        <v>60</v>
      </c>
      <c r="AS74" s="5">
        <v>6</v>
      </c>
      <c r="AT74" s="5">
        <v>60</v>
      </c>
      <c r="AU74" s="5">
        <v>66.795000000000002</v>
      </c>
      <c r="AV74" s="5">
        <v>60</v>
      </c>
      <c r="AW74" s="5">
        <v>27.75</v>
      </c>
      <c r="AX74" s="5">
        <v>1</v>
      </c>
      <c r="AY74" s="5">
        <v>36</v>
      </c>
      <c r="AZ74" s="5">
        <v>10</v>
      </c>
      <c r="BA74" s="5">
        <v>120</v>
      </c>
      <c r="BB74" s="5">
        <v>96</v>
      </c>
      <c r="BC74" s="5">
        <v>108</v>
      </c>
      <c r="BD74" s="5">
        <v>96</v>
      </c>
      <c r="BE74" s="5">
        <v>1</v>
      </c>
      <c r="BF74" s="5">
        <v>108</v>
      </c>
      <c r="BG74" s="5">
        <v>96</v>
      </c>
      <c r="BH74" s="5">
        <v>1</v>
      </c>
      <c r="BI74" s="5">
        <v>108</v>
      </c>
      <c r="BJ74" s="5">
        <v>96</v>
      </c>
      <c r="BK74" s="5">
        <v>1</v>
      </c>
      <c r="BL74" s="5">
        <v>108</v>
      </c>
      <c r="BM74" s="5">
        <v>96</v>
      </c>
      <c r="BN74" s="5">
        <v>1</v>
      </c>
      <c r="BO74" s="5">
        <v>108</v>
      </c>
      <c r="BP74" s="5">
        <v>96</v>
      </c>
      <c r="BQ74" s="5">
        <v>1</v>
      </c>
      <c r="BR74" s="5">
        <v>108</v>
      </c>
      <c r="BS74" s="5">
        <v>96</v>
      </c>
      <c r="BT74" s="5">
        <v>1</v>
      </c>
      <c r="BU74" s="5">
        <v>108</v>
      </c>
      <c r="BV74" s="5">
        <v>96</v>
      </c>
      <c r="BW74" s="5">
        <v>1</v>
      </c>
      <c r="BX74" s="5">
        <v>108</v>
      </c>
      <c r="BY74" s="5">
        <v>96</v>
      </c>
      <c r="BZ74" s="5">
        <v>1</v>
      </c>
      <c r="CA74" s="5" t="s">
        <v>470</v>
      </c>
      <c r="CB74" s="5" t="s">
        <v>470</v>
      </c>
      <c r="CC74" s="5"/>
      <c r="CD74" s="5" t="s">
        <v>470</v>
      </c>
      <c r="CE74" s="5" t="s">
        <v>470</v>
      </c>
      <c r="CF74" s="5"/>
      <c r="CG74" s="5" t="s">
        <v>470</v>
      </c>
      <c r="CH74" s="5" t="s">
        <v>470</v>
      </c>
      <c r="CI74" s="5"/>
      <c r="CJ74" s="5" t="s">
        <v>470</v>
      </c>
      <c r="CK74" s="5" t="s">
        <v>470</v>
      </c>
      <c r="CL74" s="5"/>
      <c r="CM74" s="5" t="s">
        <v>470</v>
      </c>
      <c r="CN74" s="5" t="s">
        <v>470</v>
      </c>
      <c r="CO74" s="5"/>
      <c r="CP74" s="5" t="s">
        <v>470</v>
      </c>
      <c r="CQ74" s="5" t="s">
        <v>470</v>
      </c>
      <c r="CR74" s="5"/>
      <c r="CS74" s="5" t="s">
        <v>470</v>
      </c>
      <c r="CT74" s="5" t="s">
        <v>470</v>
      </c>
      <c r="CU74" s="5"/>
      <c r="CV74" s="5" t="s">
        <v>470</v>
      </c>
      <c r="CW74" s="5" t="s">
        <v>470</v>
      </c>
      <c r="CX74" s="5"/>
      <c r="CY74" s="5" t="s">
        <v>470</v>
      </c>
      <c r="CZ74" s="5" t="s">
        <v>470</v>
      </c>
      <c r="DA74" s="5"/>
      <c r="DB74" s="5" t="s">
        <v>470</v>
      </c>
      <c r="DC74" s="5" t="s">
        <v>470</v>
      </c>
      <c r="DD74" s="5"/>
      <c r="DE74" s="5">
        <v>60</v>
      </c>
      <c r="DF74" s="5">
        <v>60</v>
      </c>
      <c r="DG74" s="5">
        <v>77.581900000000005</v>
      </c>
      <c r="DH74" s="5">
        <v>42.4375</v>
      </c>
      <c r="DI74" s="5">
        <v>1.5625</v>
      </c>
      <c r="DJ74" s="5">
        <v>40</v>
      </c>
      <c r="DK74" s="5">
        <v>9</v>
      </c>
      <c r="DL74" s="5">
        <v>125.845</v>
      </c>
      <c r="DM74" s="5">
        <v>77.581900000000005</v>
      </c>
      <c r="DN74" s="5">
        <v>48.25</v>
      </c>
      <c r="DO74" s="5">
        <v>1.125</v>
      </c>
      <c r="DP74" s="12">
        <v>60</v>
      </c>
      <c r="DQ74" s="5">
        <v>6</v>
      </c>
      <c r="DR74" s="13">
        <v>174.10849999999999</v>
      </c>
      <c r="DS74" s="5">
        <v>125.845</v>
      </c>
      <c r="DT74" s="5">
        <v>48.25</v>
      </c>
      <c r="DU74" s="5">
        <v>0.8125</v>
      </c>
      <c r="DV74" s="5">
        <v>45</v>
      </c>
      <c r="DW74" s="5">
        <v>8</v>
      </c>
      <c r="DX74" s="5">
        <v>222.37100000000001</v>
      </c>
      <c r="DY74" s="5">
        <v>174.10849999999999</v>
      </c>
      <c r="DZ74" s="5">
        <v>48.25</v>
      </c>
      <c r="EA74" s="5">
        <v>0.75</v>
      </c>
      <c r="EB74" s="5">
        <v>36</v>
      </c>
      <c r="EC74" s="5">
        <v>10</v>
      </c>
      <c r="ED74" s="5">
        <v>270.63400000000001</v>
      </c>
      <c r="EE74" s="5">
        <v>222.37100000000001</v>
      </c>
      <c r="EF74" s="5">
        <v>48.25</v>
      </c>
      <c r="EG74" s="5">
        <v>0.75</v>
      </c>
      <c r="EH74" s="5">
        <v>30</v>
      </c>
      <c r="EI74" s="5">
        <v>12</v>
      </c>
      <c r="EJ74" s="5">
        <v>318.89690000000002</v>
      </c>
      <c r="EK74" s="5">
        <v>270.63400000000001</v>
      </c>
      <c r="EL74" s="5">
        <v>48.25</v>
      </c>
      <c r="EM74" s="5">
        <v>0.625</v>
      </c>
      <c r="EN74" s="5">
        <v>30</v>
      </c>
      <c r="EO74" s="5">
        <v>12</v>
      </c>
      <c r="EP74" s="5"/>
      <c r="EQ74" s="5"/>
      <c r="ER74" s="5"/>
      <c r="ES74" s="5"/>
      <c r="ET74" s="5"/>
      <c r="EU74" s="5"/>
      <c r="EV74" s="5"/>
      <c r="EW74" s="5"/>
      <c r="EX74" s="5"/>
      <c r="EY74" s="5">
        <v>0.4375</v>
      </c>
      <c r="EZ74" s="5">
        <v>192</v>
      </c>
      <c r="FA74" s="5">
        <v>34</v>
      </c>
      <c r="FB74" s="5">
        <v>10.588200000000001</v>
      </c>
      <c r="FC74" s="5">
        <v>45</v>
      </c>
      <c r="FD74" s="5">
        <v>183</v>
      </c>
      <c r="FE74" s="5" t="s">
        <v>543</v>
      </c>
      <c r="FF74" s="5">
        <v>0.25</v>
      </c>
      <c r="FG74" s="5">
        <v>192</v>
      </c>
      <c r="FH74" s="5">
        <v>34</v>
      </c>
      <c r="FI74" s="5">
        <v>10.588200000000001</v>
      </c>
      <c r="FJ74" s="5">
        <v>45</v>
      </c>
      <c r="FK74" s="5">
        <v>183</v>
      </c>
      <c r="FL74" s="5" t="s">
        <v>543</v>
      </c>
      <c r="FM74" s="5">
        <v>0.25</v>
      </c>
      <c r="FN74" s="5">
        <v>451</v>
      </c>
      <c r="FO74" s="5">
        <v>30</v>
      </c>
      <c r="FP74" s="5">
        <v>12</v>
      </c>
      <c r="FQ74" s="5">
        <v>85.8</v>
      </c>
      <c r="FR74" s="5">
        <v>0</v>
      </c>
      <c r="FS74" s="5" t="s">
        <v>543</v>
      </c>
      <c r="FT74" s="5">
        <v>56</v>
      </c>
      <c r="FU74" s="5">
        <v>24</v>
      </c>
      <c r="FV74" s="5">
        <v>32</v>
      </c>
      <c r="FW74" s="5">
        <v>0.5</v>
      </c>
      <c r="FX74" s="5">
        <v>4</v>
      </c>
      <c r="FY74" s="5">
        <v>52</v>
      </c>
      <c r="FZ74" s="5">
        <v>62</v>
      </c>
      <c r="GA74" s="5">
        <v>1.875</v>
      </c>
      <c r="GB74" s="5">
        <v>120</v>
      </c>
      <c r="GC74" s="5">
        <v>3</v>
      </c>
      <c r="GD74" s="5">
        <v>23</v>
      </c>
      <c r="GE74" s="5">
        <v>27</v>
      </c>
      <c r="GF74" s="5">
        <v>1</v>
      </c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</row>
    <row r="75" spans="1:201" s="1" customFormat="1" ht="15.75" customHeight="1" x14ac:dyDescent="0.25">
      <c r="A75" s="4" t="s">
        <v>547</v>
      </c>
      <c r="B75" s="5"/>
      <c r="C75" s="5">
        <v>750</v>
      </c>
      <c r="D75" s="5">
        <v>30</v>
      </c>
      <c r="E75" s="6">
        <v>30</v>
      </c>
      <c r="F75" s="5" t="s">
        <v>469</v>
      </c>
      <c r="G75" s="5">
        <v>0</v>
      </c>
      <c r="H75" s="5">
        <f t="shared" si="6"/>
        <v>360</v>
      </c>
      <c r="I75" s="5">
        <f t="shared" si="8"/>
        <v>187</v>
      </c>
      <c r="J75" s="5">
        <f t="shared" si="7"/>
        <v>175</v>
      </c>
      <c r="K75" s="5"/>
      <c r="L75" s="5"/>
      <c r="M75" s="5"/>
      <c r="N75" s="5">
        <v>20</v>
      </c>
      <c r="O75" s="5">
        <v>9</v>
      </c>
      <c r="P75" s="5">
        <v>20</v>
      </c>
      <c r="Q75" s="5">
        <v>40</v>
      </c>
      <c r="R75" s="5" t="s">
        <v>470</v>
      </c>
      <c r="S75" s="5">
        <v>40</v>
      </c>
      <c r="T75" s="5">
        <f t="shared" si="9"/>
        <v>180</v>
      </c>
      <c r="U75" s="5">
        <v>153.5368</v>
      </c>
      <c r="V75" s="5">
        <v>86</v>
      </c>
      <c r="W75" s="5">
        <v>0.75</v>
      </c>
      <c r="X75" s="5">
        <v>30</v>
      </c>
      <c r="Y75" s="5">
        <v>12</v>
      </c>
      <c r="Z75" s="5">
        <v>153.5368</v>
      </c>
      <c r="AA75" s="5">
        <v>127.0735</v>
      </c>
      <c r="AB75" s="5">
        <v>86</v>
      </c>
      <c r="AC75" s="5">
        <v>0.8125</v>
      </c>
      <c r="AD75" s="5">
        <v>40</v>
      </c>
      <c r="AE75" s="5">
        <v>9</v>
      </c>
      <c r="AF75" s="5">
        <v>0</v>
      </c>
      <c r="AG75" s="5">
        <v>127.0735</v>
      </c>
      <c r="AH75" s="5">
        <v>100.6103</v>
      </c>
      <c r="AI75" s="5">
        <v>86</v>
      </c>
      <c r="AJ75" s="5">
        <v>0.8125</v>
      </c>
      <c r="AK75" s="5">
        <v>45</v>
      </c>
      <c r="AL75" s="5">
        <v>8</v>
      </c>
      <c r="AM75" s="5">
        <v>0</v>
      </c>
      <c r="AN75" s="5">
        <v>100.6103</v>
      </c>
      <c r="AO75" s="5">
        <v>74.653599999999997</v>
      </c>
      <c r="AP75" s="5">
        <v>84.375</v>
      </c>
      <c r="AQ75" s="5">
        <v>0.9375</v>
      </c>
      <c r="AR75" s="5">
        <v>60</v>
      </c>
      <c r="AS75" s="5">
        <v>6</v>
      </c>
      <c r="AT75" s="5">
        <v>60</v>
      </c>
      <c r="AU75" s="5">
        <v>74.653599999999997</v>
      </c>
      <c r="AV75" s="5">
        <v>72</v>
      </c>
      <c r="AW75" s="5">
        <v>17.625</v>
      </c>
      <c r="AX75" s="5">
        <v>1</v>
      </c>
      <c r="AY75" s="5">
        <v>22.5</v>
      </c>
      <c r="AZ75" s="5">
        <v>16</v>
      </c>
      <c r="BA75" s="5">
        <v>144</v>
      </c>
      <c r="BB75" s="5">
        <v>96</v>
      </c>
      <c r="BC75" s="5">
        <v>72</v>
      </c>
      <c r="BD75" s="5">
        <v>144</v>
      </c>
      <c r="BE75" s="5">
        <v>1</v>
      </c>
      <c r="BF75" s="5">
        <v>144</v>
      </c>
      <c r="BG75" s="5">
        <v>96</v>
      </c>
      <c r="BH75" s="5">
        <v>1</v>
      </c>
      <c r="BI75" s="5">
        <v>144</v>
      </c>
      <c r="BJ75" s="5">
        <v>96</v>
      </c>
      <c r="BK75" s="5">
        <v>1</v>
      </c>
      <c r="BL75" s="5">
        <v>144</v>
      </c>
      <c r="BM75" s="5">
        <v>96</v>
      </c>
      <c r="BN75" s="5">
        <v>1</v>
      </c>
      <c r="BO75" s="5">
        <v>144</v>
      </c>
      <c r="BP75" s="5">
        <v>96</v>
      </c>
      <c r="BQ75" s="5">
        <v>1</v>
      </c>
      <c r="BR75" s="5">
        <v>144</v>
      </c>
      <c r="BS75" s="5">
        <v>96</v>
      </c>
      <c r="BT75" s="5">
        <v>1</v>
      </c>
      <c r="BU75" s="5">
        <v>144</v>
      </c>
      <c r="BV75" s="5">
        <v>96</v>
      </c>
      <c r="BW75" s="5">
        <v>1</v>
      </c>
      <c r="BX75" s="5">
        <v>144</v>
      </c>
      <c r="BY75" s="5">
        <v>96</v>
      </c>
      <c r="BZ75" s="5">
        <v>1</v>
      </c>
      <c r="CA75" s="5" t="s">
        <v>470</v>
      </c>
      <c r="CB75" s="5" t="s">
        <v>470</v>
      </c>
      <c r="CC75" s="5"/>
      <c r="CD75" s="5" t="s">
        <v>470</v>
      </c>
      <c r="CE75" s="5" t="s">
        <v>470</v>
      </c>
      <c r="CF75" s="5"/>
      <c r="CG75" s="5" t="s">
        <v>470</v>
      </c>
      <c r="CH75" s="5" t="s">
        <v>470</v>
      </c>
      <c r="CI75" s="5"/>
      <c r="CJ75" s="5" t="s">
        <v>470</v>
      </c>
      <c r="CK75" s="5" t="s">
        <v>470</v>
      </c>
      <c r="CL75" s="5"/>
      <c r="CM75" s="5" t="s">
        <v>470</v>
      </c>
      <c r="CN75" s="5" t="s">
        <v>470</v>
      </c>
      <c r="CO75" s="5"/>
      <c r="CP75" s="5" t="s">
        <v>470</v>
      </c>
      <c r="CQ75" s="5" t="s">
        <v>470</v>
      </c>
      <c r="CR75" s="5"/>
      <c r="CS75" s="5" t="s">
        <v>470</v>
      </c>
      <c r="CT75" s="5" t="s">
        <v>470</v>
      </c>
      <c r="CU75" s="5"/>
      <c r="CV75" s="5" t="s">
        <v>470</v>
      </c>
      <c r="CW75" s="5" t="s">
        <v>470</v>
      </c>
      <c r="CX75" s="5"/>
      <c r="CY75" s="5" t="s">
        <v>470</v>
      </c>
      <c r="CZ75" s="5" t="s">
        <v>470</v>
      </c>
      <c r="DA75" s="5"/>
      <c r="DB75" s="5" t="s">
        <v>470</v>
      </c>
      <c r="DC75" s="5" t="s">
        <v>470</v>
      </c>
      <c r="DD75" s="5"/>
      <c r="DE75" s="5">
        <v>60</v>
      </c>
      <c r="DF75" s="5">
        <v>72</v>
      </c>
      <c r="DG75" s="5">
        <v>89.5625</v>
      </c>
      <c r="DH75" s="5">
        <v>53.25</v>
      </c>
      <c r="DI75" s="5">
        <v>1.875</v>
      </c>
      <c r="DJ75" s="5">
        <v>20</v>
      </c>
      <c r="DK75" s="5">
        <v>18</v>
      </c>
      <c r="DL75" s="5">
        <v>142.78129999999999</v>
      </c>
      <c r="DM75" s="5">
        <v>89.5625</v>
      </c>
      <c r="DN75" s="5">
        <v>53.25</v>
      </c>
      <c r="DO75" s="5">
        <v>1.125</v>
      </c>
      <c r="DP75" s="12">
        <v>45</v>
      </c>
      <c r="DQ75" s="5">
        <v>8</v>
      </c>
      <c r="DR75" s="13">
        <v>196</v>
      </c>
      <c r="DS75" s="5">
        <v>142.78129999999999</v>
      </c>
      <c r="DT75" s="5">
        <v>53.25</v>
      </c>
      <c r="DU75" s="5">
        <v>0.875</v>
      </c>
      <c r="DV75" s="5">
        <v>36</v>
      </c>
      <c r="DW75" s="5">
        <v>10</v>
      </c>
      <c r="DX75" s="5">
        <v>249.21879999999999</v>
      </c>
      <c r="DY75" s="5">
        <v>196</v>
      </c>
      <c r="DZ75" s="5">
        <v>53.25</v>
      </c>
      <c r="EA75" s="5">
        <v>0.8125</v>
      </c>
      <c r="EB75" s="5">
        <v>36</v>
      </c>
      <c r="EC75" s="5">
        <v>10</v>
      </c>
      <c r="ED75" s="5">
        <v>302.4375</v>
      </c>
      <c r="EE75" s="5">
        <v>249.21879999999999</v>
      </c>
      <c r="EF75" s="5">
        <v>53.25</v>
      </c>
      <c r="EG75" s="5">
        <v>0.6875</v>
      </c>
      <c r="EH75" s="5">
        <v>30</v>
      </c>
      <c r="EI75" s="5">
        <v>12</v>
      </c>
      <c r="EJ75" s="5" t="s">
        <v>470</v>
      </c>
      <c r="EK75" s="5" t="s">
        <v>470</v>
      </c>
      <c r="EL75" s="5" t="s">
        <v>470</v>
      </c>
      <c r="EM75" s="5" t="s">
        <v>470</v>
      </c>
      <c r="EN75" s="5" t="s">
        <v>470</v>
      </c>
      <c r="EO75" s="5" t="s">
        <v>470</v>
      </c>
      <c r="EP75" s="5" t="s">
        <v>470</v>
      </c>
      <c r="EQ75" s="5" t="s">
        <v>470</v>
      </c>
      <c r="ER75" s="5" t="s">
        <v>470</v>
      </c>
      <c r="ES75" s="5" t="s">
        <v>470</v>
      </c>
      <c r="ET75" s="5" t="s">
        <v>470</v>
      </c>
      <c r="EU75" s="5" t="s">
        <v>470</v>
      </c>
      <c r="EV75" s="5" t="s">
        <v>470</v>
      </c>
      <c r="EW75" s="5" t="s">
        <v>470</v>
      </c>
      <c r="EX75" s="5" t="s">
        <v>470</v>
      </c>
      <c r="EY75" s="5">
        <v>0.5625</v>
      </c>
      <c r="EZ75" s="5">
        <v>258</v>
      </c>
      <c r="FA75" s="5">
        <v>36</v>
      </c>
      <c r="FB75" s="5">
        <v>10</v>
      </c>
      <c r="FC75" s="5">
        <v>45</v>
      </c>
      <c r="FD75" s="5">
        <v>120</v>
      </c>
      <c r="FE75" s="5" t="s">
        <v>548</v>
      </c>
      <c r="FF75" s="5">
        <v>0.3125</v>
      </c>
      <c r="FG75" s="5">
        <v>258</v>
      </c>
      <c r="FH75" s="5">
        <v>36</v>
      </c>
      <c r="FI75" s="5">
        <v>10</v>
      </c>
      <c r="FJ75" s="5">
        <v>45</v>
      </c>
      <c r="FK75" s="5">
        <v>120</v>
      </c>
      <c r="FL75" s="5" t="s">
        <v>548</v>
      </c>
      <c r="FM75" s="5">
        <v>0.25</v>
      </c>
      <c r="FN75" s="5">
        <v>427.685</v>
      </c>
      <c r="FO75" s="5">
        <v>30</v>
      </c>
      <c r="FP75" s="5">
        <v>12</v>
      </c>
      <c r="FQ75" s="5">
        <v>77.44</v>
      </c>
      <c r="FR75" s="5">
        <v>0</v>
      </c>
      <c r="FS75" s="5" t="s">
        <v>548</v>
      </c>
      <c r="FT75" s="5">
        <v>67.3125</v>
      </c>
      <c r="FU75" s="5">
        <v>23.3125</v>
      </c>
      <c r="FV75" s="5">
        <v>44</v>
      </c>
      <c r="FW75" s="5">
        <v>0.5</v>
      </c>
      <c r="FX75" s="5">
        <v>6</v>
      </c>
      <c r="FY75" s="5">
        <v>64</v>
      </c>
      <c r="FZ75" s="5">
        <v>74</v>
      </c>
      <c r="GA75" s="5">
        <v>1.875</v>
      </c>
      <c r="GB75" s="5">
        <v>120</v>
      </c>
      <c r="GC75" s="5">
        <v>3</v>
      </c>
      <c r="GD75" s="5">
        <v>23</v>
      </c>
      <c r="GE75" s="5">
        <v>27</v>
      </c>
      <c r="GF75" s="5">
        <v>1</v>
      </c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</row>
    <row r="76" spans="1:201" s="1" customFormat="1" ht="15.75" customHeight="1" x14ac:dyDescent="0.25">
      <c r="A76" s="4" t="s">
        <v>549</v>
      </c>
      <c r="B76" s="5"/>
      <c r="C76" s="5">
        <v>750</v>
      </c>
      <c r="D76" s="5">
        <v>36</v>
      </c>
      <c r="E76" s="6">
        <v>30</v>
      </c>
      <c r="F76" s="5" t="s">
        <v>469</v>
      </c>
      <c r="G76" s="5">
        <v>0</v>
      </c>
      <c r="H76" s="5">
        <f t="shared" si="6"/>
        <v>432</v>
      </c>
      <c r="I76" s="5">
        <f t="shared" si="8"/>
        <v>223</v>
      </c>
      <c r="J76" s="5">
        <f t="shared" si="7"/>
        <v>211</v>
      </c>
      <c r="K76" s="5"/>
      <c r="L76" s="5"/>
      <c r="M76" s="5"/>
      <c r="N76" s="5"/>
      <c r="O76" s="5"/>
      <c r="P76" s="5"/>
      <c r="Q76" s="5"/>
      <c r="R76" s="5"/>
      <c r="S76" s="5"/>
      <c r="T76" s="5">
        <f t="shared" si="9"/>
        <v>216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144</v>
      </c>
      <c r="BB76" s="5">
        <v>96</v>
      </c>
      <c r="BC76" s="5">
        <v>72</v>
      </c>
      <c r="BD76" s="5">
        <v>144</v>
      </c>
      <c r="BE76" s="5">
        <v>1</v>
      </c>
      <c r="BF76" s="5">
        <v>144</v>
      </c>
      <c r="BG76" s="5">
        <v>96</v>
      </c>
      <c r="BH76" s="5">
        <v>1</v>
      </c>
      <c r="BI76" s="5">
        <v>144</v>
      </c>
      <c r="BJ76" s="5">
        <v>96</v>
      </c>
      <c r="BK76" s="5">
        <v>1</v>
      </c>
      <c r="BL76" s="5">
        <v>144</v>
      </c>
      <c r="BM76" s="5">
        <v>96</v>
      </c>
      <c r="BN76" s="5">
        <v>1</v>
      </c>
      <c r="BO76" s="5">
        <v>144</v>
      </c>
      <c r="BP76" s="5">
        <v>96</v>
      </c>
      <c r="BQ76" s="5">
        <v>1</v>
      </c>
      <c r="BR76" s="5">
        <v>144</v>
      </c>
      <c r="BS76" s="5">
        <v>96</v>
      </c>
      <c r="BT76" s="5">
        <v>1</v>
      </c>
      <c r="BU76" s="5">
        <v>144</v>
      </c>
      <c r="BV76" s="5">
        <v>96</v>
      </c>
      <c r="BW76" s="5">
        <v>1</v>
      </c>
      <c r="BX76" s="5">
        <v>144</v>
      </c>
      <c r="BY76" s="5">
        <v>96</v>
      </c>
      <c r="BZ76" s="5">
        <v>1</v>
      </c>
      <c r="CA76" s="5" t="s">
        <v>470</v>
      </c>
      <c r="CB76" s="5" t="s">
        <v>470</v>
      </c>
      <c r="CC76" s="5"/>
      <c r="CD76" s="5" t="s">
        <v>470</v>
      </c>
      <c r="CE76" s="5" t="s">
        <v>470</v>
      </c>
      <c r="CF76" s="5"/>
      <c r="CG76" s="5" t="s">
        <v>470</v>
      </c>
      <c r="CH76" s="5" t="s">
        <v>470</v>
      </c>
      <c r="CI76" s="5"/>
      <c r="CJ76" s="5" t="s">
        <v>470</v>
      </c>
      <c r="CK76" s="5" t="s">
        <v>470</v>
      </c>
      <c r="CL76" s="5"/>
      <c r="CM76" s="5" t="s">
        <v>470</v>
      </c>
      <c r="CN76" s="5" t="s">
        <v>470</v>
      </c>
      <c r="CO76" s="5"/>
      <c r="CP76" s="5" t="s">
        <v>470</v>
      </c>
      <c r="CQ76" s="5" t="s">
        <v>470</v>
      </c>
      <c r="CR76" s="5"/>
      <c r="CS76" s="5" t="s">
        <v>470</v>
      </c>
      <c r="CT76" s="5" t="s">
        <v>470</v>
      </c>
      <c r="CU76" s="5"/>
      <c r="CV76" s="5" t="s">
        <v>470</v>
      </c>
      <c r="CW76" s="5" t="s">
        <v>470</v>
      </c>
      <c r="CX76" s="5"/>
      <c r="CY76" s="5" t="s">
        <v>470</v>
      </c>
      <c r="CZ76" s="5" t="s">
        <v>470</v>
      </c>
      <c r="DA76" s="5"/>
      <c r="DB76" s="5" t="s">
        <v>470</v>
      </c>
      <c r="DC76" s="5" t="s">
        <v>470</v>
      </c>
      <c r="DD76" s="5"/>
      <c r="DE76" s="5">
        <v>60</v>
      </c>
      <c r="DF76" s="5">
        <v>72</v>
      </c>
      <c r="DG76" s="5">
        <v>89.5625</v>
      </c>
      <c r="DH76" s="5">
        <v>53.25</v>
      </c>
      <c r="DI76" s="5">
        <v>1.875</v>
      </c>
      <c r="DJ76" s="5">
        <v>20</v>
      </c>
      <c r="DK76" s="5">
        <v>18</v>
      </c>
      <c r="DL76" s="5">
        <v>142.78129999999999</v>
      </c>
      <c r="DM76" s="5">
        <v>89.5625</v>
      </c>
      <c r="DN76" s="5">
        <v>53.25</v>
      </c>
      <c r="DO76" s="5">
        <v>1.125</v>
      </c>
      <c r="DP76" s="12">
        <v>45</v>
      </c>
      <c r="DQ76" s="5">
        <v>8</v>
      </c>
      <c r="DR76" s="13">
        <v>196</v>
      </c>
      <c r="DS76" s="5">
        <v>142.78129999999999</v>
      </c>
      <c r="DT76" s="5">
        <v>53.25</v>
      </c>
      <c r="DU76" s="5">
        <v>0.875</v>
      </c>
      <c r="DV76" s="5">
        <v>36</v>
      </c>
      <c r="DW76" s="5">
        <v>10</v>
      </c>
      <c r="DX76" s="5">
        <v>249.21879999999999</v>
      </c>
      <c r="DY76" s="5">
        <v>196</v>
      </c>
      <c r="DZ76" s="5">
        <v>53.25</v>
      </c>
      <c r="EA76" s="5">
        <v>0.8125</v>
      </c>
      <c r="EB76" s="5">
        <v>36</v>
      </c>
      <c r="EC76" s="5">
        <v>10</v>
      </c>
      <c r="ED76" s="5">
        <v>302.4375</v>
      </c>
      <c r="EE76" s="5">
        <v>249.21879999999999</v>
      </c>
      <c r="EF76" s="5">
        <v>53.25</v>
      </c>
      <c r="EG76" s="5">
        <v>0.6875</v>
      </c>
      <c r="EH76" s="5">
        <v>30</v>
      </c>
      <c r="EI76" s="5">
        <v>12</v>
      </c>
      <c r="EJ76" s="5" t="s">
        <v>470</v>
      </c>
      <c r="EK76" s="5" t="s">
        <v>470</v>
      </c>
      <c r="EL76" s="5" t="s">
        <v>470</v>
      </c>
      <c r="EM76" s="5" t="s">
        <v>470</v>
      </c>
      <c r="EN76" s="5" t="s">
        <v>470</v>
      </c>
      <c r="EO76" s="5" t="s">
        <v>470</v>
      </c>
      <c r="EP76" s="5" t="s">
        <v>470</v>
      </c>
      <c r="EQ76" s="5" t="s">
        <v>470</v>
      </c>
      <c r="ER76" s="5" t="s">
        <v>470</v>
      </c>
      <c r="ES76" s="5" t="s">
        <v>470</v>
      </c>
      <c r="ET76" s="5" t="s">
        <v>470</v>
      </c>
      <c r="EU76" s="5" t="s">
        <v>470</v>
      </c>
      <c r="EV76" s="5" t="s">
        <v>470</v>
      </c>
      <c r="EW76" s="5" t="s">
        <v>470</v>
      </c>
      <c r="EX76" s="5" t="s">
        <v>470</v>
      </c>
      <c r="EY76" s="5">
        <v>0.5625</v>
      </c>
      <c r="EZ76" s="5">
        <v>258</v>
      </c>
      <c r="FA76" s="5">
        <v>36</v>
      </c>
      <c r="FB76" s="5">
        <v>10</v>
      </c>
      <c r="FC76" s="5">
        <v>45</v>
      </c>
      <c r="FD76" s="5">
        <v>120</v>
      </c>
      <c r="FE76" s="5" t="s">
        <v>548</v>
      </c>
      <c r="FF76" s="5">
        <v>0.3125</v>
      </c>
      <c r="FG76" s="5">
        <v>258</v>
      </c>
      <c r="FH76" s="5">
        <v>36</v>
      </c>
      <c r="FI76" s="5">
        <v>10</v>
      </c>
      <c r="FJ76" s="5">
        <v>45</v>
      </c>
      <c r="FK76" s="5">
        <v>120</v>
      </c>
      <c r="FL76" s="5" t="s">
        <v>548</v>
      </c>
      <c r="FM76" s="5">
        <v>0.25</v>
      </c>
      <c r="FN76" s="5">
        <v>427.685</v>
      </c>
      <c r="FO76" s="5">
        <v>30</v>
      </c>
      <c r="FP76" s="5">
        <v>12</v>
      </c>
      <c r="FQ76" s="5">
        <v>77.44</v>
      </c>
      <c r="FR76" s="5">
        <v>0</v>
      </c>
      <c r="FS76" s="5" t="s">
        <v>548</v>
      </c>
      <c r="FT76" s="5">
        <v>67.3125</v>
      </c>
      <c r="FU76" s="5">
        <v>23.3125</v>
      </c>
      <c r="FV76" s="5">
        <v>44</v>
      </c>
      <c r="FW76" s="5">
        <v>0.5</v>
      </c>
      <c r="FX76" s="5">
        <v>6</v>
      </c>
      <c r="FY76" s="5">
        <v>64</v>
      </c>
      <c r="FZ76" s="5">
        <v>74</v>
      </c>
      <c r="GA76" s="5">
        <v>1.875</v>
      </c>
      <c r="GB76" s="5">
        <v>120</v>
      </c>
      <c r="GC76" s="5">
        <v>3</v>
      </c>
      <c r="GD76" s="5">
        <v>23</v>
      </c>
      <c r="GE76" s="5">
        <v>27</v>
      </c>
      <c r="GF76" s="5">
        <v>1</v>
      </c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</row>
  </sheetData>
  <autoFilter ref="A2:GS76" xr:uid="{00000000-0009-0000-0000-000001000000}"/>
  <sortState xmlns:xlrd2="http://schemas.microsoft.com/office/spreadsheetml/2017/richdata2" ref="A3:G56">
    <sortCondition ref="C3:C56"/>
    <sortCondition ref="D3:D56"/>
    <sortCondition ref="E3:E56"/>
  </sortState>
  <mergeCells count="1">
    <mergeCell ref="A1:E1"/>
  </mergeCells>
  <phoneticPr fontId="13" type="noConversion"/>
  <dataValidations disablePrompts="1" count="1">
    <dataValidation type="custom" allowBlank="1" showInputMessage="1" showErrorMessage="1" sqref="P5" xr:uid="{00000000-0002-0000-0100-000000000000}">
      <formula1>"STANDARD"</formula1>
    </dataValidation>
  </dataValidations>
  <pageMargins left="0.25" right="0.25" top="0.75" bottom="0.75" header="0.3" footer="0.3"/>
  <pageSetup paperSize="3" scale="71" fitToWidth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2"/>
  <sheetViews>
    <sheetView zoomScale="115" zoomScaleNormal="115" zoomScaleSheetLayoutView="85" workbookViewId="0">
      <selection activeCell="F181" sqref="F181"/>
    </sheetView>
  </sheetViews>
  <sheetFormatPr defaultColWidth="9" defaultRowHeight="11.25" x14ac:dyDescent="0.25"/>
  <cols>
    <col min="1" max="1" width="20.109375" style="52" customWidth="1"/>
    <col min="2" max="2" width="15.77734375" style="52" customWidth="1"/>
    <col min="3" max="11" width="12.109375" style="52" customWidth="1"/>
    <col min="12" max="13" width="12.21875" style="52" customWidth="1"/>
    <col min="14" max="18" width="12.109375" style="52" customWidth="1"/>
    <col min="19" max="16384" width="9" style="52"/>
  </cols>
  <sheetData>
    <row r="1" spans="1:17" x14ac:dyDescent="0.25">
      <c r="A1" s="68" t="s">
        <v>550</v>
      </c>
      <c r="B1" s="68" t="s">
        <v>551</v>
      </c>
      <c r="C1" s="68" t="s">
        <v>552</v>
      </c>
      <c r="D1" s="68" t="s">
        <v>553</v>
      </c>
      <c r="E1" s="68" t="s">
        <v>554</v>
      </c>
      <c r="F1" s="68" t="s">
        <v>555</v>
      </c>
      <c r="G1" s="68" t="s">
        <v>556</v>
      </c>
      <c r="H1" s="68" t="s">
        <v>557</v>
      </c>
      <c r="I1" s="68" t="s">
        <v>558</v>
      </c>
      <c r="J1" s="68" t="s">
        <v>559</v>
      </c>
      <c r="K1" s="68" t="s">
        <v>560</v>
      </c>
      <c r="L1" s="68" t="s">
        <v>561</v>
      </c>
      <c r="M1" s="68" t="s">
        <v>562</v>
      </c>
      <c r="N1" s="68" t="s">
        <v>563</v>
      </c>
      <c r="O1" s="68" t="s">
        <v>564</v>
      </c>
      <c r="P1" s="68" t="s">
        <v>565</v>
      </c>
      <c r="Q1" s="68" t="s">
        <v>566</v>
      </c>
    </row>
    <row r="2" spans="1:17" x14ac:dyDescent="0.25">
      <c r="A2" s="71" t="s">
        <v>567</v>
      </c>
      <c r="B2" s="71" t="s">
        <v>568</v>
      </c>
      <c r="C2" s="71" t="s">
        <v>569</v>
      </c>
      <c r="D2" s="71" t="s">
        <v>570</v>
      </c>
      <c r="E2" s="71" t="s">
        <v>571</v>
      </c>
      <c r="F2" s="71" t="s">
        <v>572</v>
      </c>
      <c r="G2" s="71" t="s">
        <v>573</v>
      </c>
      <c r="H2" s="71" t="s">
        <v>574</v>
      </c>
      <c r="I2" s="71" t="s">
        <v>567</v>
      </c>
      <c r="J2" s="65" t="s">
        <v>2133</v>
      </c>
      <c r="K2" s="65"/>
      <c r="L2" s="65"/>
      <c r="M2" s="65"/>
      <c r="N2" s="65"/>
      <c r="O2" s="65"/>
      <c r="P2" s="65"/>
      <c r="Q2" s="65"/>
    </row>
    <row r="3" spans="1:17" x14ac:dyDescent="0.25">
      <c r="A3" s="71" t="s">
        <v>575</v>
      </c>
      <c r="B3" s="71" t="s">
        <v>576</v>
      </c>
      <c r="C3" s="71" t="s">
        <v>577</v>
      </c>
      <c r="D3" s="71" t="s">
        <v>578</v>
      </c>
      <c r="E3" s="71" t="s">
        <v>579</v>
      </c>
      <c r="F3" s="71" t="s">
        <v>580</v>
      </c>
      <c r="G3" s="71" t="s">
        <v>581</v>
      </c>
      <c r="H3" s="71" t="s">
        <v>582</v>
      </c>
      <c r="I3" s="71" t="s">
        <v>575</v>
      </c>
      <c r="J3" s="65" t="s">
        <v>2135</v>
      </c>
      <c r="K3" s="65"/>
      <c r="L3" s="65"/>
      <c r="M3" s="65"/>
      <c r="N3" s="65"/>
      <c r="O3" s="65"/>
      <c r="P3" s="65"/>
      <c r="Q3" s="65"/>
    </row>
    <row r="4" spans="1:17" x14ac:dyDescent="0.25">
      <c r="A4" s="71" t="s">
        <v>583</v>
      </c>
      <c r="B4" s="71" t="s">
        <v>584</v>
      </c>
      <c r="C4" s="71" t="s">
        <v>585</v>
      </c>
      <c r="D4" s="71" t="s">
        <v>586</v>
      </c>
      <c r="E4" s="71" t="s">
        <v>587</v>
      </c>
      <c r="F4" s="71" t="s">
        <v>588</v>
      </c>
      <c r="G4" s="71" t="s">
        <v>589</v>
      </c>
      <c r="H4" s="71" t="s">
        <v>590</v>
      </c>
      <c r="I4" s="71" t="s">
        <v>583</v>
      </c>
      <c r="J4" s="65" t="s">
        <v>2134</v>
      </c>
      <c r="K4" s="65"/>
      <c r="L4" s="65"/>
      <c r="M4" s="65"/>
      <c r="N4" s="65"/>
      <c r="O4" s="65"/>
      <c r="P4" s="65"/>
      <c r="Q4" s="65"/>
    </row>
    <row r="5" spans="1:17" x14ac:dyDescent="0.25">
      <c r="A5" s="71" t="s">
        <v>591</v>
      </c>
      <c r="B5" s="71" t="s">
        <v>592</v>
      </c>
      <c r="C5" s="71" t="s">
        <v>593</v>
      </c>
      <c r="D5" s="71" t="s">
        <v>594</v>
      </c>
      <c r="E5" s="71" t="s">
        <v>595</v>
      </c>
      <c r="F5" s="71" t="s">
        <v>596</v>
      </c>
      <c r="G5" s="71" t="s">
        <v>597</v>
      </c>
      <c r="H5" s="71" t="s">
        <v>598</v>
      </c>
      <c r="I5" s="71" t="s">
        <v>591</v>
      </c>
      <c r="J5" s="65"/>
      <c r="K5" s="65"/>
      <c r="L5" s="65"/>
      <c r="M5" s="65"/>
      <c r="N5" s="65"/>
      <c r="O5" s="65"/>
      <c r="P5" s="65"/>
      <c r="Q5" s="65"/>
    </row>
    <row r="6" spans="1:17" x14ac:dyDescent="0.25">
      <c r="A6" s="71" t="s">
        <v>599</v>
      </c>
      <c r="B6" s="71" t="s">
        <v>600</v>
      </c>
      <c r="C6" s="71" t="s">
        <v>601</v>
      </c>
      <c r="D6" s="71" t="s">
        <v>602</v>
      </c>
      <c r="E6" s="71" t="s">
        <v>603</v>
      </c>
      <c r="F6" s="71" t="s">
        <v>604</v>
      </c>
      <c r="G6" s="71" t="s">
        <v>605</v>
      </c>
      <c r="H6" s="71" t="s">
        <v>606</v>
      </c>
      <c r="I6" s="71" t="s">
        <v>599</v>
      </c>
      <c r="J6" s="65"/>
      <c r="K6" s="65"/>
      <c r="L6" s="65"/>
      <c r="M6" s="65"/>
      <c r="N6" s="65"/>
      <c r="O6" s="65"/>
      <c r="P6" s="65"/>
      <c r="Q6" s="65"/>
    </row>
    <row r="7" spans="1:17" x14ac:dyDescent="0.25">
      <c r="A7" s="71" t="s">
        <v>607</v>
      </c>
      <c r="B7" s="71" t="s">
        <v>608</v>
      </c>
      <c r="C7" s="71" t="s">
        <v>609</v>
      </c>
      <c r="D7" s="71" t="s">
        <v>610</v>
      </c>
      <c r="E7" s="71" t="s">
        <v>611</v>
      </c>
      <c r="F7" s="71" t="s">
        <v>612</v>
      </c>
      <c r="G7" s="71" t="s">
        <v>613</v>
      </c>
      <c r="H7" s="71" t="s">
        <v>614</v>
      </c>
      <c r="I7" s="71" t="s">
        <v>607</v>
      </c>
      <c r="J7" s="65"/>
      <c r="K7" s="65"/>
      <c r="L7" s="65"/>
      <c r="M7" s="65"/>
      <c r="N7" s="65"/>
      <c r="O7" s="65"/>
      <c r="P7" s="65"/>
      <c r="Q7" s="65"/>
    </row>
    <row r="8" spans="1:17" x14ac:dyDescent="0.25">
      <c r="A8" s="71" t="s">
        <v>615</v>
      </c>
      <c r="B8" s="71" t="s">
        <v>616</v>
      </c>
      <c r="C8" s="71" t="s">
        <v>617</v>
      </c>
      <c r="D8" s="71" t="s">
        <v>618</v>
      </c>
      <c r="E8" s="71" t="s">
        <v>619</v>
      </c>
      <c r="F8" s="71" t="s">
        <v>620</v>
      </c>
      <c r="G8" s="71" t="s">
        <v>621</v>
      </c>
      <c r="H8" s="71" t="s">
        <v>622</v>
      </c>
      <c r="I8" s="71" t="s">
        <v>615</v>
      </c>
      <c r="J8" s="65"/>
      <c r="K8" s="65"/>
      <c r="L8" s="65"/>
      <c r="M8" s="65"/>
      <c r="N8" s="65"/>
      <c r="O8" s="65"/>
      <c r="P8" s="65"/>
      <c r="Q8" s="65"/>
    </row>
    <row r="9" spans="1:17" x14ac:dyDescent="0.25">
      <c r="A9" s="71" t="s">
        <v>623</v>
      </c>
      <c r="B9" s="71" t="s">
        <v>624</v>
      </c>
      <c r="C9" s="71" t="s">
        <v>625</v>
      </c>
      <c r="D9" s="71" t="s">
        <v>626</v>
      </c>
      <c r="E9" s="71" t="s">
        <v>627</v>
      </c>
      <c r="F9" s="71" t="s">
        <v>628</v>
      </c>
      <c r="G9" s="71" t="s">
        <v>629</v>
      </c>
      <c r="H9" s="71" t="s">
        <v>630</v>
      </c>
      <c r="I9" s="71" t="s">
        <v>623</v>
      </c>
      <c r="J9" s="65"/>
      <c r="K9" s="65"/>
      <c r="L9" s="65"/>
      <c r="M9" s="65"/>
      <c r="N9" s="65"/>
      <c r="O9" s="65"/>
      <c r="P9" s="65"/>
      <c r="Q9" s="65"/>
    </row>
    <row r="10" spans="1:17" x14ac:dyDescent="0.25">
      <c r="A10" s="71" t="s">
        <v>631</v>
      </c>
      <c r="B10" s="71" t="s">
        <v>632</v>
      </c>
      <c r="C10" s="71" t="s">
        <v>633</v>
      </c>
      <c r="D10" s="71" t="s">
        <v>634</v>
      </c>
      <c r="E10" s="71" t="s">
        <v>635</v>
      </c>
      <c r="F10" s="71" t="s">
        <v>636</v>
      </c>
      <c r="G10" s="71" t="s">
        <v>637</v>
      </c>
      <c r="H10" s="71" t="s">
        <v>638</v>
      </c>
      <c r="I10" s="71" t="s">
        <v>631</v>
      </c>
      <c r="J10" s="65"/>
      <c r="K10" s="65"/>
      <c r="L10" s="65"/>
      <c r="M10" s="65"/>
      <c r="N10" s="65"/>
      <c r="O10" s="65"/>
      <c r="P10" s="65"/>
      <c r="Q10" s="65"/>
    </row>
    <row r="11" spans="1:17" x14ac:dyDescent="0.25">
      <c r="A11" s="71" t="s">
        <v>639</v>
      </c>
      <c r="B11" s="71" t="s">
        <v>640</v>
      </c>
      <c r="C11" s="71" t="s">
        <v>641</v>
      </c>
      <c r="D11" s="71" t="s">
        <v>642</v>
      </c>
      <c r="E11" s="71" t="s">
        <v>643</v>
      </c>
      <c r="F11" s="71" t="s">
        <v>644</v>
      </c>
      <c r="G11" s="71" t="s">
        <v>645</v>
      </c>
      <c r="H11" s="71" t="s">
        <v>646</v>
      </c>
      <c r="I11" s="71" t="s">
        <v>639</v>
      </c>
      <c r="J11" s="65"/>
      <c r="K11" s="65"/>
      <c r="L11" s="65"/>
      <c r="M11" s="65"/>
      <c r="N11" s="65"/>
      <c r="O11" s="65"/>
      <c r="P11" s="65"/>
      <c r="Q11" s="65"/>
    </row>
    <row r="12" spans="1:17" x14ac:dyDescent="0.25">
      <c r="A12" s="71" t="s">
        <v>647</v>
      </c>
      <c r="B12" s="71" t="s">
        <v>648</v>
      </c>
      <c r="C12" s="71" t="s">
        <v>649</v>
      </c>
      <c r="D12" s="71" t="s">
        <v>650</v>
      </c>
      <c r="E12" s="71" t="s">
        <v>651</v>
      </c>
      <c r="F12" s="71" t="s">
        <v>652</v>
      </c>
      <c r="G12" s="71" t="s">
        <v>653</v>
      </c>
      <c r="H12" s="71" t="s">
        <v>654</v>
      </c>
      <c r="I12" s="71" t="s">
        <v>647</v>
      </c>
      <c r="J12" s="65"/>
      <c r="K12" s="65"/>
      <c r="L12" s="65"/>
      <c r="M12" s="65"/>
      <c r="N12" s="65"/>
      <c r="O12" s="65"/>
      <c r="P12" s="65"/>
      <c r="Q12" s="65"/>
    </row>
    <row r="13" spans="1:17" x14ac:dyDescent="0.25">
      <c r="A13" s="71" t="s">
        <v>655</v>
      </c>
      <c r="B13" s="71" t="s">
        <v>656</v>
      </c>
      <c r="C13" s="71" t="s">
        <v>657</v>
      </c>
      <c r="D13" s="71" t="s">
        <v>658</v>
      </c>
      <c r="E13" s="71" t="s">
        <v>659</v>
      </c>
      <c r="F13" s="71" t="s">
        <v>660</v>
      </c>
      <c r="G13" s="71" t="s">
        <v>661</v>
      </c>
      <c r="H13" s="71" t="s">
        <v>662</v>
      </c>
      <c r="I13" s="71" t="s">
        <v>655</v>
      </c>
      <c r="J13" s="65"/>
      <c r="K13" s="65"/>
      <c r="L13" s="65"/>
      <c r="M13" s="65"/>
      <c r="N13" s="65"/>
      <c r="O13" s="65"/>
      <c r="P13" s="65"/>
      <c r="Q13" s="65"/>
    </row>
    <row r="14" spans="1:17" x14ac:dyDescent="0.25">
      <c r="A14" s="71" t="s">
        <v>663</v>
      </c>
      <c r="B14" s="71" t="s">
        <v>664</v>
      </c>
      <c r="C14" s="71" t="s">
        <v>665</v>
      </c>
      <c r="D14" s="71" t="s">
        <v>666</v>
      </c>
      <c r="E14" s="71" t="s">
        <v>667</v>
      </c>
      <c r="F14" s="71" t="s">
        <v>668</v>
      </c>
      <c r="G14" s="71" t="s">
        <v>669</v>
      </c>
      <c r="H14" s="71" t="s">
        <v>670</v>
      </c>
      <c r="I14" s="71" t="s">
        <v>663</v>
      </c>
      <c r="J14" s="65"/>
      <c r="K14" s="65"/>
      <c r="L14" s="65"/>
      <c r="M14" s="65"/>
      <c r="N14" s="65"/>
      <c r="O14" s="65"/>
      <c r="P14" s="65"/>
      <c r="Q14" s="65"/>
    </row>
    <row r="15" spans="1:17" x14ac:dyDescent="0.25">
      <c r="A15" s="71" t="s">
        <v>671</v>
      </c>
      <c r="B15" s="71" t="s">
        <v>672</v>
      </c>
      <c r="C15" s="71" t="s">
        <v>673</v>
      </c>
      <c r="D15" s="71" t="s">
        <v>674</v>
      </c>
      <c r="E15" s="71" t="s">
        <v>675</v>
      </c>
      <c r="F15" s="71" t="s">
        <v>676</v>
      </c>
      <c r="G15" s="71" t="s">
        <v>677</v>
      </c>
      <c r="H15" s="71" t="s">
        <v>678</v>
      </c>
      <c r="I15" s="71" t="s">
        <v>671</v>
      </c>
      <c r="J15" s="65"/>
      <c r="K15" s="65"/>
      <c r="L15" s="65"/>
      <c r="M15" s="65"/>
      <c r="N15" s="65"/>
      <c r="O15" s="65"/>
      <c r="P15" s="65"/>
      <c r="Q15" s="65"/>
    </row>
    <row r="16" spans="1:17" x14ac:dyDescent="0.25">
      <c r="A16" s="71" t="s">
        <v>679</v>
      </c>
      <c r="B16" s="71" t="s">
        <v>680</v>
      </c>
      <c r="C16" s="71" t="s">
        <v>681</v>
      </c>
      <c r="D16" s="71" t="s">
        <v>682</v>
      </c>
      <c r="E16" s="71" t="s">
        <v>683</v>
      </c>
      <c r="F16" s="71" t="s">
        <v>684</v>
      </c>
      <c r="G16" s="71" t="s">
        <v>685</v>
      </c>
      <c r="H16" s="71" t="s">
        <v>686</v>
      </c>
      <c r="I16" s="71" t="s">
        <v>679</v>
      </c>
      <c r="J16" s="65"/>
      <c r="K16" s="65"/>
      <c r="L16" s="65"/>
      <c r="M16" s="65"/>
      <c r="N16" s="65"/>
      <c r="O16" s="65"/>
      <c r="P16" s="65"/>
      <c r="Q16" s="65"/>
    </row>
    <row r="17" spans="1:17" x14ac:dyDescent="0.25">
      <c r="A17" s="72" t="s">
        <v>687</v>
      </c>
      <c r="B17" s="72" t="s">
        <v>688</v>
      </c>
      <c r="C17" s="72" t="s">
        <v>689</v>
      </c>
      <c r="D17" s="72" t="s">
        <v>690</v>
      </c>
      <c r="E17" s="72" t="s">
        <v>691</v>
      </c>
      <c r="F17" s="72" t="s">
        <v>692</v>
      </c>
      <c r="G17" s="72" t="s">
        <v>693</v>
      </c>
      <c r="H17" s="72" t="s">
        <v>694</v>
      </c>
      <c r="I17" s="82" t="s">
        <v>687</v>
      </c>
      <c r="J17" s="65"/>
      <c r="K17" s="65"/>
      <c r="L17" s="65"/>
      <c r="M17" s="65"/>
      <c r="N17" s="65"/>
      <c r="O17" s="65"/>
      <c r="P17" s="65"/>
      <c r="Q17" s="65"/>
    </row>
    <row r="18" spans="1:17" x14ac:dyDescent="0.25">
      <c r="A18" s="72" t="s">
        <v>695</v>
      </c>
      <c r="B18" s="72" t="s">
        <v>696</v>
      </c>
      <c r="C18" s="72" t="s">
        <v>697</v>
      </c>
      <c r="D18" s="72" t="s">
        <v>698</v>
      </c>
      <c r="E18" s="72" t="s">
        <v>699</v>
      </c>
      <c r="F18" s="72" t="s">
        <v>700</v>
      </c>
      <c r="G18" s="72" t="s">
        <v>701</v>
      </c>
      <c r="H18" s="72" t="s">
        <v>702</v>
      </c>
      <c r="I18" s="82" t="s">
        <v>695</v>
      </c>
      <c r="J18" s="65"/>
      <c r="K18" s="65"/>
      <c r="L18" s="65"/>
      <c r="M18" s="65"/>
      <c r="N18" s="65"/>
      <c r="O18" s="65"/>
      <c r="P18" s="65"/>
      <c r="Q18" s="65"/>
    </row>
    <row r="19" spans="1:17" x14ac:dyDescent="0.25">
      <c r="A19" s="72" t="s">
        <v>703</v>
      </c>
      <c r="B19" s="72" t="s">
        <v>704</v>
      </c>
      <c r="C19" s="72" t="s">
        <v>705</v>
      </c>
      <c r="D19" s="72" t="s">
        <v>706</v>
      </c>
      <c r="E19" s="72" t="s">
        <v>707</v>
      </c>
      <c r="F19" s="72" t="s">
        <v>708</v>
      </c>
      <c r="G19" s="72" t="s">
        <v>709</v>
      </c>
      <c r="H19" s="72" t="s">
        <v>710</v>
      </c>
      <c r="I19" s="82" t="s">
        <v>703</v>
      </c>
      <c r="J19" s="65"/>
      <c r="K19" s="65"/>
      <c r="L19" s="65"/>
      <c r="M19" s="65"/>
      <c r="N19" s="65"/>
      <c r="O19" s="65"/>
      <c r="P19" s="65"/>
      <c r="Q19" s="65"/>
    </row>
    <row r="20" spans="1:17" x14ac:dyDescent="0.25">
      <c r="A20" s="72" t="s">
        <v>711</v>
      </c>
      <c r="B20" s="72" t="s">
        <v>712</v>
      </c>
      <c r="C20" s="72" t="s">
        <v>713</v>
      </c>
      <c r="D20" s="72" t="s">
        <v>714</v>
      </c>
      <c r="E20" s="72" t="s">
        <v>715</v>
      </c>
      <c r="F20" s="72" t="s">
        <v>716</v>
      </c>
      <c r="G20" s="72" t="s">
        <v>717</v>
      </c>
      <c r="H20" s="72" t="s">
        <v>718</v>
      </c>
      <c r="I20" s="82" t="s">
        <v>711</v>
      </c>
      <c r="J20" s="65"/>
      <c r="K20" s="65"/>
      <c r="L20" s="65"/>
      <c r="M20" s="65"/>
      <c r="N20" s="65"/>
      <c r="O20" s="65"/>
      <c r="P20" s="65"/>
      <c r="Q20" s="65"/>
    </row>
    <row r="21" spans="1:17" x14ac:dyDescent="0.25">
      <c r="A21" s="72" t="s">
        <v>719</v>
      </c>
      <c r="B21" s="72" t="s">
        <v>720</v>
      </c>
      <c r="C21" s="72" t="s">
        <v>721</v>
      </c>
      <c r="D21" s="72" t="s">
        <v>722</v>
      </c>
      <c r="E21" s="72" t="s">
        <v>723</v>
      </c>
      <c r="F21" s="72" t="s">
        <v>724</v>
      </c>
      <c r="G21" s="72" t="s">
        <v>725</v>
      </c>
      <c r="H21" s="72" t="s">
        <v>726</v>
      </c>
      <c r="I21" s="82" t="s">
        <v>719</v>
      </c>
      <c r="J21" s="65"/>
      <c r="K21" s="65"/>
      <c r="L21" s="65"/>
      <c r="M21" s="65"/>
      <c r="N21" s="65"/>
      <c r="O21" s="65"/>
      <c r="P21" s="65"/>
      <c r="Q21" s="65"/>
    </row>
    <row r="22" spans="1:17" x14ac:dyDescent="0.25">
      <c r="A22" s="72" t="s">
        <v>727</v>
      </c>
      <c r="B22" s="72" t="s">
        <v>728</v>
      </c>
      <c r="C22" s="72" t="s">
        <v>729</v>
      </c>
      <c r="D22" s="72" t="s">
        <v>730</v>
      </c>
      <c r="E22" s="72" t="s">
        <v>731</v>
      </c>
      <c r="F22" s="72" t="s">
        <v>732</v>
      </c>
      <c r="G22" s="72" t="s">
        <v>733</v>
      </c>
      <c r="H22" s="72" t="s">
        <v>734</v>
      </c>
      <c r="I22" s="82" t="s">
        <v>727</v>
      </c>
      <c r="J22" s="65"/>
      <c r="K22" s="65"/>
      <c r="L22" s="65"/>
      <c r="M22" s="65"/>
      <c r="N22" s="65"/>
      <c r="O22" s="65"/>
      <c r="P22" s="65"/>
      <c r="Q22" s="65"/>
    </row>
    <row r="23" spans="1:17" x14ac:dyDescent="0.25">
      <c r="A23" s="72" t="s">
        <v>735</v>
      </c>
      <c r="B23" s="72" t="s">
        <v>736</v>
      </c>
      <c r="C23" s="72" t="s">
        <v>737</v>
      </c>
      <c r="D23" s="72" t="s">
        <v>738</v>
      </c>
      <c r="E23" s="72" t="s">
        <v>739</v>
      </c>
      <c r="F23" s="72" t="s">
        <v>740</v>
      </c>
      <c r="G23" s="72" t="s">
        <v>741</v>
      </c>
      <c r="H23" s="72" t="s">
        <v>742</v>
      </c>
      <c r="I23" s="82" t="s">
        <v>735</v>
      </c>
      <c r="J23" s="65"/>
      <c r="K23" s="65"/>
      <c r="L23" s="65"/>
      <c r="M23" s="65"/>
      <c r="N23" s="65"/>
      <c r="O23" s="65"/>
      <c r="P23" s="65"/>
      <c r="Q23" s="65"/>
    </row>
    <row r="24" spans="1:17" x14ac:dyDescent="0.25">
      <c r="A24" s="72" t="s">
        <v>743</v>
      </c>
      <c r="B24" s="72" t="s">
        <v>744</v>
      </c>
      <c r="C24" s="72" t="s">
        <v>745</v>
      </c>
      <c r="D24" s="72" t="s">
        <v>746</v>
      </c>
      <c r="E24" s="72" t="s">
        <v>747</v>
      </c>
      <c r="F24" s="72" t="s">
        <v>748</v>
      </c>
      <c r="G24" s="72" t="s">
        <v>749</v>
      </c>
      <c r="H24" s="72" t="s">
        <v>750</v>
      </c>
      <c r="I24" s="82" t="s">
        <v>743</v>
      </c>
      <c r="J24" s="65"/>
      <c r="K24" s="65"/>
      <c r="L24" s="65"/>
      <c r="M24" s="65"/>
      <c r="N24" s="65"/>
      <c r="O24" s="65"/>
      <c r="P24" s="65"/>
      <c r="Q24" s="65"/>
    </row>
    <row r="25" spans="1:17" x14ac:dyDescent="0.25">
      <c r="A25" s="72" t="s">
        <v>751</v>
      </c>
      <c r="B25" s="72" t="s">
        <v>752</v>
      </c>
      <c r="C25" s="72" t="s">
        <v>753</v>
      </c>
      <c r="D25" s="72" t="s">
        <v>754</v>
      </c>
      <c r="E25" s="72" t="s">
        <v>755</v>
      </c>
      <c r="F25" s="72" t="s">
        <v>756</v>
      </c>
      <c r="G25" s="72" t="s">
        <v>757</v>
      </c>
      <c r="H25" s="72" t="s">
        <v>758</v>
      </c>
      <c r="I25" s="82" t="s">
        <v>751</v>
      </c>
      <c r="J25" s="65"/>
      <c r="K25" s="65"/>
      <c r="L25" s="65"/>
      <c r="M25" s="65"/>
      <c r="N25" s="65"/>
      <c r="O25" s="65"/>
      <c r="P25" s="65"/>
      <c r="Q25" s="65"/>
    </row>
    <row r="26" spans="1:17" x14ac:dyDescent="0.25">
      <c r="A26" s="72" t="s">
        <v>759</v>
      </c>
      <c r="B26" s="72" t="s">
        <v>760</v>
      </c>
      <c r="C26" s="72" t="s">
        <v>761</v>
      </c>
      <c r="D26" s="72" t="s">
        <v>762</v>
      </c>
      <c r="E26" s="72" t="s">
        <v>763</v>
      </c>
      <c r="F26" s="72" t="s">
        <v>764</v>
      </c>
      <c r="G26" s="72" t="s">
        <v>765</v>
      </c>
      <c r="H26" s="72" t="s">
        <v>766</v>
      </c>
      <c r="I26" s="82" t="s">
        <v>759</v>
      </c>
      <c r="J26" s="65"/>
      <c r="K26" s="65"/>
      <c r="L26" s="65"/>
      <c r="M26" s="65"/>
      <c r="N26" s="65"/>
      <c r="O26" s="65"/>
      <c r="P26" s="65"/>
      <c r="Q26" s="65"/>
    </row>
    <row r="27" spans="1:17" x14ac:dyDescent="0.25">
      <c r="A27" s="72" t="s">
        <v>767</v>
      </c>
      <c r="B27" s="72" t="s">
        <v>768</v>
      </c>
      <c r="C27" s="72" t="s">
        <v>769</v>
      </c>
      <c r="D27" s="72" t="s">
        <v>770</v>
      </c>
      <c r="E27" s="72" t="s">
        <v>771</v>
      </c>
      <c r="F27" s="72" t="s">
        <v>772</v>
      </c>
      <c r="G27" s="72" t="s">
        <v>773</v>
      </c>
      <c r="H27" s="72" t="s">
        <v>774</v>
      </c>
      <c r="I27" s="82" t="s">
        <v>767</v>
      </c>
      <c r="J27" s="65"/>
      <c r="K27" s="65"/>
      <c r="L27" s="65"/>
      <c r="M27" s="65"/>
      <c r="N27" s="65"/>
      <c r="O27" s="65"/>
      <c r="P27" s="65"/>
      <c r="Q27" s="65"/>
    </row>
    <row r="28" spans="1:17" x14ac:dyDescent="0.25">
      <c r="A28" s="72" t="s">
        <v>775</v>
      </c>
      <c r="B28" s="72" t="s">
        <v>776</v>
      </c>
      <c r="C28" s="72" t="s">
        <v>777</v>
      </c>
      <c r="D28" s="72" t="s">
        <v>778</v>
      </c>
      <c r="E28" s="72" t="s">
        <v>779</v>
      </c>
      <c r="F28" s="72" t="s">
        <v>780</v>
      </c>
      <c r="G28" s="72" t="s">
        <v>781</v>
      </c>
      <c r="H28" s="72" t="s">
        <v>782</v>
      </c>
      <c r="I28" s="82" t="s">
        <v>775</v>
      </c>
      <c r="J28" s="65"/>
      <c r="K28" s="65"/>
      <c r="L28" s="65"/>
      <c r="M28" s="65"/>
      <c r="N28" s="65"/>
      <c r="O28" s="65"/>
      <c r="P28" s="65"/>
      <c r="Q28" s="65"/>
    </row>
    <row r="29" spans="1:17" x14ac:dyDescent="0.25">
      <c r="A29" s="72" t="s">
        <v>783</v>
      </c>
      <c r="B29" s="72" t="s">
        <v>784</v>
      </c>
      <c r="C29" s="72" t="s">
        <v>785</v>
      </c>
      <c r="D29" s="72" t="s">
        <v>786</v>
      </c>
      <c r="E29" s="72" t="s">
        <v>787</v>
      </c>
      <c r="F29" s="72" t="s">
        <v>788</v>
      </c>
      <c r="G29" s="72" t="s">
        <v>789</v>
      </c>
      <c r="H29" s="72" t="s">
        <v>790</v>
      </c>
      <c r="I29" s="83" t="s">
        <v>783</v>
      </c>
      <c r="J29" s="65"/>
      <c r="K29" s="65"/>
      <c r="L29" s="65"/>
      <c r="M29" s="65"/>
      <c r="N29" s="65"/>
      <c r="O29" s="65"/>
      <c r="P29" s="65"/>
      <c r="Q29" s="65"/>
    </row>
    <row r="30" spans="1:17" x14ac:dyDescent="0.25">
      <c r="A30" s="72" t="s">
        <v>791</v>
      </c>
      <c r="B30" s="72" t="s">
        <v>792</v>
      </c>
      <c r="C30" s="72" t="s">
        <v>793</v>
      </c>
      <c r="D30" s="72" t="s">
        <v>794</v>
      </c>
      <c r="E30" s="72" t="s">
        <v>795</v>
      </c>
      <c r="F30" s="72" t="s">
        <v>796</v>
      </c>
      <c r="G30" s="72" t="s">
        <v>797</v>
      </c>
      <c r="H30" s="72" t="s">
        <v>798</v>
      </c>
      <c r="I30" s="81" t="s">
        <v>791</v>
      </c>
      <c r="J30" s="65"/>
      <c r="K30" s="65"/>
      <c r="L30" s="65"/>
      <c r="M30" s="65"/>
      <c r="N30" s="65"/>
      <c r="O30" s="65"/>
      <c r="P30" s="65"/>
      <c r="Q30" s="65"/>
    </row>
    <row r="31" spans="1:17" x14ac:dyDescent="0.25">
      <c r="A31" s="73" t="s">
        <v>799</v>
      </c>
      <c r="B31" s="73" t="s">
        <v>800</v>
      </c>
      <c r="C31" s="73" t="s">
        <v>801</v>
      </c>
      <c r="D31" s="73" t="s">
        <v>802</v>
      </c>
      <c r="E31" s="73" t="s">
        <v>803</v>
      </c>
      <c r="F31" s="73" t="s">
        <v>804</v>
      </c>
      <c r="G31" s="73" t="s">
        <v>805</v>
      </c>
      <c r="H31" s="73" t="s">
        <v>806</v>
      </c>
      <c r="I31" s="85" t="s">
        <v>799</v>
      </c>
      <c r="J31" s="65"/>
      <c r="K31" s="65">
        <v>329.63</v>
      </c>
      <c r="L31" s="65"/>
      <c r="M31" s="65"/>
      <c r="N31" s="65"/>
      <c r="O31" s="65"/>
      <c r="P31" s="65"/>
      <c r="Q31" s="65"/>
    </row>
    <row r="32" spans="1:17" x14ac:dyDescent="0.25">
      <c r="A32" s="72" t="s">
        <v>807</v>
      </c>
      <c r="B32" s="72" t="s">
        <v>808</v>
      </c>
      <c r="C32" s="72" t="s">
        <v>809</v>
      </c>
      <c r="D32" s="72" t="s">
        <v>810</v>
      </c>
      <c r="E32" s="72" t="s">
        <v>811</v>
      </c>
      <c r="F32" s="72" t="s">
        <v>812</v>
      </c>
      <c r="G32" s="72" t="s">
        <v>813</v>
      </c>
      <c r="H32" s="72" t="s">
        <v>814</v>
      </c>
      <c r="I32" s="84" t="s">
        <v>807</v>
      </c>
      <c r="J32" s="65"/>
      <c r="K32" s="65">
        <v>467.62</v>
      </c>
      <c r="L32" s="65"/>
      <c r="M32" s="65"/>
      <c r="N32" s="65"/>
      <c r="O32" s="65"/>
      <c r="P32" s="65"/>
      <c r="Q32" s="65"/>
    </row>
    <row r="33" spans="1:17" x14ac:dyDescent="0.25">
      <c r="A33" s="73" t="s">
        <v>815</v>
      </c>
      <c r="B33" s="73" t="s">
        <v>816</v>
      </c>
      <c r="C33" s="73" t="s">
        <v>817</v>
      </c>
      <c r="D33" s="73" t="s">
        <v>818</v>
      </c>
      <c r="E33" s="73" t="s">
        <v>819</v>
      </c>
      <c r="F33" s="73" t="s">
        <v>820</v>
      </c>
      <c r="G33" s="73" t="s">
        <v>821</v>
      </c>
      <c r="H33" s="73" t="s">
        <v>822</v>
      </c>
      <c r="I33" s="85" t="s">
        <v>815</v>
      </c>
      <c r="J33" s="65"/>
      <c r="K33" s="65"/>
      <c r="L33" s="65"/>
      <c r="M33" s="65"/>
      <c r="N33" s="65"/>
      <c r="O33" s="65"/>
      <c r="P33" s="65"/>
      <c r="Q33" s="65"/>
    </row>
    <row r="34" spans="1:17" x14ac:dyDescent="0.25">
      <c r="A34" s="73" t="s">
        <v>823</v>
      </c>
      <c r="B34" s="73" t="s">
        <v>824</v>
      </c>
      <c r="C34" s="73" t="s">
        <v>825</v>
      </c>
      <c r="D34" s="73" t="s">
        <v>826</v>
      </c>
      <c r="E34" s="73" t="s">
        <v>827</v>
      </c>
      <c r="F34" s="73" t="s">
        <v>828</v>
      </c>
      <c r="G34" s="73" t="s">
        <v>829</v>
      </c>
      <c r="H34" s="73" t="s">
        <v>830</v>
      </c>
      <c r="I34" s="85" t="s">
        <v>823</v>
      </c>
      <c r="J34" s="65"/>
      <c r="K34" s="65">
        <v>2309.5500000000002</v>
      </c>
      <c r="L34" s="65"/>
      <c r="M34" s="65"/>
      <c r="N34" s="65"/>
      <c r="O34" s="65"/>
      <c r="P34" s="65"/>
      <c r="Q34" s="65"/>
    </row>
    <row r="35" spans="1:17" x14ac:dyDescent="0.25">
      <c r="A35" s="72" t="s">
        <v>831</v>
      </c>
      <c r="B35" s="72" t="s">
        <v>832</v>
      </c>
      <c r="C35" s="72" t="s">
        <v>833</v>
      </c>
      <c r="D35" s="72" t="s">
        <v>834</v>
      </c>
      <c r="E35" s="72" t="s">
        <v>835</v>
      </c>
      <c r="F35" s="72" t="s">
        <v>836</v>
      </c>
      <c r="G35" s="72" t="s">
        <v>837</v>
      </c>
      <c r="H35" s="72" t="s">
        <v>838</v>
      </c>
      <c r="I35" s="71" t="s">
        <v>831</v>
      </c>
      <c r="J35" s="65"/>
      <c r="K35" s="65">
        <v>1111.5899999999999</v>
      </c>
      <c r="L35" s="65"/>
      <c r="M35" s="65"/>
      <c r="N35" s="65"/>
      <c r="O35" s="65"/>
      <c r="P35" s="65"/>
      <c r="Q35" s="65"/>
    </row>
    <row r="36" spans="1:17" x14ac:dyDescent="0.25">
      <c r="A36" s="73" t="s">
        <v>839</v>
      </c>
      <c r="B36" s="73" t="s">
        <v>840</v>
      </c>
      <c r="C36" s="73" t="s">
        <v>841</v>
      </c>
      <c r="D36" s="73" t="s">
        <v>842</v>
      </c>
      <c r="E36" s="73" t="s">
        <v>843</v>
      </c>
      <c r="F36" s="73" t="s">
        <v>844</v>
      </c>
      <c r="G36" s="73" t="s">
        <v>845</v>
      </c>
      <c r="H36" s="73" t="s">
        <v>846</v>
      </c>
      <c r="I36" s="85" t="s">
        <v>839</v>
      </c>
      <c r="J36" s="65"/>
      <c r="K36" s="65">
        <v>1039.1199999999999</v>
      </c>
      <c r="L36" s="65"/>
      <c r="M36" s="65"/>
      <c r="N36" s="65"/>
      <c r="O36" s="65"/>
      <c r="P36" s="65"/>
      <c r="Q36" s="65"/>
    </row>
    <row r="37" spans="1:17" x14ac:dyDescent="0.25">
      <c r="A37" s="73" t="s">
        <v>847</v>
      </c>
      <c r="B37" s="73" t="s">
        <v>848</v>
      </c>
      <c r="C37" s="73" t="s">
        <v>849</v>
      </c>
      <c r="D37" s="73" t="s">
        <v>850</v>
      </c>
      <c r="E37" s="73" t="s">
        <v>851</v>
      </c>
      <c r="F37" s="73" t="s">
        <v>852</v>
      </c>
      <c r="G37" s="73" t="s">
        <v>853</v>
      </c>
      <c r="H37" s="73" t="s">
        <v>854</v>
      </c>
      <c r="I37" s="85" t="s">
        <v>847</v>
      </c>
      <c r="J37" s="65"/>
      <c r="K37" s="65">
        <v>2320.63</v>
      </c>
      <c r="L37" s="65"/>
      <c r="M37" s="65"/>
      <c r="N37" s="65"/>
      <c r="O37" s="65"/>
      <c r="P37" s="65"/>
      <c r="Q37" s="65"/>
    </row>
    <row r="38" spans="1:17" x14ac:dyDescent="0.25">
      <c r="A38" s="67" t="s">
        <v>855</v>
      </c>
      <c r="B38" s="72" t="s">
        <v>856</v>
      </c>
      <c r="C38" s="72" t="s">
        <v>857</v>
      </c>
      <c r="D38" s="72" t="s">
        <v>858</v>
      </c>
      <c r="E38" s="72" t="s">
        <v>859</v>
      </c>
      <c r="F38" s="72" t="s">
        <v>860</v>
      </c>
      <c r="G38" s="72" t="s">
        <v>861</v>
      </c>
      <c r="H38" s="72" t="s">
        <v>862</v>
      </c>
      <c r="I38" s="72" t="s">
        <v>863</v>
      </c>
      <c r="J38" s="72" t="s">
        <v>855</v>
      </c>
      <c r="K38" s="65">
        <v>1410.58</v>
      </c>
      <c r="L38" s="65"/>
      <c r="M38" s="65"/>
      <c r="N38" s="65"/>
      <c r="O38" s="65"/>
      <c r="P38" s="65"/>
      <c r="Q38" s="65"/>
    </row>
    <row r="39" spans="1:17" x14ac:dyDescent="0.25">
      <c r="A39" s="67" t="s">
        <v>864</v>
      </c>
      <c r="B39" s="72" t="s">
        <v>865</v>
      </c>
      <c r="C39" s="67" t="s">
        <v>866</v>
      </c>
      <c r="D39" s="67" t="s">
        <v>867</v>
      </c>
      <c r="E39" s="67" t="s">
        <v>868</v>
      </c>
      <c r="F39" s="67" t="s">
        <v>869</v>
      </c>
      <c r="G39" s="67" t="s">
        <v>870</v>
      </c>
      <c r="H39" s="67" t="s">
        <v>871</v>
      </c>
      <c r="I39" s="67" t="s">
        <v>872</v>
      </c>
      <c r="J39" s="67" t="s">
        <v>864</v>
      </c>
      <c r="K39" s="65">
        <v>20.92</v>
      </c>
      <c r="L39" s="65"/>
      <c r="M39" s="65"/>
      <c r="N39" s="65"/>
      <c r="O39" s="65"/>
      <c r="P39" s="65"/>
      <c r="Q39" s="65"/>
    </row>
    <row r="40" spans="1:17" x14ac:dyDescent="0.25">
      <c r="A40" s="67" t="s">
        <v>873</v>
      </c>
      <c r="B40" s="72" t="s">
        <v>874</v>
      </c>
      <c r="C40" s="67" t="s">
        <v>875</v>
      </c>
      <c r="D40" s="67" t="s">
        <v>876</v>
      </c>
      <c r="E40" s="67" t="s">
        <v>877</v>
      </c>
      <c r="F40" s="67" t="s">
        <v>878</v>
      </c>
      <c r="G40" s="67" t="s">
        <v>879</v>
      </c>
      <c r="H40" s="67" t="s">
        <v>880</v>
      </c>
      <c r="I40" s="67" t="s">
        <v>881</v>
      </c>
      <c r="J40" s="67" t="s">
        <v>873</v>
      </c>
      <c r="K40" s="65">
        <v>48.82</v>
      </c>
      <c r="L40" s="65"/>
      <c r="M40" s="65"/>
      <c r="N40" s="65"/>
      <c r="O40" s="65"/>
      <c r="P40" s="65"/>
      <c r="Q40" s="65"/>
    </row>
    <row r="41" spans="1:17" x14ac:dyDescent="0.25">
      <c r="A41" s="67" t="s">
        <v>882</v>
      </c>
      <c r="B41" s="72" t="s">
        <v>883</v>
      </c>
      <c r="C41" s="72" t="s">
        <v>884</v>
      </c>
      <c r="D41" s="72" t="s">
        <v>885</v>
      </c>
      <c r="E41" s="72" t="s">
        <v>886</v>
      </c>
      <c r="F41" s="72" t="s">
        <v>887</v>
      </c>
      <c r="G41" s="72" t="s">
        <v>888</v>
      </c>
      <c r="H41" s="72" t="s">
        <v>889</v>
      </c>
      <c r="I41" s="72" t="s">
        <v>890</v>
      </c>
      <c r="J41" s="72" t="s">
        <v>882</v>
      </c>
      <c r="K41" s="65">
        <v>3.14</v>
      </c>
      <c r="L41" s="65"/>
      <c r="M41" s="65"/>
      <c r="N41" s="65"/>
      <c r="O41" s="65"/>
      <c r="P41" s="65"/>
      <c r="Q41" s="65"/>
    </row>
    <row r="42" spans="1:17" x14ac:dyDescent="0.25">
      <c r="A42" s="67" t="s">
        <v>891</v>
      </c>
      <c r="B42" s="72" t="s">
        <v>892</v>
      </c>
      <c r="C42" s="67" t="s">
        <v>893</v>
      </c>
      <c r="D42" s="67" t="s">
        <v>894</v>
      </c>
      <c r="E42" s="67" t="s">
        <v>895</v>
      </c>
      <c r="F42" s="67" t="s">
        <v>896</v>
      </c>
      <c r="G42" s="67" t="s">
        <v>897</v>
      </c>
      <c r="H42" s="67" t="s">
        <v>898</v>
      </c>
      <c r="I42" s="67" t="s">
        <v>899</v>
      </c>
      <c r="J42" s="67" t="s">
        <v>891</v>
      </c>
      <c r="K42" s="65">
        <v>1346.16</v>
      </c>
      <c r="L42" s="65"/>
      <c r="M42" s="65"/>
      <c r="N42" s="65"/>
      <c r="O42" s="65"/>
      <c r="P42" s="65"/>
      <c r="Q42" s="65"/>
    </row>
    <row r="43" spans="1:17" x14ac:dyDescent="0.25">
      <c r="A43" s="67" t="s">
        <v>900</v>
      </c>
      <c r="B43" s="72" t="s">
        <v>901</v>
      </c>
      <c r="C43" s="67" t="s">
        <v>902</v>
      </c>
      <c r="D43" s="67" t="s">
        <v>903</v>
      </c>
      <c r="E43" s="67" t="s">
        <v>904</v>
      </c>
      <c r="F43" s="67" t="s">
        <v>905</v>
      </c>
      <c r="G43" s="67" t="s">
        <v>906</v>
      </c>
      <c r="H43" s="67" t="s">
        <v>907</v>
      </c>
      <c r="I43" s="67" t="s">
        <v>908</v>
      </c>
      <c r="J43" s="67" t="s">
        <v>900</v>
      </c>
      <c r="K43" s="65">
        <v>20.29</v>
      </c>
      <c r="L43" s="65"/>
      <c r="M43" s="65"/>
      <c r="N43" s="65"/>
      <c r="O43" s="65"/>
      <c r="P43" s="65"/>
      <c r="Q43" s="65"/>
    </row>
    <row r="44" spans="1:17" x14ac:dyDescent="0.25">
      <c r="A44" s="67" t="s">
        <v>909</v>
      </c>
      <c r="B44" s="72" t="s">
        <v>910</v>
      </c>
      <c r="C44" s="72" t="s">
        <v>911</v>
      </c>
      <c r="D44" s="72" t="s">
        <v>912</v>
      </c>
      <c r="E44" s="72" t="s">
        <v>913</v>
      </c>
      <c r="F44" s="72" t="s">
        <v>914</v>
      </c>
      <c r="G44" s="72" t="s">
        <v>915</v>
      </c>
      <c r="H44" s="72" t="s">
        <v>916</v>
      </c>
      <c r="I44" s="72" t="s">
        <v>917</v>
      </c>
      <c r="J44" s="72" t="s">
        <v>909</v>
      </c>
      <c r="K44" s="65">
        <v>28.75</v>
      </c>
      <c r="L44" s="65"/>
      <c r="M44" s="65"/>
      <c r="N44" s="65"/>
      <c r="O44" s="65"/>
      <c r="P44" s="65"/>
      <c r="Q44" s="65"/>
    </row>
    <row r="45" spans="1:17" x14ac:dyDescent="0.25">
      <c r="A45" s="67" t="s">
        <v>918</v>
      </c>
      <c r="B45" s="72" t="s">
        <v>919</v>
      </c>
      <c r="C45" s="67" t="s">
        <v>920</v>
      </c>
      <c r="D45" s="67" t="s">
        <v>921</v>
      </c>
      <c r="E45" s="67" t="s">
        <v>922</v>
      </c>
      <c r="F45" s="67" t="s">
        <v>923</v>
      </c>
      <c r="G45" s="67" t="s">
        <v>924</v>
      </c>
      <c r="H45" s="67" t="s">
        <v>925</v>
      </c>
      <c r="I45" s="67" t="s">
        <v>926</v>
      </c>
      <c r="J45" s="67" t="s">
        <v>918</v>
      </c>
      <c r="K45" s="65">
        <v>4.62</v>
      </c>
      <c r="L45" s="65"/>
      <c r="M45" s="65"/>
      <c r="N45" s="65"/>
      <c r="O45" s="65"/>
      <c r="P45" s="65"/>
      <c r="Q45" s="65"/>
    </row>
    <row r="46" spans="1:17" x14ac:dyDescent="0.25">
      <c r="A46" s="67" t="s">
        <v>927</v>
      </c>
      <c r="B46" s="72" t="s">
        <v>928</v>
      </c>
      <c r="C46" s="67" t="s">
        <v>929</v>
      </c>
      <c r="D46" s="67" t="s">
        <v>930</v>
      </c>
      <c r="E46" s="67" t="s">
        <v>931</v>
      </c>
      <c r="F46" s="67" t="s">
        <v>932</v>
      </c>
      <c r="G46" s="67" t="s">
        <v>933</v>
      </c>
      <c r="H46" s="67" t="s">
        <v>934</v>
      </c>
      <c r="I46" s="67" t="s">
        <v>935</v>
      </c>
      <c r="J46" s="67" t="s">
        <v>927</v>
      </c>
      <c r="K46" s="65">
        <v>1.26</v>
      </c>
      <c r="L46" s="65"/>
      <c r="M46" s="65"/>
      <c r="N46" s="65"/>
      <c r="O46" s="65"/>
      <c r="P46" s="65"/>
      <c r="Q46" s="65"/>
    </row>
    <row r="47" spans="1:17" x14ac:dyDescent="0.25">
      <c r="A47" s="67" t="s">
        <v>936</v>
      </c>
      <c r="B47" s="72" t="s">
        <v>937</v>
      </c>
      <c r="C47" s="72" t="s">
        <v>938</v>
      </c>
      <c r="D47" s="72" t="s">
        <v>939</v>
      </c>
      <c r="E47" s="72" t="s">
        <v>940</v>
      </c>
      <c r="F47" s="72" t="s">
        <v>941</v>
      </c>
      <c r="G47" s="72" t="s">
        <v>942</v>
      </c>
      <c r="H47" s="72" t="s">
        <v>943</v>
      </c>
      <c r="I47" s="72" t="s">
        <v>944</v>
      </c>
      <c r="J47" s="72" t="s">
        <v>936</v>
      </c>
      <c r="K47" s="65">
        <v>5.36</v>
      </c>
      <c r="L47" s="65"/>
      <c r="M47" s="65"/>
      <c r="N47" s="65"/>
      <c r="O47" s="65"/>
      <c r="P47" s="65"/>
      <c r="Q47" s="65"/>
    </row>
    <row r="48" spans="1:17" x14ac:dyDescent="0.25">
      <c r="A48" s="67" t="s">
        <v>945</v>
      </c>
      <c r="B48" s="72" t="s">
        <v>946</v>
      </c>
      <c r="C48" s="67" t="s">
        <v>947</v>
      </c>
      <c r="D48" s="67" t="s">
        <v>948</v>
      </c>
      <c r="E48" s="67" t="s">
        <v>949</v>
      </c>
      <c r="F48" s="67" t="s">
        <v>950</v>
      </c>
      <c r="G48" s="67" t="s">
        <v>951</v>
      </c>
      <c r="H48" s="67" t="s">
        <v>952</v>
      </c>
      <c r="I48" s="67" t="s">
        <v>953</v>
      </c>
      <c r="J48" s="67" t="s">
        <v>945</v>
      </c>
      <c r="K48" s="65">
        <v>0.84</v>
      </c>
      <c r="L48" s="65"/>
      <c r="M48" s="65"/>
      <c r="N48" s="65"/>
      <c r="O48" s="65"/>
      <c r="P48" s="65"/>
      <c r="Q48" s="65"/>
    </row>
    <row r="49" spans="1:17" x14ac:dyDescent="0.25">
      <c r="A49" s="67" t="s">
        <v>954</v>
      </c>
      <c r="B49" s="72" t="s">
        <v>955</v>
      </c>
      <c r="C49" s="67" t="s">
        <v>956</v>
      </c>
      <c r="D49" s="67" t="s">
        <v>957</v>
      </c>
      <c r="E49" s="67" t="s">
        <v>958</v>
      </c>
      <c r="F49" s="67" t="s">
        <v>959</v>
      </c>
      <c r="G49" s="67" t="s">
        <v>960</v>
      </c>
      <c r="H49" s="67" t="s">
        <v>961</v>
      </c>
      <c r="I49" s="67" t="s">
        <v>962</v>
      </c>
      <c r="J49" s="67" t="s">
        <v>954</v>
      </c>
      <c r="K49" s="65">
        <v>17.059999999999999</v>
      </c>
      <c r="L49" s="65"/>
      <c r="M49" s="65"/>
      <c r="N49" s="65"/>
      <c r="O49" s="65"/>
      <c r="P49" s="65"/>
      <c r="Q49" s="65"/>
    </row>
    <row r="50" spans="1:17" x14ac:dyDescent="0.25">
      <c r="A50" s="67" t="s">
        <v>963</v>
      </c>
      <c r="B50" s="72" t="s">
        <v>964</v>
      </c>
      <c r="C50" s="72" t="s">
        <v>965</v>
      </c>
      <c r="D50" s="72" t="s">
        <v>966</v>
      </c>
      <c r="E50" s="72" t="s">
        <v>967</v>
      </c>
      <c r="F50" s="72" t="s">
        <v>968</v>
      </c>
      <c r="G50" s="72" t="s">
        <v>969</v>
      </c>
      <c r="H50" s="72" t="s">
        <v>970</v>
      </c>
      <c r="I50" s="72" t="s">
        <v>971</v>
      </c>
      <c r="J50" s="72" t="s">
        <v>963</v>
      </c>
      <c r="K50" s="65">
        <v>49.13</v>
      </c>
      <c r="L50" s="65"/>
      <c r="M50" s="65"/>
      <c r="N50" s="65"/>
      <c r="O50" s="65"/>
      <c r="P50" s="65"/>
      <c r="Q50" s="65"/>
    </row>
    <row r="51" spans="1:17" x14ac:dyDescent="0.25">
      <c r="A51" s="67" t="s">
        <v>972</v>
      </c>
      <c r="B51" s="72" t="s">
        <v>973</v>
      </c>
      <c r="C51" s="67" t="s">
        <v>974</v>
      </c>
      <c r="D51" s="67" t="s">
        <v>975</v>
      </c>
      <c r="E51" s="67" t="s">
        <v>976</v>
      </c>
      <c r="F51" s="67" t="s">
        <v>977</v>
      </c>
      <c r="G51" s="67" t="s">
        <v>978</v>
      </c>
      <c r="H51" s="67" t="s">
        <v>979</v>
      </c>
      <c r="I51" s="67" t="s">
        <v>980</v>
      </c>
      <c r="J51" s="67" t="s">
        <v>972</v>
      </c>
      <c r="K51" s="65">
        <v>6.23</v>
      </c>
      <c r="L51" s="65"/>
      <c r="M51" s="65"/>
      <c r="N51" s="65"/>
      <c r="O51" s="65"/>
      <c r="P51" s="65"/>
      <c r="Q51" s="65"/>
    </row>
    <row r="52" spans="1:17" x14ac:dyDescent="0.25">
      <c r="A52" s="67" t="s">
        <v>981</v>
      </c>
      <c r="B52" s="72" t="s">
        <v>982</v>
      </c>
      <c r="C52" s="67" t="s">
        <v>983</v>
      </c>
      <c r="D52" s="67" t="s">
        <v>984</v>
      </c>
      <c r="E52" s="67" t="s">
        <v>985</v>
      </c>
      <c r="F52" s="67" t="s">
        <v>986</v>
      </c>
      <c r="G52" s="67" t="s">
        <v>987</v>
      </c>
      <c r="H52" s="67" t="s">
        <v>988</v>
      </c>
      <c r="I52" s="67" t="s">
        <v>989</v>
      </c>
      <c r="J52" s="67" t="s">
        <v>981</v>
      </c>
      <c r="K52" s="65">
        <v>81.92</v>
      </c>
      <c r="L52" s="65"/>
      <c r="M52" s="65"/>
      <c r="N52" s="65"/>
      <c r="O52" s="65"/>
      <c r="P52" s="65"/>
      <c r="Q52" s="65"/>
    </row>
    <row r="53" spans="1:17" x14ac:dyDescent="0.25">
      <c r="A53" s="67" t="s">
        <v>990</v>
      </c>
      <c r="B53" s="72" t="s">
        <v>991</v>
      </c>
      <c r="C53" s="72" t="s">
        <v>992</v>
      </c>
      <c r="D53" s="72" t="s">
        <v>993</v>
      </c>
      <c r="E53" s="72" t="s">
        <v>994</v>
      </c>
      <c r="F53" s="72" t="s">
        <v>995</v>
      </c>
      <c r="G53" s="72" t="s">
        <v>996</v>
      </c>
      <c r="H53" s="72" t="s">
        <v>997</v>
      </c>
      <c r="I53" s="72" t="s">
        <v>998</v>
      </c>
      <c r="J53" s="72" t="s">
        <v>999</v>
      </c>
      <c r="K53" s="65">
        <v>64.48</v>
      </c>
      <c r="L53" s="65"/>
      <c r="M53" s="65"/>
      <c r="N53" s="65"/>
      <c r="O53" s="65"/>
      <c r="P53" s="65"/>
      <c r="Q53" s="65"/>
    </row>
    <row r="54" spans="1:17" x14ac:dyDescent="0.25">
      <c r="A54" s="67" t="s">
        <v>1000</v>
      </c>
      <c r="B54" s="72" t="s">
        <v>1001</v>
      </c>
      <c r="C54" s="67" t="s">
        <v>1002</v>
      </c>
      <c r="D54" s="67" t="s">
        <v>1003</v>
      </c>
      <c r="E54" s="67" t="s">
        <v>1004</v>
      </c>
      <c r="F54" s="67" t="s">
        <v>1005</v>
      </c>
      <c r="G54" s="67" t="s">
        <v>1006</v>
      </c>
      <c r="H54" s="67" t="s">
        <v>1007</v>
      </c>
      <c r="I54" s="67" t="s">
        <v>1008</v>
      </c>
      <c r="J54" s="67" t="s">
        <v>1009</v>
      </c>
      <c r="K54" s="65">
        <v>42.03</v>
      </c>
      <c r="L54" s="65"/>
      <c r="M54" s="65"/>
      <c r="N54" s="65"/>
      <c r="O54" s="65"/>
      <c r="P54" s="65"/>
      <c r="Q54" s="65"/>
    </row>
    <row r="55" spans="1:17" x14ac:dyDescent="0.25">
      <c r="A55" s="67" t="s">
        <v>1010</v>
      </c>
      <c r="B55" s="72" t="s">
        <v>1011</v>
      </c>
      <c r="C55" s="67" t="s">
        <v>1012</v>
      </c>
      <c r="D55" s="67" t="s">
        <v>1013</v>
      </c>
      <c r="E55" s="67" t="s">
        <v>1014</v>
      </c>
      <c r="F55" s="67" t="s">
        <v>1015</v>
      </c>
      <c r="G55" s="67" t="s">
        <v>1016</v>
      </c>
      <c r="H55" s="67" t="s">
        <v>1017</v>
      </c>
      <c r="I55" s="67" t="s">
        <v>1018</v>
      </c>
      <c r="J55" s="67" t="s">
        <v>1019</v>
      </c>
      <c r="K55" s="65">
        <v>4.47</v>
      </c>
      <c r="L55" s="65"/>
      <c r="M55" s="65"/>
      <c r="N55" s="65"/>
      <c r="O55" s="65"/>
      <c r="P55" s="65"/>
      <c r="Q55" s="65"/>
    </row>
    <row r="56" spans="1:17" x14ac:dyDescent="0.25">
      <c r="A56" s="67" t="s">
        <v>1020</v>
      </c>
      <c r="B56" s="72" t="s">
        <v>1021</v>
      </c>
      <c r="C56" s="72" t="s">
        <v>1022</v>
      </c>
      <c r="D56" s="72" t="s">
        <v>1023</v>
      </c>
      <c r="E56" s="72" t="s">
        <v>1024</v>
      </c>
      <c r="F56" s="72" t="s">
        <v>1025</v>
      </c>
      <c r="G56" s="72" t="s">
        <v>1026</v>
      </c>
      <c r="H56" s="72" t="s">
        <v>1027</v>
      </c>
      <c r="I56" s="72" t="s">
        <v>1028</v>
      </c>
      <c r="J56" s="72" t="s">
        <v>1020</v>
      </c>
      <c r="K56" s="65">
        <v>96.8</v>
      </c>
      <c r="L56" s="65"/>
      <c r="M56" s="65"/>
      <c r="N56" s="65"/>
      <c r="O56" s="65"/>
      <c r="P56" s="65"/>
      <c r="Q56" s="65"/>
    </row>
    <row r="57" spans="1:17" x14ac:dyDescent="0.25">
      <c r="A57" s="67" t="s">
        <v>1029</v>
      </c>
      <c r="B57" s="72" t="s">
        <v>1030</v>
      </c>
      <c r="C57" s="67" t="s">
        <v>1031</v>
      </c>
      <c r="D57" s="67" t="s">
        <v>1032</v>
      </c>
      <c r="E57" s="67" t="s">
        <v>1033</v>
      </c>
      <c r="F57" s="67" t="s">
        <v>1034</v>
      </c>
      <c r="G57" s="67" t="s">
        <v>1035</v>
      </c>
      <c r="H57" s="67" t="s">
        <v>1036</v>
      </c>
      <c r="I57" s="67" t="s">
        <v>1037</v>
      </c>
      <c r="J57" s="67" t="s">
        <v>1029</v>
      </c>
      <c r="K57" s="65">
        <v>6.05</v>
      </c>
      <c r="L57" s="65"/>
      <c r="M57" s="65"/>
      <c r="N57" s="65"/>
      <c r="O57" s="65"/>
      <c r="P57" s="65"/>
      <c r="Q57" s="65"/>
    </row>
    <row r="58" spans="1:17" x14ac:dyDescent="0.25">
      <c r="A58" s="67" t="s">
        <v>1038</v>
      </c>
      <c r="B58" s="72" t="s">
        <v>1039</v>
      </c>
      <c r="C58" s="67" t="s">
        <v>1040</v>
      </c>
      <c r="D58" s="67" t="s">
        <v>1041</v>
      </c>
      <c r="E58" s="67" t="s">
        <v>1042</v>
      </c>
      <c r="F58" s="67" t="s">
        <v>1043</v>
      </c>
      <c r="G58" s="67" t="s">
        <v>1044</v>
      </c>
      <c r="H58" s="67" t="s">
        <v>1045</v>
      </c>
      <c r="I58" s="67" t="s">
        <v>1046</v>
      </c>
      <c r="J58" s="67" t="s">
        <v>1038</v>
      </c>
      <c r="K58" s="65">
        <v>2.59</v>
      </c>
      <c r="L58" s="65"/>
      <c r="M58" s="65"/>
      <c r="N58" s="65"/>
      <c r="O58" s="65"/>
      <c r="P58" s="65"/>
      <c r="Q58" s="65"/>
    </row>
    <row r="59" spans="1:17" x14ac:dyDescent="0.25">
      <c r="A59" s="67" t="s">
        <v>1047</v>
      </c>
      <c r="B59" s="72" t="s">
        <v>1048</v>
      </c>
      <c r="C59" s="72" t="s">
        <v>1049</v>
      </c>
      <c r="D59" s="72" t="s">
        <v>1050</v>
      </c>
      <c r="E59" s="72" t="s">
        <v>1051</v>
      </c>
      <c r="F59" s="72" t="s">
        <v>1052</v>
      </c>
      <c r="G59" s="72" t="s">
        <v>1053</v>
      </c>
      <c r="H59" s="72" t="s">
        <v>1054</v>
      </c>
      <c r="I59" s="72" t="s">
        <v>1055</v>
      </c>
      <c r="J59" s="72" t="s">
        <v>1047</v>
      </c>
      <c r="K59" s="65">
        <v>4.87</v>
      </c>
      <c r="L59" s="65"/>
      <c r="M59" s="65"/>
      <c r="N59" s="65"/>
      <c r="O59" s="65"/>
      <c r="P59" s="65"/>
      <c r="Q59" s="65"/>
    </row>
    <row r="60" spans="1:17" x14ac:dyDescent="0.25">
      <c r="A60" s="67" t="s">
        <v>1056</v>
      </c>
      <c r="B60" s="67" t="s">
        <v>1057</v>
      </c>
      <c r="C60" s="67" t="s">
        <v>1058</v>
      </c>
      <c r="D60" s="67" t="s">
        <v>1059</v>
      </c>
      <c r="E60" s="67" t="s">
        <v>1060</v>
      </c>
      <c r="F60" s="67" t="s">
        <v>1061</v>
      </c>
      <c r="G60" s="67" t="s">
        <v>1062</v>
      </c>
      <c r="H60" s="67" t="s">
        <v>1063</v>
      </c>
      <c r="I60" s="67" t="s">
        <v>1064</v>
      </c>
      <c r="J60" s="67" t="s">
        <v>1056</v>
      </c>
      <c r="K60" s="65">
        <v>39.6</v>
      </c>
      <c r="L60" s="65"/>
      <c r="M60" s="65"/>
      <c r="N60" s="65"/>
      <c r="O60" s="65"/>
      <c r="P60" s="65"/>
      <c r="Q60" s="65"/>
    </row>
    <row r="61" spans="1:17" x14ac:dyDescent="0.25">
      <c r="A61" s="67" t="s">
        <v>1065</v>
      </c>
      <c r="B61" s="67" t="s">
        <v>1066</v>
      </c>
      <c r="C61" s="67" t="s">
        <v>1067</v>
      </c>
      <c r="D61" s="67" t="s">
        <v>1068</v>
      </c>
      <c r="E61" s="67" t="s">
        <v>1069</v>
      </c>
      <c r="F61" s="67" t="s">
        <v>1070</v>
      </c>
      <c r="G61" s="67" t="s">
        <v>1071</v>
      </c>
      <c r="H61" s="67" t="s">
        <v>1072</v>
      </c>
      <c r="I61" s="67" t="s">
        <v>1073</v>
      </c>
      <c r="J61" s="67" t="s">
        <v>1065</v>
      </c>
      <c r="K61" s="65">
        <v>2.67</v>
      </c>
      <c r="L61" s="65"/>
      <c r="M61" s="65"/>
      <c r="N61" s="65"/>
      <c r="O61" s="65"/>
      <c r="P61" s="65"/>
      <c r="Q61" s="65"/>
    </row>
    <row r="62" spans="1:17" x14ac:dyDescent="0.25">
      <c r="A62" s="66" t="s">
        <v>1074</v>
      </c>
      <c r="B62" s="66" t="s">
        <v>1075</v>
      </c>
      <c r="C62" s="66" t="s">
        <v>1076</v>
      </c>
      <c r="D62" s="66" t="s">
        <v>1077</v>
      </c>
      <c r="E62" s="66" t="s">
        <v>1078</v>
      </c>
      <c r="F62" s="66" t="s">
        <v>1079</v>
      </c>
      <c r="G62" s="66" t="s">
        <v>1080</v>
      </c>
      <c r="H62" s="66" t="s">
        <v>1081</v>
      </c>
      <c r="I62" s="66" t="s">
        <v>1082</v>
      </c>
      <c r="J62" s="66" t="s">
        <v>1074</v>
      </c>
      <c r="K62" s="65">
        <v>1173</v>
      </c>
      <c r="L62" s="65"/>
      <c r="M62" s="65"/>
      <c r="N62" s="65"/>
      <c r="O62" s="65"/>
      <c r="P62" s="65"/>
      <c r="Q62" s="65"/>
    </row>
    <row r="63" spans="1:17" x14ac:dyDescent="0.25">
      <c r="A63" s="66" t="s">
        <v>1083</v>
      </c>
      <c r="B63" s="66" t="s">
        <v>1084</v>
      </c>
      <c r="C63" s="66" t="s">
        <v>1085</v>
      </c>
      <c r="D63" s="66" t="s">
        <v>1086</v>
      </c>
      <c r="E63" s="66" t="s">
        <v>1087</v>
      </c>
      <c r="F63" s="66" t="s">
        <v>1088</v>
      </c>
      <c r="G63" s="66" t="s">
        <v>1089</v>
      </c>
      <c r="H63" s="66" t="s">
        <v>1090</v>
      </c>
      <c r="I63" s="66" t="s">
        <v>1091</v>
      </c>
      <c r="J63" s="66" t="s">
        <v>1083</v>
      </c>
      <c r="K63" s="65">
        <v>54.77</v>
      </c>
      <c r="L63" s="65"/>
      <c r="M63" s="65"/>
      <c r="N63" s="65"/>
      <c r="O63" s="65"/>
      <c r="P63" s="65"/>
      <c r="Q63" s="65"/>
    </row>
    <row r="64" spans="1:17" x14ac:dyDescent="0.25">
      <c r="A64" s="66" t="s">
        <v>1092</v>
      </c>
      <c r="B64" s="66" t="s">
        <v>1093</v>
      </c>
      <c r="C64" s="66" t="s">
        <v>1094</v>
      </c>
      <c r="D64" s="66" t="s">
        <v>1095</v>
      </c>
      <c r="E64" s="66" t="s">
        <v>1096</v>
      </c>
      <c r="F64" s="66" t="s">
        <v>1097</v>
      </c>
      <c r="G64" s="66" t="s">
        <v>1098</v>
      </c>
      <c r="H64" s="66" t="s">
        <v>1099</v>
      </c>
      <c r="I64" s="66" t="s">
        <v>1100</v>
      </c>
      <c r="J64" s="66" t="s">
        <v>1092</v>
      </c>
      <c r="K64" s="65">
        <v>1.04</v>
      </c>
      <c r="L64" s="65"/>
      <c r="M64" s="65"/>
      <c r="N64" s="65"/>
      <c r="O64" s="65"/>
      <c r="P64" s="65"/>
      <c r="Q64" s="65"/>
    </row>
    <row r="65" spans="1:17" x14ac:dyDescent="0.25">
      <c r="A65" s="66" t="s">
        <v>1101</v>
      </c>
      <c r="B65" s="66" t="s">
        <v>1102</v>
      </c>
      <c r="C65" s="66" t="s">
        <v>1103</v>
      </c>
      <c r="D65" s="66" t="s">
        <v>1104</v>
      </c>
      <c r="E65" s="66" t="s">
        <v>1105</v>
      </c>
      <c r="F65" s="66" t="s">
        <v>1106</v>
      </c>
      <c r="G65" s="66" t="s">
        <v>1107</v>
      </c>
      <c r="H65" s="66" t="s">
        <v>1108</v>
      </c>
      <c r="I65" s="66" t="s">
        <v>1109</v>
      </c>
      <c r="J65" s="66" t="s">
        <v>1101</v>
      </c>
      <c r="K65" s="65">
        <v>17.489999999999998</v>
      </c>
      <c r="L65" s="65"/>
      <c r="M65" s="65"/>
      <c r="N65" s="65"/>
      <c r="O65" s="65"/>
      <c r="P65" s="65"/>
      <c r="Q65" s="65"/>
    </row>
    <row r="66" spans="1:17" x14ac:dyDescent="0.25">
      <c r="A66" s="66" t="s">
        <v>1110</v>
      </c>
      <c r="B66" s="66" t="s">
        <v>1111</v>
      </c>
      <c r="C66" s="66" t="s">
        <v>1112</v>
      </c>
      <c r="D66" s="66" t="s">
        <v>1113</v>
      </c>
      <c r="E66" s="66" t="s">
        <v>1114</v>
      </c>
      <c r="F66" s="66" t="s">
        <v>1115</v>
      </c>
      <c r="G66" s="66" t="s">
        <v>1116</v>
      </c>
      <c r="H66" s="66" t="s">
        <v>1117</v>
      </c>
      <c r="I66" s="66" t="s">
        <v>1118</v>
      </c>
      <c r="J66" s="66" t="s">
        <v>1110</v>
      </c>
      <c r="K66" s="65">
        <v>311.74</v>
      </c>
      <c r="L66" s="65"/>
      <c r="M66" s="65"/>
      <c r="N66" s="65"/>
      <c r="O66" s="65"/>
      <c r="P66" s="65"/>
      <c r="Q66" s="65"/>
    </row>
    <row r="67" spans="1:17" x14ac:dyDescent="0.25">
      <c r="A67" s="66" t="s">
        <v>1119</v>
      </c>
      <c r="B67" s="66" t="s">
        <v>1120</v>
      </c>
      <c r="C67" s="66" t="s">
        <v>1121</v>
      </c>
      <c r="D67" s="66" t="s">
        <v>1122</v>
      </c>
      <c r="E67" s="66" t="s">
        <v>1123</v>
      </c>
      <c r="F67" s="66" t="s">
        <v>1124</v>
      </c>
      <c r="G67" s="66" t="s">
        <v>1125</v>
      </c>
      <c r="H67" s="66" t="s">
        <v>1126</v>
      </c>
      <c r="I67" s="66" t="s">
        <v>1127</v>
      </c>
      <c r="J67" s="66" t="s">
        <v>1119</v>
      </c>
      <c r="K67" s="65">
        <v>98.54</v>
      </c>
      <c r="L67" s="65"/>
      <c r="M67" s="65"/>
      <c r="N67" s="65"/>
      <c r="O67" s="65"/>
      <c r="P67" s="65"/>
      <c r="Q67" s="65"/>
    </row>
    <row r="68" spans="1:17" x14ac:dyDescent="0.25">
      <c r="A68" s="66" t="s">
        <v>1128</v>
      </c>
      <c r="B68" s="66" t="s">
        <v>1129</v>
      </c>
      <c r="C68" s="66" t="s">
        <v>1130</v>
      </c>
      <c r="D68" s="66" t="s">
        <v>1131</v>
      </c>
      <c r="E68" s="66" t="s">
        <v>1132</v>
      </c>
      <c r="F68" s="66" t="s">
        <v>1133</v>
      </c>
      <c r="G68" s="66" t="s">
        <v>1134</v>
      </c>
      <c r="H68" s="66" t="s">
        <v>1135</v>
      </c>
      <c r="I68" s="66" t="s">
        <v>1136</v>
      </c>
      <c r="J68" s="66" t="s">
        <v>1128</v>
      </c>
      <c r="K68" s="65">
        <v>306.49</v>
      </c>
      <c r="L68" s="65"/>
      <c r="M68" s="65"/>
      <c r="N68" s="65"/>
      <c r="O68" s="65"/>
      <c r="P68" s="65"/>
      <c r="Q68" s="65"/>
    </row>
    <row r="69" spans="1:17" x14ac:dyDescent="0.25">
      <c r="A69" s="66" t="s">
        <v>1137</v>
      </c>
      <c r="B69" s="66" t="s">
        <v>1138</v>
      </c>
      <c r="C69" s="66" t="s">
        <v>1139</v>
      </c>
      <c r="D69" s="66" t="s">
        <v>1140</v>
      </c>
      <c r="E69" s="66" t="s">
        <v>1141</v>
      </c>
      <c r="F69" s="66" t="s">
        <v>1142</v>
      </c>
      <c r="G69" s="66" t="s">
        <v>1143</v>
      </c>
      <c r="H69" s="66" t="s">
        <v>1144</v>
      </c>
      <c r="I69" s="66" t="s">
        <v>1145</v>
      </c>
      <c r="J69" s="66" t="s">
        <v>1137</v>
      </c>
      <c r="K69" s="65">
        <v>28.77</v>
      </c>
      <c r="L69" s="65"/>
      <c r="M69" s="65"/>
      <c r="N69" s="65"/>
      <c r="O69" s="65"/>
      <c r="P69" s="65"/>
      <c r="Q69" s="65"/>
    </row>
    <row r="70" spans="1:17" x14ac:dyDescent="0.25">
      <c r="A70" s="66" t="s">
        <v>1146</v>
      </c>
      <c r="B70" s="66" t="s">
        <v>1147</v>
      </c>
      <c r="C70" s="66" t="s">
        <v>1148</v>
      </c>
      <c r="D70" s="66" t="s">
        <v>1149</v>
      </c>
      <c r="E70" s="66" t="s">
        <v>1150</v>
      </c>
      <c r="F70" s="66" t="s">
        <v>1151</v>
      </c>
      <c r="G70" s="66" t="s">
        <v>1152</v>
      </c>
      <c r="H70" s="66" t="s">
        <v>1153</v>
      </c>
      <c r="I70" s="66" t="s">
        <v>1154</v>
      </c>
      <c r="J70" s="66" t="s">
        <v>1146</v>
      </c>
      <c r="K70" s="65">
        <v>107.04</v>
      </c>
      <c r="L70" s="65"/>
      <c r="M70" s="65"/>
      <c r="N70" s="65"/>
      <c r="O70" s="65"/>
      <c r="P70" s="65"/>
      <c r="Q70" s="65"/>
    </row>
    <row r="71" spans="1:17" x14ac:dyDescent="0.25">
      <c r="A71" s="66" t="s">
        <v>1155</v>
      </c>
      <c r="B71" s="66" t="s">
        <v>1156</v>
      </c>
      <c r="C71" s="66" t="s">
        <v>1157</v>
      </c>
      <c r="D71" s="66" t="s">
        <v>1158</v>
      </c>
      <c r="E71" s="66" t="s">
        <v>1159</v>
      </c>
      <c r="F71" s="66" t="s">
        <v>1160</v>
      </c>
      <c r="G71" s="66" t="s">
        <v>1161</v>
      </c>
      <c r="H71" s="66" t="s">
        <v>1162</v>
      </c>
      <c r="I71" s="66" t="s">
        <v>1163</v>
      </c>
      <c r="J71" s="66" t="s">
        <v>1155</v>
      </c>
      <c r="K71" s="65">
        <v>95.07</v>
      </c>
      <c r="L71" s="65"/>
      <c r="M71" s="65"/>
      <c r="N71" s="65"/>
      <c r="O71" s="65"/>
      <c r="P71" s="65"/>
      <c r="Q71" s="65"/>
    </row>
    <row r="72" spans="1:17" x14ac:dyDescent="0.25">
      <c r="A72" s="66" t="s">
        <v>1164</v>
      </c>
      <c r="B72" s="66" t="s">
        <v>1165</v>
      </c>
      <c r="C72" s="66" t="s">
        <v>1166</v>
      </c>
      <c r="D72" s="66" t="s">
        <v>1167</v>
      </c>
      <c r="E72" s="66" t="s">
        <v>1168</v>
      </c>
      <c r="F72" s="66" t="s">
        <v>1169</v>
      </c>
      <c r="G72" s="66" t="s">
        <v>1170</v>
      </c>
      <c r="H72" s="66" t="s">
        <v>1171</v>
      </c>
      <c r="I72" s="66" t="s">
        <v>1172</v>
      </c>
      <c r="J72" s="66" t="s">
        <v>1164</v>
      </c>
      <c r="K72" s="65">
        <v>28.77</v>
      </c>
      <c r="L72" s="65"/>
      <c r="M72" s="65"/>
      <c r="N72" s="65"/>
      <c r="O72" s="65"/>
      <c r="P72" s="65"/>
      <c r="Q72" s="65"/>
    </row>
    <row r="73" spans="1:17" x14ac:dyDescent="0.25">
      <c r="A73" s="66" t="s">
        <v>1173</v>
      </c>
      <c r="B73" s="66" t="s">
        <v>1174</v>
      </c>
      <c r="C73" s="66" t="s">
        <v>1175</v>
      </c>
      <c r="D73" s="66" t="s">
        <v>1176</v>
      </c>
      <c r="E73" s="66" t="s">
        <v>1177</v>
      </c>
      <c r="F73" s="66" t="s">
        <v>1178</v>
      </c>
      <c r="G73" s="66" t="s">
        <v>1179</v>
      </c>
      <c r="H73" s="66" t="s">
        <v>1180</v>
      </c>
      <c r="I73" s="66" t="s">
        <v>1181</v>
      </c>
      <c r="J73" s="66" t="s">
        <v>1173</v>
      </c>
      <c r="K73" s="65">
        <f>SUM(K31:K72)</f>
        <v>13109.500000000004</v>
      </c>
      <c r="L73" s="65"/>
      <c r="M73" s="65"/>
      <c r="N73" s="65"/>
      <c r="O73" s="65"/>
      <c r="P73" s="65"/>
      <c r="Q73" s="65"/>
    </row>
    <row r="74" spans="1:17" x14ac:dyDescent="0.25">
      <c r="A74" s="66" t="s">
        <v>1182</v>
      </c>
      <c r="B74" s="66" t="s">
        <v>1183</v>
      </c>
      <c r="C74" s="66" t="s">
        <v>1184</v>
      </c>
      <c r="D74" s="66" t="s">
        <v>1185</v>
      </c>
      <c r="E74" s="66" t="s">
        <v>1186</v>
      </c>
      <c r="F74" s="66" t="s">
        <v>1187</v>
      </c>
      <c r="G74" s="66" t="s">
        <v>1188</v>
      </c>
      <c r="H74" s="66" t="s">
        <v>1189</v>
      </c>
      <c r="I74" s="66" t="s">
        <v>1190</v>
      </c>
      <c r="J74" s="66" t="s">
        <v>1182</v>
      </c>
      <c r="K74" s="65"/>
      <c r="L74" s="65"/>
      <c r="M74" s="65"/>
      <c r="N74" s="65"/>
      <c r="O74" s="65"/>
      <c r="P74" s="65"/>
      <c r="Q74" s="65"/>
    </row>
    <row r="75" spans="1:17" x14ac:dyDescent="0.25">
      <c r="A75" s="66" t="s">
        <v>1191</v>
      </c>
      <c r="B75" s="66" t="s">
        <v>1192</v>
      </c>
      <c r="C75" s="66" t="s">
        <v>1193</v>
      </c>
      <c r="D75" s="66" t="s">
        <v>1194</v>
      </c>
      <c r="E75" s="66" t="s">
        <v>1195</v>
      </c>
      <c r="F75" s="66" t="s">
        <v>1196</v>
      </c>
      <c r="G75" s="66" t="s">
        <v>1197</v>
      </c>
      <c r="H75" s="66" t="s">
        <v>1198</v>
      </c>
      <c r="I75" s="66" t="s">
        <v>1199</v>
      </c>
      <c r="J75" s="66" t="s">
        <v>1191</v>
      </c>
      <c r="K75" s="65"/>
      <c r="L75" s="65"/>
      <c r="M75" s="65"/>
      <c r="N75" s="65"/>
      <c r="O75" s="65"/>
      <c r="P75" s="65"/>
      <c r="Q75" s="65"/>
    </row>
    <row r="76" spans="1:17" x14ac:dyDescent="0.25">
      <c r="A76" s="66" t="s">
        <v>1200</v>
      </c>
      <c r="B76" s="66" t="s">
        <v>1201</v>
      </c>
      <c r="C76" s="66" t="s">
        <v>1202</v>
      </c>
      <c r="D76" s="66" t="s">
        <v>1203</v>
      </c>
      <c r="E76" s="66" t="s">
        <v>1204</v>
      </c>
      <c r="F76" s="66" t="s">
        <v>1205</v>
      </c>
      <c r="G76" s="66" t="s">
        <v>1206</v>
      </c>
      <c r="H76" s="66" t="s">
        <v>1207</v>
      </c>
      <c r="I76" s="66" t="s">
        <v>1208</v>
      </c>
      <c r="J76" s="66" t="s">
        <v>1200</v>
      </c>
      <c r="K76" s="65"/>
      <c r="L76" s="65"/>
      <c r="M76" s="65"/>
      <c r="N76" s="65"/>
      <c r="O76" s="65"/>
      <c r="P76" s="65"/>
      <c r="Q76" s="65"/>
    </row>
    <row r="77" spans="1:17" x14ac:dyDescent="0.25">
      <c r="A77" s="66" t="s">
        <v>1209</v>
      </c>
      <c r="B77" s="66" t="s">
        <v>1210</v>
      </c>
      <c r="C77" s="66" t="s">
        <v>1211</v>
      </c>
      <c r="D77" s="66" t="s">
        <v>1212</v>
      </c>
      <c r="E77" s="66" t="s">
        <v>1213</v>
      </c>
      <c r="F77" s="66" t="s">
        <v>1214</v>
      </c>
      <c r="G77" s="66" t="s">
        <v>1215</v>
      </c>
      <c r="H77" s="66" t="s">
        <v>1216</v>
      </c>
      <c r="I77" s="66" t="s">
        <v>1217</v>
      </c>
      <c r="J77" s="66" t="s">
        <v>1209</v>
      </c>
      <c r="K77" s="65"/>
      <c r="L77" s="65"/>
      <c r="M77" s="65"/>
      <c r="N77" s="65"/>
      <c r="O77" s="65"/>
      <c r="P77" s="65"/>
      <c r="Q77" s="65"/>
    </row>
    <row r="78" spans="1:17" x14ac:dyDescent="0.25">
      <c r="A78" s="66" t="s">
        <v>1218</v>
      </c>
      <c r="B78" s="66" t="s">
        <v>1219</v>
      </c>
      <c r="C78" s="66" t="s">
        <v>1220</v>
      </c>
      <c r="D78" s="66" t="s">
        <v>1221</v>
      </c>
      <c r="E78" s="66" t="s">
        <v>1222</v>
      </c>
      <c r="F78" s="66" t="s">
        <v>1223</v>
      </c>
      <c r="G78" s="66" t="s">
        <v>1224</v>
      </c>
      <c r="H78" s="66" t="s">
        <v>1225</v>
      </c>
      <c r="I78" s="66" t="s">
        <v>1226</v>
      </c>
      <c r="J78" s="66" t="s">
        <v>1218</v>
      </c>
      <c r="K78" s="65"/>
      <c r="L78" s="65"/>
      <c r="M78" s="65"/>
      <c r="N78" s="65"/>
      <c r="O78" s="65"/>
      <c r="P78" s="65"/>
      <c r="Q78" s="65"/>
    </row>
    <row r="79" spans="1:17" x14ac:dyDescent="0.25">
      <c r="A79" s="66" t="s">
        <v>1227</v>
      </c>
      <c r="B79" s="66" t="s">
        <v>1228</v>
      </c>
      <c r="C79" s="66" t="s">
        <v>1229</v>
      </c>
      <c r="D79" s="66" t="s">
        <v>1230</v>
      </c>
      <c r="E79" s="66" t="s">
        <v>1231</v>
      </c>
      <c r="F79" s="66" t="s">
        <v>1232</v>
      </c>
      <c r="G79" s="66" t="s">
        <v>1233</v>
      </c>
      <c r="H79" s="66" t="s">
        <v>1234</v>
      </c>
      <c r="I79" s="66" t="s">
        <v>1235</v>
      </c>
      <c r="J79" s="66" t="s">
        <v>1227</v>
      </c>
      <c r="K79" s="65"/>
      <c r="L79" s="65"/>
      <c r="M79" s="65"/>
      <c r="N79" s="65"/>
      <c r="O79" s="65"/>
      <c r="P79" s="65"/>
      <c r="Q79" s="65"/>
    </row>
    <row r="80" spans="1:17" x14ac:dyDescent="0.25">
      <c r="A80" s="67" t="s">
        <v>1236</v>
      </c>
      <c r="B80" s="67" t="s">
        <v>1237</v>
      </c>
      <c r="C80" s="67" t="s">
        <v>1238</v>
      </c>
      <c r="D80" s="67" t="s">
        <v>1239</v>
      </c>
      <c r="E80" s="67" t="s">
        <v>1240</v>
      </c>
      <c r="F80" s="67" t="s">
        <v>1241</v>
      </c>
      <c r="G80" s="67" t="s">
        <v>1242</v>
      </c>
      <c r="H80" s="67" t="s">
        <v>1243</v>
      </c>
      <c r="I80" s="67" t="s">
        <v>1244</v>
      </c>
      <c r="J80" s="67" t="s">
        <v>1245</v>
      </c>
      <c r="K80" s="67" t="s">
        <v>1246</v>
      </c>
      <c r="L80" s="67" t="s">
        <v>1247</v>
      </c>
      <c r="M80" s="67" t="s">
        <v>1236</v>
      </c>
      <c r="N80" s="65"/>
      <c r="O80" s="65"/>
      <c r="P80" s="65"/>
      <c r="Q80" s="65"/>
    </row>
    <row r="81" spans="1:17" x14ac:dyDescent="0.25">
      <c r="A81" s="67" t="s">
        <v>1248</v>
      </c>
      <c r="B81" s="67" t="s">
        <v>1249</v>
      </c>
      <c r="C81" s="67" t="s">
        <v>1250</v>
      </c>
      <c r="D81" s="67" t="s">
        <v>1251</v>
      </c>
      <c r="E81" s="67" t="s">
        <v>1252</v>
      </c>
      <c r="F81" s="67" t="s">
        <v>1253</v>
      </c>
      <c r="G81" s="67" t="s">
        <v>1254</v>
      </c>
      <c r="H81" s="67" t="s">
        <v>1255</v>
      </c>
      <c r="I81" s="67" t="s">
        <v>1256</v>
      </c>
      <c r="J81" s="67" t="s">
        <v>1257</v>
      </c>
      <c r="K81" s="67" t="s">
        <v>1258</v>
      </c>
      <c r="L81" s="67" t="s">
        <v>1259</v>
      </c>
      <c r="M81" s="67" t="s">
        <v>1248</v>
      </c>
      <c r="N81" s="65"/>
      <c r="O81" s="65"/>
      <c r="P81" s="65"/>
      <c r="Q81" s="65"/>
    </row>
    <row r="82" spans="1:17" x14ac:dyDescent="0.25">
      <c r="A82" s="67" t="s">
        <v>1260</v>
      </c>
      <c r="B82" s="67" t="s">
        <v>1261</v>
      </c>
      <c r="C82" s="67" t="s">
        <v>1262</v>
      </c>
      <c r="D82" s="67" t="s">
        <v>1263</v>
      </c>
      <c r="E82" s="67" t="s">
        <v>1264</v>
      </c>
      <c r="F82" s="67" t="s">
        <v>1265</v>
      </c>
      <c r="G82" s="67" t="s">
        <v>1266</v>
      </c>
      <c r="H82" s="67" t="s">
        <v>1267</v>
      </c>
      <c r="I82" s="67" t="s">
        <v>1268</v>
      </c>
      <c r="J82" s="67" t="s">
        <v>1269</v>
      </c>
      <c r="K82" s="67" t="s">
        <v>1270</v>
      </c>
      <c r="L82" s="67" t="s">
        <v>1271</v>
      </c>
      <c r="M82" s="67" t="s">
        <v>1260</v>
      </c>
      <c r="N82" s="65"/>
      <c r="O82" s="65"/>
      <c r="P82" s="65"/>
      <c r="Q82" s="65"/>
    </row>
    <row r="83" spans="1:17" x14ac:dyDescent="0.25">
      <c r="A83" s="67" t="s">
        <v>1272</v>
      </c>
      <c r="B83" s="67" t="s">
        <v>1273</v>
      </c>
      <c r="C83" s="67" t="s">
        <v>1274</v>
      </c>
      <c r="D83" s="67" t="s">
        <v>1275</v>
      </c>
      <c r="E83" s="67" t="s">
        <v>1276</v>
      </c>
      <c r="F83" s="67" t="s">
        <v>1277</v>
      </c>
      <c r="G83" s="67" t="s">
        <v>1278</v>
      </c>
      <c r="H83" s="67" t="s">
        <v>1279</v>
      </c>
      <c r="I83" s="67" t="s">
        <v>1280</v>
      </c>
      <c r="J83" s="67" t="s">
        <v>1281</v>
      </c>
      <c r="K83" s="67" t="s">
        <v>1282</v>
      </c>
      <c r="L83" s="67" t="s">
        <v>1283</v>
      </c>
      <c r="M83" s="67" t="s">
        <v>1272</v>
      </c>
      <c r="N83" s="65"/>
      <c r="O83" s="65"/>
      <c r="P83" s="65"/>
      <c r="Q83" s="65"/>
    </row>
    <row r="84" spans="1:17" x14ac:dyDescent="0.25">
      <c r="A84" s="67" t="s">
        <v>1284</v>
      </c>
      <c r="B84" s="67" t="s">
        <v>1285</v>
      </c>
      <c r="C84" s="67" t="s">
        <v>1286</v>
      </c>
      <c r="D84" s="67" t="s">
        <v>1287</v>
      </c>
      <c r="E84" s="67" t="s">
        <v>1288</v>
      </c>
      <c r="F84" s="67" t="s">
        <v>1289</v>
      </c>
      <c r="G84" s="67" t="s">
        <v>1290</v>
      </c>
      <c r="H84" s="67" t="s">
        <v>1291</v>
      </c>
      <c r="I84" s="67" t="s">
        <v>1292</v>
      </c>
      <c r="J84" s="67" t="s">
        <v>1293</v>
      </c>
      <c r="K84" s="67" t="s">
        <v>1294</v>
      </c>
      <c r="L84" s="67" t="s">
        <v>1295</v>
      </c>
      <c r="M84" s="67" t="s">
        <v>1284</v>
      </c>
      <c r="N84" s="65"/>
      <c r="O84" s="65"/>
      <c r="P84" s="65"/>
      <c r="Q84" s="65"/>
    </row>
    <row r="85" spans="1:17" x14ac:dyDescent="0.25">
      <c r="A85" s="67" t="s">
        <v>1296</v>
      </c>
      <c r="B85" s="67" t="s">
        <v>1297</v>
      </c>
      <c r="C85" s="67" t="s">
        <v>1298</v>
      </c>
      <c r="D85" s="67" t="s">
        <v>1299</v>
      </c>
      <c r="E85" s="67" t="s">
        <v>1300</v>
      </c>
      <c r="F85" s="67" t="s">
        <v>1301</v>
      </c>
      <c r="G85" s="67" t="s">
        <v>1302</v>
      </c>
      <c r="H85" s="67" t="s">
        <v>1303</v>
      </c>
      <c r="I85" s="67" t="s">
        <v>1304</v>
      </c>
      <c r="J85" s="67" t="s">
        <v>1305</v>
      </c>
      <c r="K85" s="67" t="s">
        <v>1306</v>
      </c>
      <c r="L85" s="67" t="s">
        <v>1307</v>
      </c>
      <c r="M85" s="67" t="s">
        <v>1296</v>
      </c>
      <c r="N85" s="65"/>
      <c r="O85" s="65"/>
      <c r="P85" s="65"/>
      <c r="Q85" s="65"/>
    </row>
    <row r="86" spans="1:17" x14ac:dyDescent="0.25">
      <c r="A86" s="67" t="s">
        <v>1308</v>
      </c>
      <c r="B86" s="67" t="s">
        <v>1309</v>
      </c>
      <c r="C86" s="67" t="s">
        <v>1310</v>
      </c>
      <c r="D86" s="67" t="s">
        <v>1311</v>
      </c>
      <c r="E86" s="67" t="s">
        <v>1312</v>
      </c>
      <c r="F86" s="67" t="s">
        <v>1313</v>
      </c>
      <c r="G86" s="67" t="s">
        <v>1314</v>
      </c>
      <c r="H86" s="67" t="s">
        <v>1315</v>
      </c>
      <c r="I86" s="67" t="s">
        <v>1316</v>
      </c>
      <c r="J86" s="67" t="s">
        <v>1317</v>
      </c>
      <c r="K86" s="67" t="s">
        <v>1318</v>
      </c>
      <c r="L86" s="67" t="s">
        <v>1319</v>
      </c>
      <c r="M86" s="67" t="s">
        <v>1308</v>
      </c>
      <c r="N86" s="65"/>
      <c r="O86" s="65"/>
      <c r="P86" s="65"/>
      <c r="Q86" s="65"/>
    </row>
    <row r="87" spans="1:17" x14ac:dyDescent="0.25">
      <c r="A87" s="67" t="s">
        <v>1320</v>
      </c>
      <c r="B87" s="67" t="s">
        <v>1321</v>
      </c>
      <c r="C87" s="67" t="s">
        <v>1322</v>
      </c>
      <c r="D87" s="67" t="s">
        <v>1323</v>
      </c>
      <c r="E87" s="67" t="s">
        <v>1324</v>
      </c>
      <c r="F87" s="67" t="s">
        <v>1325</v>
      </c>
      <c r="G87" s="67" t="s">
        <v>1326</v>
      </c>
      <c r="H87" s="67" t="s">
        <v>1327</v>
      </c>
      <c r="I87" s="67" t="s">
        <v>1328</v>
      </c>
      <c r="J87" s="67" t="s">
        <v>1329</v>
      </c>
      <c r="K87" s="67" t="s">
        <v>1330</v>
      </c>
      <c r="L87" s="67" t="s">
        <v>1331</v>
      </c>
      <c r="M87" s="67" t="s">
        <v>1320</v>
      </c>
      <c r="N87" s="65"/>
      <c r="O87" s="65"/>
      <c r="P87" s="65"/>
      <c r="Q87" s="65"/>
    </row>
    <row r="88" spans="1:17" x14ac:dyDescent="0.25">
      <c r="A88" s="67" t="s">
        <v>1332</v>
      </c>
      <c r="B88" s="67" t="s">
        <v>1333</v>
      </c>
      <c r="C88" s="67" t="s">
        <v>1334</v>
      </c>
      <c r="D88" s="67" t="s">
        <v>1335</v>
      </c>
      <c r="E88" s="67" t="s">
        <v>1336</v>
      </c>
      <c r="F88" s="67" t="s">
        <v>1337</v>
      </c>
      <c r="G88" s="67" t="s">
        <v>1338</v>
      </c>
      <c r="H88" s="67" t="s">
        <v>1339</v>
      </c>
      <c r="I88" s="67" t="s">
        <v>1340</v>
      </c>
      <c r="J88" s="67" t="s">
        <v>1341</v>
      </c>
      <c r="K88" s="67" t="s">
        <v>1342</v>
      </c>
      <c r="L88" s="67" t="s">
        <v>1343</v>
      </c>
      <c r="M88" s="67" t="s">
        <v>1332</v>
      </c>
      <c r="N88" s="65"/>
      <c r="O88" s="65"/>
      <c r="P88" s="65"/>
      <c r="Q88" s="65"/>
    </row>
    <row r="89" spans="1:17" x14ac:dyDescent="0.25">
      <c r="A89" s="67" t="s">
        <v>1344</v>
      </c>
      <c r="B89" s="67" t="s">
        <v>1345</v>
      </c>
      <c r="C89" s="67" t="s">
        <v>1346</v>
      </c>
      <c r="D89" s="67" t="s">
        <v>1347</v>
      </c>
      <c r="E89" s="67" t="s">
        <v>1348</v>
      </c>
      <c r="F89" s="67" t="s">
        <v>1349</v>
      </c>
      <c r="G89" s="67" t="s">
        <v>1350</v>
      </c>
      <c r="H89" s="67" t="s">
        <v>1351</v>
      </c>
      <c r="I89" s="67" t="s">
        <v>1352</v>
      </c>
      <c r="J89" s="67" t="s">
        <v>1353</v>
      </c>
      <c r="K89" s="67" t="s">
        <v>1354</v>
      </c>
      <c r="L89" s="67" t="s">
        <v>1355</v>
      </c>
      <c r="M89" s="67" t="s">
        <v>1356</v>
      </c>
      <c r="N89" s="65"/>
      <c r="O89" s="65"/>
      <c r="P89" s="65"/>
      <c r="Q89" s="65"/>
    </row>
    <row r="90" spans="1:17" x14ac:dyDescent="0.25">
      <c r="A90" s="67" t="s">
        <v>1357</v>
      </c>
      <c r="B90" s="67" t="s">
        <v>1358</v>
      </c>
      <c r="C90" s="67" t="s">
        <v>1359</v>
      </c>
      <c r="D90" s="67" t="s">
        <v>1360</v>
      </c>
      <c r="E90" s="67" t="s">
        <v>1361</v>
      </c>
      <c r="F90" s="67" t="s">
        <v>1362</v>
      </c>
      <c r="G90" s="67" t="s">
        <v>1363</v>
      </c>
      <c r="H90" s="67" t="s">
        <v>1364</v>
      </c>
      <c r="I90" s="67" t="s">
        <v>1365</v>
      </c>
      <c r="J90" s="67" t="s">
        <v>1366</v>
      </c>
      <c r="K90" s="67" t="s">
        <v>1367</v>
      </c>
      <c r="L90" s="67" t="s">
        <v>1368</v>
      </c>
      <c r="M90" s="67" t="s">
        <v>1369</v>
      </c>
      <c r="N90" s="65"/>
      <c r="O90" s="65"/>
      <c r="P90" s="65"/>
      <c r="Q90" s="65"/>
    </row>
    <row r="91" spans="1:17" x14ac:dyDescent="0.25">
      <c r="A91" s="67" t="s">
        <v>1370</v>
      </c>
      <c r="B91" s="67" t="s">
        <v>1371</v>
      </c>
      <c r="C91" s="67" t="s">
        <v>1372</v>
      </c>
      <c r="D91" s="67" t="s">
        <v>1373</v>
      </c>
      <c r="E91" s="67" t="s">
        <v>1374</v>
      </c>
      <c r="F91" s="67" t="s">
        <v>1375</v>
      </c>
      <c r="G91" s="67" t="s">
        <v>1376</v>
      </c>
      <c r="H91" s="67" t="s">
        <v>1377</v>
      </c>
      <c r="I91" s="67" t="s">
        <v>1378</v>
      </c>
      <c r="J91" s="67" t="s">
        <v>1379</v>
      </c>
      <c r="K91" s="67" t="s">
        <v>1380</v>
      </c>
      <c r="L91" s="67" t="s">
        <v>1381</v>
      </c>
      <c r="M91" s="67" t="s">
        <v>1382</v>
      </c>
      <c r="N91" s="65"/>
      <c r="O91" s="65"/>
      <c r="P91" s="65"/>
      <c r="Q91" s="65"/>
    </row>
    <row r="92" spans="1:17" x14ac:dyDescent="0.25">
      <c r="A92" s="67" t="s">
        <v>1383</v>
      </c>
      <c r="B92" s="67" t="s">
        <v>1384</v>
      </c>
      <c r="C92" s="67" t="s">
        <v>1385</v>
      </c>
      <c r="D92" s="67" t="s">
        <v>1386</v>
      </c>
      <c r="E92" s="67" t="s">
        <v>1387</v>
      </c>
      <c r="F92" s="67" t="s">
        <v>1388</v>
      </c>
      <c r="G92" s="67" t="s">
        <v>1389</v>
      </c>
      <c r="H92" s="67" t="s">
        <v>1390</v>
      </c>
      <c r="I92" s="67" t="s">
        <v>1391</v>
      </c>
      <c r="J92" s="67" t="s">
        <v>1392</v>
      </c>
      <c r="K92" s="67" t="s">
        <v>1393</v>
      </c>
      <c r="L92" s="67" t="s">
        <v>1394</v>
      </c>
      <c r="M92" s="67" t="s">
        <v>1383</v>
      </c>
      <c r="N92" s="65"/>
      <c r="O92" s="65"/>
      <c r="P92" s="65"/>
      <c r="Q92" s="65"/>
    </row>
    <row r="93" spans="1:17" x14ac:dyDescent="0.25">
      <c r="A93" s="67" t="s">
        <v>1395</v>
      </c>
      <c r="B93" s="67" t="s">
        <v>1396</v>
      </c>
      <c r="C93" s="67" t="s">
        <v>1397</v>
      </c>
      <c r="D93" s="67" t="s">
        <v>1398</v>
      </c>
      <c r="E93" s="67" t="s">
        <v>1399</v>
      </c>
      <c r="F93" s="67" t="s">
        <v>1400</v>
      </c>
      <c r="G93" s="67" t="s">
        <v>1401</v>
      </c>
      <c r="H93" s="67" t="s">
        <v>1402</v>
      </c>
      <c r="I93" s="67" t="s">
        <v>1403</v>
      </c>
      <c r="J93" s="67" t="s">
        <v>1404</v>
      </c>
      <c r="K93" s="67" t="s">
        <v>1405</v>
      </c>
      <c r="L93" s="67" t="s">
        <v>1406</v>
      </c>
      <c r="M93" s="67" t="s">
        <v>1395</v>
      </c>
      <c r="N93" s="65"/>
      <c r="O93" s="65"/>
      <c r="P93" s="65"/>
      <c r="Q93" s="65"/>
    </row>
    <row r="94" spans="1:17" x14ac:dyDescent="0.25">
      <c r="A94" s="67" t="s">
        <v>1407</v>
      </c>
      <c r="B94" s="67" t="s">
        <v>1408</v>
      </c>
      <c r="C94" s="67" t="s">
        <v>1409</v>
      </c>
      <c r="D94" s="67" t="s">
        <v>1410</v>
      </c>
      <c r="E94" s="67" t="s">
        <v>1411</v>
      </c>
      <c r="F94" s="67" t="s">
        <v>1412</v>
      </c>
      <c r="G94" s="67" t="s">
        <v>1413</v>
      </c>
      <c r="H94" s="67" t="s">
        <v>1414</v>
      </c>
      <c r="I94" s="67" t="s">
        <v>1415</v>
      </c>
      <c r="J94" s="67" t="s">
        <v>1416</v>
      </c>
      <c r="K94" s="67" t="s">
        <v>1417</v>
      </c>
      <c r="L94" s="67" t="s">
        <v>1418</v>
      </c>
      <c r="M94" s="67" t="s">
        <v>1407</v>
      </c>
      <c r="N94" s="65"/>
      <c r="O94" s="65"/>
      <c r="P94" s="65"/>
      <c r="Q94" s="65"/>
    </row>
    <row r="95" spans="1:17" x14ac:dyDescent="0.25">
      <c r="A95" s="67" t="s">
        <v>1419</v>
      </c>
      <c r="B95" s="67" t="s">
        <v>1420</v>
      </c>
      <c r="C95" s="67" t="s">
        <v>1421</v>
      </c>
      <c r="D95" s="67" t="s">
        <v>1422</v>
      </c>
      <c r="E95" s="67" t="s">
        <v>1423</v>
      </c>
      <c r="F95" s="67" t="s">
        <v>1424</v>
      </c>
      <c r="G95" s="67" t="s">
        <v>1425</v>
      </c>
      <c r="H95" s="67" t="s">
        <v>1426</v>
      </c>
      <c r="I95" s="67" t="s">
        <v>1427</v>
      </c>
      <c r="J95" s="67" t="s">
        <v>1428</v>
      </c>
      <c r="K95" s="67" t="s">
        <v>1429</v>
      </c>
      <c r="L95" s="67" t="s">
        <v>1430</v>
      </c>
      <c r="M95" s="67" t="s">
        <v>1419</v>
      </c>
      <c r="N95" s="65"/>
      <c r="O95" s="65"/>
      <c r="P95" s="65"/>
      <c r="Q95" s="65"/>
    </row>
    <row r="96" spans="1:17" x14ac:dyDescent="0.25">
      <c r="A96" s="67" t="s">
        <v>1431</v>
      </c>
      <c r="B96" s="67" t="s">
        <v>1432</v>
      </c>
      <c r="C96" s="67" t="s">
        <v>1433</v>
      </c>
      <c r="D96" s="67" t="s">
        <v>1434</v>
      </c>
      <c r="E96" s="67" t="s">
        <v>1435</v>
      </c>
      <c r="F96" s="67" t="s">
        <v>1436</v>
      </c>
      <c r="G96" s="67" t="s">
        <v>1437</v>
      </c>
      <c r="H96" s="67" t="s">
        <v>1438</v>
      </c>
      <c r="I96" s="67" t="s">
        <v>1439</v>
      </c>
      <c r="J96" s="67" t="s">
        <v>1440</v>
      </c>
      <c r="K96" s="67" t="s">
        <v>1441</v>
      </c>
      <c r="L96" s="67" t="s">
        <v>1442</v>
      </c>
      <c r="M96" s="67" t="s">
        <v>1431</v>
      </c>
      <c r="N96" s="65"/>
      <c r="O96" s="65"/>
      <c r="P96" s="65"/>
      <c r="Q96" s="65"/>
    </row>
    <row r="97" spans="1:17" x14ac:dyDescent="0.25">
      <c r="A97" s="67" t="s">
        <v>1443</v>
      </c>
      <c r="B97" s="67" t="s">
        <v>1444</v>
      </c>
      <c r="C97" s="67" t="s">
        <v>1445</v>
      </c>
      <c r="D97" s="67" t="s">
        <v>1446</v>
      </c>
      <c r="E97" s="67" t="s">
        <v>1447</v>
      </c>
      <c r="F97" s="67" t="s">
        <v>1448</v>
      </c>
      <c r="G97" s="67" t="s">
        <v>1449</v>
      </c>
      <c r="H97" s="67" t="s">
        <v>1450</v>
      </c>
      <c r="I97" s="67" t="s">
        <v>1451</v>
      </c>
      <c r="J97" s="67" t="s">
        <v>1452</v>
      </c>
      <c r="K97" s="67" t="s">
        <v>1453</v>
      </c>
      <c r="L97" s="67" t="s">
        <v>1454</v>
      </c>
      <c r="M97" s="67" t="s">
        <v>1443</v>
      </c>
      <c r="N97" s="65"/>
      <c r="O97" s="65"/>
      <c r="P97" s="65"/>
      <c r="Q97" s="65"/>
    </row>
    <row r="98" spans="1:17" x14ac:dyDescent="0.25">
      <c r="A98" s="66" t="s">
        <v>1455</v>
      </c>
      <c r="B98" s="66" t="s">
        <v>1456</v>
      </c>
      <c r="C98" s="66" t="s">
        <v>1457</v>
      </c>
      <c r="D98" s="66" t="s">
        <v>1458</v>
      </c>
      <c r="E98" s="66" t="s">
        <v>1459</v>
      </c>
      <c r="F98" s="66" t="s">
        <v>1460</v>
      </c>
      <c r="G98" s="66" t="s">
        <v>1461</v>
      </c>
      <c r="H98" s="66" t="s">
        <v>1462</v>
      </c>
      <c r="I98" s="66" t="s">
        <v>1463</v>
      </c>
      <c r="J98" s="66" t="s">
        <v>1464</v>
      </c>
      <c r="K98" s="66" t="s">
        <v>1465</v>
      </c>
      <c r="L98" s="66" t="s">
        <v>1466</v>
      </c>
      <c r="M98" s="66" t="s">
        <v>1455</v>
      </c>
      <c r="N98" s="65"/>
      <c r="O98" s="65"/>
      <c r="P98" s="65"/>
      <c r="Q98" s="65"/>
    </row>
    <row r="99" spans="1:17" x14ac:dyDescent="0.25">
      <c r="A99" s="66" t="s">
        <v>1467</v>
      </c>
      <c r="B99" s="66" t="s">
        <v>1468</v>
      </c>
      <c r="C99" s="66" t="s">
        <v>1469</v>
      </c>
      <c r="D99" s="66" t="s">
        <v>1470</v>
      </c>
      <c r="E99" s="66" t="s">
        <v>1471</v>
      </c>
      <c r="F99" s="66" t="s">
        <v>1472</v>
      </c>
      <c r="G99" s="66" t="s">
        <v>1473</v>
      </c>
      <c r="H99" s="66" t="s">
        <v>1474</v>
      </c>
      <c r="I99" s="66" t="s">
        <v>1475</v>
      </c>
      <c r="J99" s="66" t="s">
        <v>1476</v>
      </c>
      <c r="K99" s="66" t="s">
        <v>1477</v>
      </c>
      <c r="L99" s="66" t="s">
        <v>1478</v>
      </c>
      <c r="M99" s="66" t="s">
        <v>1467</v>
      </c>
      <c r="N99" s="65"/>
      <c r="O99" s="65"/>
      <c r="P99" s="65"/>
      <c r="Q99" s="65"/>
    </row>
    <row r="100" spans="1:17" x14ac:dyDescent="0.25">
      <c r="A100" s="66" t="s">
        <v>1479</v>
      </c>
      <c r="B100" s="66" t="s">
        <v>1480</v>
      </c>
      <c r="C100" s="66" t="s">
        <v>1481</v>
      </c>
      <c r="D100" s="66" t="s">
        <v>1482</v>
      </c>
      <c r="E100" s="66" t="s">
        <v>1483</v>
      </c>
      <c r="F100" s="66" t="s">
        <v>1484</v>
      </c>
      <c r="G100" s="66" t="s">
        <v>1485</v>
      </c>
      <c r="H100" s="66" t="s">
        <v>1486</v>
      </c>
      <c r="I100" s="66" t="s">
        <v>1487</v>
      </c>
      <c r="J100" s="66" t="s">
        <v>1488</v>
      </c>
      <c r="K100" s="66" t="s">
        <v>1489</v>
      </c>
      <c r="L100" s="66" t="s">
        <v>1490</v>
      </c>
      <c r="M100" s="66" t="s">
        <v>1479</v>
      </c>
      <c r="N100" s="65"/>
      <c r="O100" s="65"/>
      <c r="P100" s="65"/>
      <c r="Q100" s="65"/>
    </row>
    <row r="101" spans="1:17" x14ac:dyDescent="0.25">
      <c r="A101" s="66" t="s">
        <v>1491</v>
      </c>
      <c r="B101" s="66" t="s">
        <v>1492</v>
      </c>
      <c r="C101" s="66" t="s">
        <v>1493</v>
      </c>
      <c r="D101" s="66" t="s">
        <v>1494</v>
      </c>
      <c r="E101" s="66" t="s">
        <v>1495</v>
      </c>
      <c r="F101" s="66" t="s">
        <v>1496</v>
      </c>
      <c r="G101" s="66" t="s">
        <v>1497</v>
      </c>
      <c r="H101" s="66" t="s">
        <v>1498</v>
      </c>
      <c r="I101" s="66" t="s">
        <v>1499</v>
      </c>
      <c r="J101" s="66" t="s">
        <v>1500</v>
      </c>
      <c r="K101" s="66" t="s">
        <v>1501</v>
      </c>
      <c r="L101" s="66" t="s">
        <v>1502</v>
      </c>
      <c r="M101" s="66" t="s">
        <v>1491</v>
      </c>
      <c r="N101" s="65"/>
      <c r="O101" s="65"/>
      <c r="P101" s="65"/>
      <c r="Q101" s="65"/>
    </row>
    <row r="102" spans="1:17" x14ac:dyDescent="0.25">
      <c r="A102" s="66" t="s">
        <v>1503</v>
      </c>
      <c r="B102" s="66" t="s">
        <v>1504</v>
      </c>
      <c r="C102" s="66" t="s">
        <v>1505</v>
      </c>
      <c r="D102" s="66" t="s">
        <v>1506</v>
      </c>
      <c r="E102" s="66" t="s">
        <v>1507</v>
      </c>
      <c r="F102" s="66" t="s">
        <v>1508</v>
      </c>
      <c r="G102" s="66" t="s">
        <v>1509</v>
      </c>
      <c r="H102" s="66" t="s">
        <v>1510</v>
      </c>
      <c r="I102" s="66" t="s">
        <v>1511</v>
      </c>
      <c r="J102" s="66" t="s">
        <v>1512</v>
      </c>
      <c r="K102" s="66" t="s">
        <v>1513</v>
      </c>
      <c r="L102" s="66" t="s">
        <v>1514</v>
      </c>
      <c r="M102" s="66" t="s">
        <v>1503</v>
      </c>
      <c r="N102" s="65"/>
      <c r="O102" s="65"/>
      <c r="P102" s="65"/>
      <c r="Q102" s="65"/>
    </row>
    <row r="103" spans="1:17" x14ac:dyDescent="0.25">
      <c r="A103" s="66" t="s">
        <v>1515</v>
      </c>
      <c r="B103" s="66" t="s">
        <v>1516</v>
      </c>
      <c r="C103" s="66" t="s">
        <v>1517</v>
      </c>
      <c r="D103" s="66" t="s">
        <v>1518</v>
      </c>
      <c r="E103" s="66" t="s">
        <v>1519</v>
      </c>
      <c r="F103" s="66" t="s">
        <v>1520</v>
      </c>
      <c r="G103" s="66" t="s">
        <v>1521</v>
      </c>
      <c r="H103" s="66" t="s">
        <v>1522</v>
      </c>
      <c r="I103" s="66" t="s">
        <v>1523</v>
      </c>
      <c r="J103" s="66" t="s">
        <v>1524</v>
      </c>
      <c r="K103" s="66" t="s">
        <v>1525</v>
      </c>
      <c r="L103" s="66" t="s">
        <v>1526</v>
      </c>
      <c r="M103" s="66" t="s">
        <v>1515</v>
      </c>
      <c r="N103" s="65"/>
      <c r="O103" s="65"/>
      <c r="P103" s="65"/>
      <c r="Q103" s="65"/>
    </row>
    <row r="104" spans="1:17" x14ac:dyDescent="0.25">
      <c r="A104" s="66" t="s">
        <v>1527</v>
      </c>
      <c r="B104" s="66" t="s">
        <v>1528</v>
      </c>
      <c r="C104" s="66" t="s">
        <v>1529</v>
      </c>
      <c r="D104" s="66" t="s">
        <v>1530</v>
      </c>
      <c r="E104" s="66" t="s">
        <v>1531</v>
      </c>
      <c r="F104" s="66" t="s">
        <v>1532</v>
      </c>
      <c r="G104" s="66" t="s">
        <v>1533</v>
      </c>
      <c r="H104" s="66" t="s">
        <v>1534</v>
      </c>
      <c r="I104" s="66" t="s">
        <v>1535</v>
      </c>
      <c r="J104" s="66" t="s">
        <v>1536</v>
      </c>
      <c r="K104" s="66" t="s">
        <v>1537</v>
      </c>
      <c r="L104" s="66" t="s">
        <v>1538</v>
      </c>
      <c r="M104" s="66" t="s">
        <v>1527</v>
      </c>
      <c r="N104" s="65"/>
      <c r="O104" s="65"/>
      <c r="P104" s="65"/>
      <c r="Q104" s="65"/>
    </row>
    <row r="105" spans="1:17" x14ac:dyDescent="0.25">
      <c r="A105" s="66" t="s">
        <v>1539</v>
      </c>
      <c r="B105" s="66" t="s">
        <v>1540</v>
      </c>
      <c r="C105" s="66" t="s">
        <v>1541</v>
      </c>
      <c r="D105" s="66" t="s">
        <v>1542</v>
      </c>
      <c r="E105" s="66" t="s">
        <v>1543</v>
      </c>
      <c r="F105" s="66" t="s">
        <v>1544</v>
      </c>
      <c r="G105" s="66" t="s">
        <v>1545</v>
      </c>
      <c r="H105" s="66" t="s">
        <v>1546</v>
      </c>
      <c r="I105" s="66" t="s">
        <v>1547</v>
      </c>
      <c r="J105" s="66" t="s">
        <v>1548</v>
      </c>
      <c r="K105" s="66" t="s">
        <v>1549</v>
      </c>
      <c r="L105" s="66" t="s">
        <v>1550</v>
      </c>
      <c r="M105" s="66" t="s">
        <v>1539</v>
      </c>
      <c r="N105" s="65"/>
      <c r="O105" s="65"/>
      <c r="P105" s="65"/>
      <c r="Q105" s="65"/>
    </row>
    <row r="106" spans="1:17" x14ac:dyDescent="0.25">
      <c r="A106" s="66" t="s">
        <v>1551</v>
      </c>
      <c r="B106" s="66" t="s">
        <v>1552</v>
      </c>
      <c r="C106" s="66" t="s">
        <v>1553</v>
      </c>
      <c r="D106" s="66" t="s">
        <v>1554</v>
      </c>
      <c r="E106" s="66" t="s">
        <v>1555</v>
      </c>
      <c r="F106" s="66" t="s">
        <v>1556</v>
      </c>
      <c r="G106" s="66" t="s">
        <v>1557</v>
      </c>
      <c r="H106" s="66" t="s">
        <v>1558</v>
      </c>
      <c r="I106" s="66" t="s">
        <v>1559</v>
      </c>
      <c r="J106" s="66" t="s">
        <v>1560</v>
      </c>
      <c r="K106" s="66" t="s">
        <v>1561</v>
      </c>
      <c r="L106" s="66" t="s">
        <v>1562</v>
      </c>
      <c r="M106" s="66" t="s">
        <v>1551</v>
      </c>
      <c r="N106" s="65"/>
      <c r="O106" s="65"/>
      <c r="P106" s="65"/>
      <c r="Q106" s="65"/>
    </row>
    <row r="107" spans="1:17" x14ac:dyDescent="0.25">
      <c r="A107" s="66" t="s">
        <v>1563</v>
      </c>
      <c r="B107" s="66" t="s">
        <v>1564</v>
      </c>
      <c r="C107" s="66" t="s">
        <v>1565</v>
      </c>
      <c r="D107" s="66" t="s">
        <v>1566</v>
      </c>
      <c r="E107" s="66" t="s">
        <v>1567</v>
      </c>
      <c r="F107" s="66" t="s">
        <v>1568</v>
      </c>
      <c r="G107" s="66" t="s">
        <v>1569</v>
      </c>
      <c r="H107" s="66" t="s">
        <v>1570</v>
      </c>
      <c r="I107" s="66" t="s">
        <v>1571</v>
      </c>
      <c r="J107" s="66" t="s">
        <v>1572</v>
      </c>
      <c r="K107" s="66" t="s">
        <v>1573</v>
      </c>
      <c r="L107" s="66" t="s">
        <v>1574</v>
      </c>
      <c r="M107" s="66" t="s">
        <v>1575</v>
      </c>
      <c r="N107" s="65"/>
      <c r="O107" s="65"/>
      <c r="P107" s="65"/>
      <c r="Q107" s="65"/>
    </row>
    <row r="108" spans="1:17" x14ac:dyDescent="0.25">
      <c r="A108" s="66" t="s">
        <v>1576</v>
      </c>
      <c r="B108" s="66" t="s">
        <v>1577</v>
      </c>
      <c r="C108" s="66" t="s">
        <v>1578</v>
      </c>
      <c r="D108" s="66" t="s">
        <v>1579</v>
      </c>
      <c r="E108" s="66" t="s">
        <v>1580</v>
      </c>
      <c r="F108" s="66" t="s">
        <v>1581</v>
      </c>
      <c r="G108" s="66" t="s">
        <v>1582</v>
      </c>
      <c r="H108" s="66" t="s">
        <v>1583</v>
      </c>
      <c r="I108" s="66" t="s">
        <v>1584</v>
      </c>
      <c r="J108" s="66" t="s">
        <v>1585</v>
      </c>
      <c r="K108" s="66" t="s">
        <v>1586</v>
      </c>
      <c r="L108" s="66" t="s">
        <v>1587</v>
      </c>
      <c r="M108" s="66" t="s">
        <v>1588</v>
      </c>
      <c r="N108" s="65"/>
      <c r="O108" s="65"/>
      <c r="P108" s="65"/>
      <c r="Q108" s="65"/>
    </row>
    <row r="109" spans="1:17" x14ac:dyDescent="0.25">
      <c r="A109" s="66" t="s">
        <v>1589</v>
      </c>
      <c r="B109" s="66" t="s">
        <v>1590</v>
      </c>
      <c r="C109" s="66" t="s">
        <v>1591</v>
      </c>
      <c r="D109" s="66" t="s">
        <v>1592</v>
      </c>
      <c r="E109" s="66" t="s">
        <v>1593</v>
      </c>
      <c r="F109" s="66" t="s">
        <v>1594</v>
      </c>
      <c r="G109" s="66" t="s">
        <v>1595</v>
      </c>
      <c r="H109" s="66" t="s">
        <v>1596</v>
      </c>
      <c r="I109" s="66" t="s">
        <v>1597</v>
      </c>
      <c r="J109" s="66" t="s">
        <v>1598</v>
      </c>
      <c r="K109" s="66" t="s">
        <v>1599</v>
      </c>
      <c r="L109" s="66" t="s">
        <v>1600</v>
      </c>
      <c r="M109" s="66" t="s">
        <v>1601</v>
      </c>
      <c r="N109" s="65"/>
      <c r="O109" s="65"/>
      <c r="P109" s="65"/>
      <c r="Q109" s="65"/>
    </row>
    <row r="110" spans="1:17" x14ac:dyDescent="0.25">
      <c r="A110" s="66" t="s">
        <v>1602</v>
      </c>
      <c r="B110" s="66" t="s">
        <v>1603</v>
      </c>
      <c r="C110" s="66" t="s">
        <v>1604</v>
      </c>
      <c r="D110" s="66" t="s">
        <v>1605</v>
      </c>
      <c r="E110" s="66" t="s">
        <v>1606</v>
      </c>
      <c r="F110" s="66" t="s">
        <v>1607</v>
      </c>
      <c r="G110" s="66" t="s">
        <v>1608</v>
      </c>
      <c r="H110" s="66" t="s">
        <v>1609</v>
      </c>
      <c r="I110" s="66" t="s">
        <v>1610</v>
      </c>
      <c r="J110" s="66" t="s">
        <v>1611</v>
      </c>
      <c r="K110" s="66" t="s">
        <v>1612</v>
      </c>
      <c r="L110" s="66" t="s">
        <v>1613</v>
      </c>
      <c r="M110" s="66" t="s">
        <v>1602</v>
      </c>
      <c r="N110" s="65"/>
      <c r="O110" s="65"/>
      <c r="P110" s="65"/>
      <c r="Q110" s="65"/>
    </row>
    <row r="111" spans="1:17" x14ac:dyDescent="0.25">
      <c r="A111" s="66" t="s">
        <v>1614</v>
      </c>
      <c r="B111" s="66" t="s">
        <v>1615</v>
      </c>
      <c r="C111" s="66" t="s">
        <v>1616</v>
      </c>
      <c r="D111" s="66" t="s">
        <v>1617</v>
      </c>
      <c r="E111" s="66" t="s">
        <v>1618</v>
      </c>
      <c r="F111" s="66" t="s">
        <v>1619</v>
      </c>
      <c r="G111" s="66" t="s">
        <v>1620</v>
      </c>
      <c r="H111" s="66" t="s">
        <v>1621</v>
      </c>
      <c r="I111" s="66" t="s">
        <v>1622</v>
      </c>
      <c r="J111" s="66" t="s">
        <v>1623</v>
      </c>
      <c r="K111" s="66" t="s">
        <v>1624</v>
      </c>
      <c r="L111" s="66" t="s">
        <v>1625</v>
      </c>
      <c r="M111" s="66" t="s">
        <v>1614</v>
      </c>
      <c r="N111" s="65"/>
      <c r="O111" s="65"/>
      <c r="P111" s="65"/>
      <c r="Q111" s="65"/>
    </row>
    <row r="112" spans="1:17" x14ac:dyDescent="0.25">
      <c r="A112" s="66" t="s">
        <v>1626</v>
      </c>
      <c r="B112" s="66" t="s">
        <v>1627</v>
      </c>
      <c r="C112" s="66" t="s">
        <v>1628</v>
      </c>
      <c r="D112" s="66" t="s">
        <v>1629</v>
      </c>
      <c r="E112" s="66" t="s">
        <v>1630</v>
      </c>
      <c r="F112" s="66" t="s">
        <v>1631</v>
      </c>
      <c r="G112" s="66" t="s">
        <v>1632</v>
      </c>
      <c r="H112" s="66" t="s">
        <v>1633</v>
      </c>
      <c r="I112" s="66" t="s">
        <v>1634</v>
      </c>
      <c r="J112" s="66" t="s">
        <v>1635</v>
      </c>
      <c r="K112" s="66" t="s">
        <v>1636</v>
      </c>
      <c r="L112" s="66" t="s">
        <v>1637</v>
      </c>
      <c r="M112" s="66" t="s">
        <v>1626</v>
      </c>
      <c r="N112" s="65"/>
      <c r="O112" s="65"/>
      <c r="P112" s="65"/>
      <c r="Q112" s="65"/>
    </row>
    <row r="113" spans="1:17" x14ac:dyDescent="0.25">
      <c r="A113" s="66" t="s">
        <v>1638</v>
      </c>
      <c r="B113" s="66" t="s">
        <v>1639</v>
      </c>
      <c r="C113" s="66" t="s">
        <v>1640</v>
      </c>
      <c r="D113" s="66" t="s">
        <v>1641</v>
      </c>
      <c r="E113" s="66" t="s">
        <v>1642</v>
      </c>
      <c r="F113" s="66" t="s">
        <v>1643</v>
      </c>
      <c r="G113" s="66" t="s">
        <v>1644</v>
      </c>
      <c r="H113" s="66" t="s">
        <v>1645</v>
      </c>
      <c r="I113" s="66" t="s">
        <v>1646</v>
      </c>
      <c r="J113" s="66" t="s">
        <v>1647</v>
      </c>
      <c r="K113" s="66" t="s">
        <v>1648</v>
      </c>
      <c r="L113" s="66" t="s">
        <v>1649</v>
      </c>
      <c r="M113" s="66" t="s">
        <v>1638</v>
      </c>
      <c r="N113" s="65"/>
      <c r="O113" s="65"/>
      <c r="P113" s="65"/>
      <c r="Q113" s="65"/>
    </row>
    <row r="114" spans="1:17" x14ac:dyDescent="0.25">
      <c r="A114" s="66" t="s">
        <v>1650</v>
      </c>
      <c r="B114" s="66" t="s">
        <v>1651</v>
      </c>
      <c r="C114" s="66" t="s">
        <v>1652</v>
      </c>
      <c r="D114" s="66" t="s">
        <v>1653</v>
      </c>
      <c r="E114" s="66" t="s">
        <v>1654</v>
      </c>
      <c r="F114" s="66" t="s">
        <v>1655</v>
      </c>
      <c r="G114" s="66" t="s">
        <v>1656</v>
      </c>
      <c r="H114" s="66" t="s">
        <v>1657</v>
      </c>
      <c r="I114" s="66" t="s">
        <v>1658</v>
      </c>
      <c r="J114" s="66" t="s">
        <v>1659</v>
      </c>
      <c r="K114" s="66" t="s">
        <v>1660</v>
      </c>
      <c r="L114" s="66" t="s">
        <v>1661</v>
      </c>
      <c r="M114" s="66" t="s">
        <v>1650</v>
      </c>
      <c r="N114" s="65"/>
      <c r="O114" s="65"/>
      <c r="P114" s="65"/>
      <c r="Q114" s="65"/>
    </row>
    <row r="115" spans="1:17" x14ac:dyDescent="0.25">
      <c r="A115" s="66" t="s">
        <v>1662</v>
      </c>
      <c r="B115" s="66" t="s">
        <v>1663</v>
      </c>
      <c r="C115" s="66" t="s">
        <v>1664</v>
      </c>
      <c r="D115" s="66" t="s">
        <v>1665</v>
      </c>
      <c r="E115" s="66" t="s">
        <v>1666</v>
      </c>
      <c r="F115" s="66" t="s">
        <v>1667</v>
      </c>
      <c r="G115" s="66" t="s">
        <v>1668</v>
      </c>
      <c r="H115" s="66" t="s">
        <v>1669</v>
      </c>
      <c r="I115" s="66" t="s">
        <v>1670</v>
      </c>
      <c r="J115" s="66" t="s">
        <v>1671</v>
      </c>
      <c r="K115" s="66" t="s">
        <v>1672</v>
      </c>
      <c r="L115" s="66" t="s">
        <v>1673</v>
      </c>
      <c r="M115" s="66" t="s">
        <v>1662</v>
      </c>
      <c r="N115" s="65"/>
      <c r="O115" s="65"/>
      <c r="P115" s="65"/>
      <c r="Q115" s="65"/>
    </row>
    <row r="116" spans="1:17" x14ac:dyDescent="0.25">
      <c r="A116" s="69" t="s">
        <v>1674</v>
      </c>
      <c r="B116" s="69" t="s">
        <v>1675</v>
      </c>
      <c r="C116" s="69" t="s">
        <v>1676</v>
      </c>
      <c r="D116" s="69" t="s">
        <v>1677</v>
      </c>
      <c r="E116" s="69" t="s">
        <v>1678</v>
      </c>
      <c r="F116" s="69" t="s">
        <v>1679</v>
      </c>
      <c r="G116" s="69" t="s">
        <v>1680</v>
      </c>
      <c r="H116" s="69" t="s">
        <v>1681</v>
      </c>
      <c r="I116" s="69" t="s">
        <v>1682</v>
      </c>
      <c r="J116" s="69" t="s">
        <v>1683</v>
      </c>
      <c r="K116" s="69" t="s">
        <v>1684</v>
      </c>
      <c r="L116" s="69" t="s">
        <v>1685</v>
      </c>
      <c r="M116" s="69" t="s">
        <v>1674</v>
      </c>
      <c r="N116" s="65"/>
      <c r="O116" s="65"/>
      <c r="P116" s="65"/>
      <c r="Q116" s="65"/>
    </row>
    <row r="117" spans="1:17" x14ac:dyDescent="0.25">
      <c r="A117" s="69" t="s">
        <v>1686</v>
      </c>
      <c r="B117" s="69" t="s">
        <v>1687</v>
      </c>
      <c r="C117" s="69" t="s">
        <v>1688</v>
      </c>
      <c r="D117" s="69" t="s">
        <v>1689</v>
      </c>
      <c r="E117" s="69" t="s">
        <v>1690</v>
      </c>
      <c r="F117" s="69" t="s">
        <v>1691</v>
      </c>
      <c r="G117" s="69" t="s">
        <v>1692</v>
      </c>
      <c r="H117" s="69" t="s">
        <v>1693</v>
      </c>
      <c r="I117" s="69" t="s">
        <v>1694</v>
      </c>
      <c r="J117" s="69" t="s">
        <v>1695</v>
      </c>
      <c r="K117" s="69" t="s">
        <v>1696</v>
      </c>
      <c r="L117" s="69" t="s">
        <v>1697</v>
      </c>
      <c r="M117" s="69" t="s">
        <v>1686</v>
      </c>
      <c r="N117" s="65"/>
      <c r="O117" s="65"/>
      <c r="P117" s="65"/>
      <c r="Q117" s="65"/>
    </row>
    <row r="118" spans="1:17" x14ac:dyDescent="0.25">
      <c r="A118" s="69" t="s">
        <v>1698</v>
      </c>
      <c r="B118" s="69" t="s">
        <v>1699</v>
      </c>
      <c r="C118" s="69" t="s">
        <v>1700</v>
      </c>
      <c r="D118" s="69" t="s">
        <v>1701</v>
      </c>
      <c r="E118" s="69" t="s">
        <v>1702</v>
      </c>
      <c r="F118" s="69" t="s">
        <v>1703</v>
      </c>
      <c r="G118" s="69" t="s">
        <v>1704</v>
      </c>
      <c r="H118" s="69" t="s">
        <v>1705</v>
      </c>
      <c r="I118" s="69" t="s">
        <v>1706</v>
      </c>
      <c r="J118" s="69" t="s">
        <v>1707</v>
      </c>
      <c r="K118" s="69" t="s">
        <v>1708</v>
      </c>
      <c r="L118" s="69" t="s">
        <v>1709</v>
      </c>
      <c r="M118" s="69" t="s">
        <v>1698</v>
      </c>
      <c r="N118" s="65"/>
      <c r="O118" s="65"/>
      <c r="P118" s="65"/>
      <c r="Q118" s="65"/>
    </row>
    <row r="119" spans="1:17" x14ac:dyDescent="0.25">
      <c r="A119" s="69" t="s">
        <v>1710</v>
      </c>
      <c r="B119" s="69" t="s">
        <v>1711</v>
      </c>
      <c r="C119" s="69" t="s">
        <v>1712</v>
      </c>
      <c r="D119" s="69" t="s">
        <v>1713</v>
      </c>
      <c r="E119" s="69" t="s">
        <v>1714</v>
      </c>
      <c r="F119" s="69" t="s">
        <v>1715</v>
      </c>
      <c r="G119" s="69" t="s">
        <v>1716</v>
      </c>
      <c r="H119" s="69" t="s">
        <v>1717</v>
      </c>
      <c r="I119" s="69" t="s">
        <v>1718</v>
      </c>
      <c r="J119" s="69" t="s">
        <v>1719</v>
      </c>
      <c r="K119" s="69" t="s">
        <v>1720</v>
      </c>
      <c r="L119" s="69" t="s">
        <v>1721</v>
      </c>
      <c r="M119" s="69" t="s">
        <v>1710</v>
      </c>
      <c r="N119" s="65"/>
      <c r="O119" s="65"/>
      <c r="P119" s="65"/>
      <c r="Q119" s="65"/>
    </row>
    <row r="120" spans="1:17" x14ac:dyDescent="0.25">
      <c r="A120" s="69" t="s">
        <v>1722</v>
      </c>
      <c r="B120" s="69" t="s">
        <v>1723</v>
      </c>
      <c r="C120" s="69" t="s">
        <v>1724</v>
      </c>
      <c r="D120" s="69" t="s">
        <v>1725</v>
      </c>
      <c r="E120" s="69" t="s">
        <v>1726</v>
      </c>
      <c r="F120" s="69" t="s">
        <v>1727</v>
      </c>
      <c r="G120" s="69" t="s">
        <v>1728</v>
      </c>
      <c r="H120" s="69" t="s">
        <v>1729</v>
      </c>
      <c r="I120" s="69" t="s">
        <v>1730</v>
      </c>
      <c r="J120" s="69" t="s">
        <v>1731</v>
      </c>
      <c r="K120" s="69" t="s">
        <v>1732</v>
      </c>
      <c r="L120" s="69" t="s">
        <v>1733</v>
      </c>
      <c r="M120" s="69" t="s">
        <v>1722</v>
      </c>
      <c r="N120" s="65"/>
      <c r="O120" s="65"/>
      <c r="P120" s="65"/>
      <c r="Q120" s="65"/>
    </row>
    <row r="121" spans="1:17" x14ac:dyDescent="0.25">
      <c r="A121" s="69" t="s">
        <v>1734</v>
      </c>
      <c r="B121" s="69" t="s">
        <v>1735</v>
      </c>
      <c r="C121" s="69" t="s">
        <v>1736</v>
      </c>
      <c r="D121" s="69" t="s">
        <v>1737</v>
      </c>
      <c r="E121" s="69" t="s">
        <v>1738</v>
      </c>
      <c r="F121" s="69" t="s">
        <v>1739</v>
      </c>
      <c r="G121" s="69" t="s">
        <v>1740</v>
      </c>
      <c r="H121" s="69" t="s">
        <v>1741</v>
      </c>
      <c r="I121" s="69" t="s">
        <v>1742</v>
      </c>
      <c r="J121" s="69" t="s">
        <v>1743</v>
      </c>
      <c r="K121" s="69" t="s">
        <v>1744</v>
      </c>
      <c r="L121" s="69" t="s">
        <v>1745</v>
      </c>
      <c r="M121" s="69" t="s">
        <v>1734</v>
      </c>
      <c r="N121" s="65"/>
      <c r="O121" s="65"/>
      <c r="P121" s="65"/>
      <c r="Q121" s="65"/>
    </row>
    <row r="122" spans="1:17" x14ac:dyDescent="0.25">
      <c r="A122" s="69" t="s">
        <v>1746</v>
      </c>
      <c r="B122" s="69" t="s">
        <v>1747</v>
      </c>
      <c r="C122" s="69" t="s">
        <v>1748</v>
      </c>
      <c r="D122" s="69" t="s">
        <v>1749</v>
      </c>
      <c r="E122" s="69" t="s">
        <v>1750</v>
      </c>
      <c r="F122" s="69" t="s">
        <v>1751</v>
      </c>
      <c r="G122" s="69" t="s">
        <v>1752</v>
      </c>
      <c r="H122" s="69" t="s">
        <v>1753</v>
      </c>
      <c r="I122" s="69" t="s">
        <v>1754</v>
      </c>
      <c r="J122" s="69" t="s">
        <v>1755</v>
      </c>
      <c r="K122" s="69" t="s">
        <v>1756</v>
      </c>
      <c r="L122" s="69" t="s">
        <v>1757</v>
      </c>
      <c r="M122" s="69" t="s">
        <v>1746</v>
      </c>
      <c r="N122" s="65"/>
      <c r="O122" s="65"/>
      <c r="P122" s="65"/>
      <c r="Q122" s="65"/>
    </row>
    <row r="123" spans="1:17" x14ac:dyDescent="0.25">
      <c r="A123" s="69" t="s">
        <v>1758</v>
      </c>
      <c r="B123" s="69" t="s">
        <v>1759</v>
      </c>
      <c r="C123" s="69" t="s">
        <v>1760</v>
      </c>
      <c r="D123" s="69" t="s">
        <v>1761</v>
      </c>
      <c r="E123" s="69" t="s">
        <v>1762</v>
      </c>
      <c r="F123" s="69" t="s">
        <v>1763</v>
      </c>
      <c r="G123" s="69" t="s">
        <v>1764</v>
      </c>
      <c r="H123" s="69" t="s">
        <v>1765</v>
      </c>
      <c r="I123" s="69" t="s">
        <v>1766</v>
      </c>
      <c r="J123" s="69" t="s">
        <v>1767</v>
      </c>
      <c r="K123" s="69" t="s">
        <v>1768</v>
      </c>
      <c r="L123" s="69" t="s">
        <v>1769</v>
      </c>
      <c r="M123" s="69" t="s">
        <v>1758</v>
      </c>
      <c r="N123" s="65"/>
      <c r="O123" s="65"/>
      <c r="P123" s="65"/>
      <c r="Q123" s="65"/>
    </row>
    <row r="124" spans="1:17" x14ac:dyDescent="0.25">
      <c r="A124" s="69" t="s">
        <v>1770</v>
      </c>
      <c r="B124" s="69" t="s">
        <v>1771</v>
      </c>
      <c r="C124" s="69" t="s">
        <v>1772</v>
      </c>
      <c r="D124" s="69" t="s">
        <v>1773</v>
      </c>
      <c r="E124" s="69" t="s">
        <v>1774</v>
      </c>
      <c r="F124" s="69" t="s">
        <v>1775</v>
      </c>
      <c r="G124" s="69" t="s">
        <v>1776</v>
      </c>
      <c r="H124" s="69" t="s">
        <v>1777</v>
      </c>
      <c r="I124" s="69" t="s">
        <v>1778</v>
      </c>
      <c r="J124" s="69" t="s">
        <v>1779</v>
      </c>
      <c r="K124" s="69" t="s">
        <v>1780</v>
      </c>
      <c r="L124" s="69" t="s">
        <v>1781</v>
      </c>
      <c r="M124" s="69" t="s">
        <v>1770</v>
      </c>
      <c r="N124" s="65"/>
      <c r="O124" s="65"/>
      <c r="P124" s="65"/>
      <c r="Q124" s="65"/>
    </row>
    <row r="125" spans="1:17" x14ac:dyDescent="0.25">
      <c r="A125" s="69" t="s">
        <v>1782</v>
      </c>
      <c r="B125" s="69" t="s">
        <v>1783</v>
      </c>
      <c r="C125" s="69" t="s">
        <v>1784</v>
      </c>
      <c r="D125" s="69" t="s">
        <v>1785</v>
      </c>
      <c r="E125" s="69" t="s">
        <v>1786</v>
      </c>
      <c r="F125" s="69" t="s">
        <v>1787</v>
      </c>
      <c r="G125" s="69" t="s">
        <v>1788</v>
      </c>
      <c r="H125" s="69" t="s">
        <v>1789</v>
      </c>
      <c r="I125" s="69" t="s">
        <v>1790</v>
      </c>
      <c r="J125" s="69" t="s">
        <v>1791</v>
      </c>
      <c r="K125" s="69" t="s">
        <v>1792</v>
      </c>
      <c r="L125" s="69" t="s">
        <v>1793</v>
      </c>
      <c r="M125" s="69" t="s">
        <v>1794</v>
      </c>
      <c r="N125" s="65"/>
      <c r="O125" s="65"/>
      <c r="P125" s="65"/>
      <c r="Q125" s="65"/>
    </row>
    <row r="126" spans="1:17" x14ac:dyDescent="0.25">
      <c r="A126" s="69" t="s">
        <v>1795</v>
      </c>
      <c r="B126" s="69" t="s">
        <v>1796</v>
      </c>
      <c r="C126" s="69" t="s">
        <v>1797</v>
      </c>
      <c r="D126" s="69" t="s">
        <v>1798</v>
      </c>
      <c r="E126" s="69" t="s">
        <v>1799</v>
      </c>
      <c r="F126" s="69" t="s">
        <v>1800</v>
      </c>
      <c r="G126" s="69" t="s">
        <v>1801</v>
      </c>
      <c r="H126" s="69" t="s">
        <v>1802</v>
      </c>
      <c r="I126" s="69" t="s">
        <v>1803</v>
      </c>
      <c r="J126" s="69" t="s">
        <v>1804</v>
      </c>
      <c r="K126" s="69" t="s">
        <v>1805</v>
      </c>
      <c r="L126" s="69" t="s">
        <v>1806</v>
      </c>
      <c r="M126" s="69" t="s">
        <v>1807</v>
      </c>
      <c r="N126" s="65"/>
      <c r="O126" s="65"/>
      <c r="P126" s="65"/>
      <c r="Q126" s="65"/>
    </row>
    <row r="127" spans="1:17" x14ac:dyDescent="0.25">
      <c r="A127" s="69" t="s">
        <v>1808</v>
      </c>
      <c r="B127" s="69" t="s">
        <v>1809</v>
      </c>
      <c r="C127" s="69" t="s">
        <v>1810</v>
      </c>
      <c r="D127" s="69" t="s">
        <v>1811</v>
      </c>
      <c r="E127" s="69" t="s">
        <v>1812</v>
      </c>
      <c r="F127" s="69" t="s">
        <v>1813</v>
      </c>
      <c r="G127" s="69" t="s">
        <v>1814</v>
      </c>
      <c r="H127" s="69" t="s">
        <v>1815</v>
      </c>
      <c r="I127" s="69" t="s">
        <v>1816</v>
      </c>
      <c r="J127" s="69" t="s">
        <v>1817</v>
      </c>
      <c r="K127" s="69" t="s">
        <v>1818</v>
      </c>
      <c r="L127" s="69" t="s">
        <v>1819</v>
      </c>
      <c r="M127" s="69" t="s">
        <v>1820</v>
      </c>
      <c r="N127" s="65"/>
      <c r="O127" s="65"/>
      <c r="P127" s="65"/>
      <c r="Q127" s="65"/>
    </row>
    <row r="128" spans="1:17" x14ac:dyDescent="0.25">
      <c r="A128" s="69" t="s">
        <v>1821</v>
      </c>
      <c r="B128" s="69" t="s">
        <v>1822</v>
      </c>
      <c r="C128" s="69" t="s">
        <v>1823</v>
      </c>
      <c r="D128" s="69" t="s">
        <v>1824</v>
      </c>
      <c r="E128" s="69" t="s">
        <v>1825</v>
      </c>
      <c r="F128" s="69" t="s">
        <v>1826</v>
      </c>
      <c r="G128" s="69" t="s">
        <v>1827</v>
      </c>
      <c r="H128" s="69" t="s">
        <v>1828</v>
      </c>
      <c r="I128" s="69" t="s">
        <v>1829</v>
      </c>
      <c r="J128" s="69" t="s">
        <v>1830</v>
      </c>
      <c r="K128" s="69" t="s">
        <v>1831</v>
      </c>
      <c r="L128" s="69" t="s">
        <v>1832</v>
      </c>
      <c r="M128" s="69" t="s">
        <v>1821</v>
      </c>
      <c r="N128" s="65"/>
      <c r="O128" s="65"/>
      <c r="P128" s="65"/>
      <c r="Q128" s="65"/>
    </row>
    <row r="129" spans="1:17" x14ac:dyDescent="0.25">
      <c r="A129" s="69" t="s">
        <v>1833</v>
      </c>
      <c r="B129" s="69" t="s">
        <v>1834</v>
      </c>
      <c r="C129" s="69" t="s">
        <v>1835</v>
      </c>
      <c r="D129" s="69" t="s">
        <v>1836</v>
      </c>
      <c r="E129" s="69" t="s">
        <v>1837</v>
      </c>
      <c r="F129" s="69" t="s">
        <v>1838</v>
      </c>
      <c r="G129" s="69" t="s">
        <v>1839</v>
      </c>
      <c r="H129" s="69" t="s">
        <v>1840</v>
      </c>
      <c r="I129" s="69" t="s">
        <v>1841</v>
      </c>
      <c r="J129" s="69" t="s">
        <v>1842</v>
      </c>
      <c r="K129" s="69" t="s">
        <v>1843</v>
      </c>
      <c r="L129" s="69" t="s">
        <v>1844</v>
      </c>
      <c r="M129" s="69" t="s">
        <v>1833</v>
      </c>
      <c r="N129" s="65"/>
      <c r="O129" s="65"/>
      <c r="P129" s="65"/>
      <c r="Q129" s="65"/>
    </row>
    <row r="130" spans="1:17" x14ac:dyDescent="0.25">
      <c r="A130" s="69" t="s">
        <v>1845</v>
      </c>
      <c r="B130" s="69" t="s">
        <v>1846</v>
      </c>
      <c r="C130" s="69" t="s">
        <v>1847</v>
      </c>
      <c r="D130" s="69" t="s">
        <v>1848</v>
      </c>
      <c r="E130" s="69" t="s">
        <v>1849</v>
      </c>
      <c r="F130" s="69" t="s">
        <v>1850</v>
      </c>
      <c r="G130" s="69" t="s">
        <v>1851</v>
      </c>
      <c r="H130" s="69" t="s">
        <v>1852</v>
      </c>
      <c r="I130" s="69" t="s">
        <v>1853</v>
      </c>
      <c r="J130" s="69" t="s">
        <v>1854</v>
      </c>
      <c r="K130" s="69" t="s">
        <v>1855</v>
      </c>
      <c r="L130" s="69" t="s">
        <v>1856</v>
      </c>
      <c r="M130" s="69" t="s">
        <v>1845</v>
      </c>
      <c r="N130" s="65"/>
      <c r="O130" s="65"/>
      <c r="P130" s="65"/>
      <c r="Q130" s="65"/>
    </row>
    <row r="131" spans="1:17" x14ac:dyDescent="0.25">
      <c r="A131" s="69" t="s">
        <v>1857</v>
      </c>
      <c r="B131" s="69" t="s">
        <v>1858</v>
      </c>
      <c r="C131" s="69" t="s">
        <v>1859</v>
      </c>
      <c r="D131" s="69" t="s">
        <v>1860</v>
      </c>
      <c r="E131" s="69" t="s">
        <v>1861</v>
      </c>
      <c r="F131" s="69" t="s">
        <v>1862</v>
      </c>
      <c r="G131" s="69" t="s">
        <v>1863</v>
      </c>
      <c r="H131" s="69" t="s">
        <v>1864</v>
      </c>
      <c r="I131" s="69" t="s">
        <v>1865</v>
      </c>
      <c r="J131" s="69" t="s">
        <v>1866</v>
      </c>
      <c r="K131" s="69" t="s">
        <v>1867</v>
      </c>
      <c r="L131" s="69" t="s">
        <v>1868</v>
      </c>
      <c r="M131" s="69" t="s">
        <v>1857</v>
      </c>
      <c r="N131" s="65"/>
      <c r="O131" s="65"/>
      <c r="P131" s="65"/>
      <c r="Q131" s="65"/>
    </row>
    <row r="132" spans="1:17" x14ac:dyDescent="0.25">
      <c r="A132" s="69" t="s">
        <v>1869</v>
      </c>
      <c r="B132" s="69" t="s">
        <v>1870</v>
      </c>
      <c r="C132" s="69" t="s">
        <v>1871</v>
      </c>
      <c r="D132" s="69" t="s">
        <v>1872</v>
      </c>
      <c r="E132" s="69" t="s">
        <v>1873</v>
      </c>
      <c r="F132" s="69" t="s">
        <v>1874</v>
      </c>
      <c r="G132" s="69" t="s">
        <v>1875</v>
      </c>
      <c r="H132" s="69" t="s">
        <v>1876</v>
      </c>
      <c r="I132" s="69" t="s">
        <v>1877</v>
      </c>
      <c r="J132" s="69" t="s">
        <v>1878</v>
      </c>
      <c r="K132" s="69" t="s">
        <v>1879</v>
      </c>
      <c r="L132" s="69" t="s">
        <v>1880</v>
      </c>
      <c r="M132" s="69" t="s">
        <v>1869</v>
      </c>
      <c r="N132" s="65"/>
      <c r="O132" s="65"/>
      <c r="P132" s="65"/>
      <c r="Q132" s="65"/>
    </row>
    <row r="133" spans="1:17" x14ac:dyDescent="0.25">
      <c r="A133" s="69" t="s">
        <v>1881</v>
      </c>
      <c r="B133" s="69" t="s">
        <v>1882</v>
      </c>
      <c r="C133" s="69" t="s">
        <v>1883</v>
      </c>
      <c r="D133" s="69" t="s">
        <v>1884</v>
      </c>
      <c r="E133" s="69" t="s">
        <v>1885</v>
      </c>
      <c r="F133" s="69" t="s">
        <v>1886</v>
      </c>
      <c r="G133" s="69" t="s">
        <v>1887</v>
      </c>
      <c r="H133" s="69" t="s">
        <v>1888</v>
      </c>
      <c r="I133" s="69" t="s">
        <v>1889</v>
      </c>
      <c r="J133" s="69" t="s">
        <v>1890</v>
      </c>
      <c r="K133" s="69" t="s">
        <v>1891</v>
      </c>
      <c r="L133" s="69" t="s">
        <v>1892</v>
      </c>
      <c r="M133" s="69" t="s">
        <v>1881</v>
      </c>
      <c r="N133" s="65"/>
      <c r="O133" s="65"/>
      <c r="P133" s="65"/>
      <c r="Q133" s="65"/>
    </row>
    <row r="134" spans="1:17" x14ac:dyDescent="0.25">
      <c r="A134" s="70" t="s">
        <v>1893</v>
      </c>
      <c r="B134" s="70" t="s">
        <v>1894</v>
      </c>
      <c r="C134" s="70" t="s">
        <v>1895</v>
      </c>
      <c r="D134" s="70" t="s">
        <v>1896</v>
      </c>
      <c r="E134" s="70" t="s">
        <v>1897</v>
      </c>
      <c r="F134" s="70" t="s">
        <v>1898</v>
      </c>
      <c r="G134" s="70" t="s">
        <v>1899</v>
      </c>
      <c r="H134" s="70" t="s">
        <v>1900</v>
      </c>
      <c r="I134" s="70" t="s">
        <v>1901</v>
      </c>
      <c r="J134" s="70" t="s">
        <v>1902</v>
      </c>
      <c r="K134" s="70" t="s">
        <v>1903</v>
      </c>
      <c r="L134" s="70" t="s">
        <v>1904</v>
      </c>
      <c r="M134" s="70" t="s">
        <v>1905</v>
      </c>
      <c r="N134" s="70" t="s">
        <v>1906</v>
      </c>
      <c r="O134" s="70" t="s">
        <v>1907</v>
      </c>
      <c r="P134" s="70" t="s">
        <v>1908</v>
      </c>
      <c r="Q134" s="70" t="s">
        <v>1893</v>
      </c>
    </row>
    <row r="135" spans="1:17" x14ac:dyDescent="0.25">
      <c r="A135" s="70" t="s">
        <v>1909</v>
      </c>
      <c r="B135" s="70" t="s">
        <v>1910</v>
      </c>
      <c r="C135" s="70" t="s">
        <v>1911</v>
      </c>
      <c r="D135" s="70" t="s">
        <v>1912</v>
      </c>
      <c r="E135" s="70" t="s">
        <v>1913</v>
      </c>
      <c r="F135" s="70" t="s">
        <v>1914</v>
      </c>
      <c r="G135" s="70" t="s">
        <v>1915</v>
      </c>
      <c r="H135" s="70" t="s">
        <v>1916</v>
      </c>
      <c r="I135" s="70" t="s">
        <v>1917</v>
      </c>
      <c r="J135" s="70" t="s">
        <v>1918</v>
      </c>
      <c r="K135" s="70" t="s">
        <v>1919</v>
      </c>
      <c r="L135" s="70" t="s">
        <v>1920</v>
      </c>
      <c r="M135" s="70" t="s">
        <v>1921</v>
      </c>
      <c r="N135" s="70" t="s">
        <v>1922</v>
      </c>
      <c r="O135" s="70" t="s">
        <v>1923</v>
      </c>
      <c r="P135" s="70" t="s">
        <v>1924</v>
      </c>
      <c r="Q135" s="70" t="s">
        <v>1909</v>
      </c>
    </row>
    <row r="136" spans="1:17" x14ac:dyDescent="0.25">
      <c r="A136" s="70" t="s">
        <v>1925</v>
      </c>
      <c r="B136" s="70" t="s">
        <v>1926</v>
      </c>
      <c r="C136" s="70" t="s">
        <v>1927</v>
      </c>
      <c r="D136" s="70" t="s">
        <v>1928</v>
      </c>
      <c r="E136" s="70" t="s">
        <v>1929</v>
      </c>
      <c r="F136" s="70" t="s">
        <v>1930</v>
      </c>
      <c r="G136" s="70" t="s">
        <v>1931</v>
      </c>
      <c r="H136" s="70" t="s">
        <v>1932</v>
      </c>
      <c r="I136" s="70" t="s">
        <v>1933</v>
      </c>
      <c r="J136" s="70" t="s">
        <v>1934</v>
      </c>
      <c r="K136" s="70" t="s">
        <v>1935</v>
      </c>
      <c r="L136" s="70" t="s">
        <v>1936</v>
      </c>
      <c r="M136" s="70" t="s">
        <v>1937</v>
      </c>
      <c r="N136" s="70" t="s">
        <v>1938</v>
      </c>
      <c r="O136" s="70" t="s">
        <v>1939</v>
      </c>
      <c r="P136" s="70" t="s">
        <v>1940</v>
      </c>
      <c r="Q136" s="70" t="s">
        <v>1925</v>
      </c>
    </row>
    <row r="137" spans="1:17" x14ac:dyDescent="0.25">
      <c r="A137" s="67" t="s">
        <v>1941</v>
      </c>
      <c r="B137" s="67" t="s">
        <v>1942</v>
      </c>
      <c r="C137" s="67" t="s">
        <v>1943</v>
      </c>
      <c r="D137" s="67" t="s">
        <v>1944</v>
      </c>
      <c r="E137" s="67" t="s">
        <v>1945</v>
      </c>
      <c r="F137" s="67" t="s">
        <v>1946</v>
      </c>
      <c r="G137" s="67" t="s">
        <v>1947</v>
      </c>
      <c r="H137" s="67" t="s">
        <v>1948</v>
      </c>
      <c r="I137" s="67" t="s">
        <v>1949</v>
      </c>
      <c r="J137" s="67" t="s">
        <v>1950</v>
      </c>
      <c r="K137" s="67" t="s">
        <v>1951</v>
      </c>
      <c r="L137" s="67" t="s">
        <v>1952</v>
      </c>
      <c r="M137" s="67" t="s">
        <v>1953</v>
      </c>
      <c r="N137" s="67" t="s">
        <v>1954</v>
      </c>
      <c r="O137" s="67" t="s">
        <v>1955</v>
      </c>
      <c r="P137" s="67" t="s">
        <v>1956</v>
      </c>
      <c r="Q137" s="67" t="s">
        <v>1941</v>
      </c>
    </row>
    <row r="138" spans="1:17" x14ac:dyDescent="0.25">
      <c r="A138" s="67" t="s">
        <v>1957</v>
      </c>
      <c r="B138" s="67" t="s">
        <v>1958</v>
      </c>
      <c r="C138" s="67" t="s">
        <v>1959</v>
      </c>
      <c r="D138" s="67" t="s">
        <v>1960</v>
      </c>
      <c r="E138" s="67" t="s">
        <v>1961</v>
      </c>
      <c r="F138" s="67" t="s">
        <v>1962</v>
      </c>
      <c r="G138" s="67" t="s">
        <v>1963</v>
      </c>
      <c r="H138" s="67" t="s">
        <v>1964</v>
      </c>
      <c r="I138" s="67" t="s">
        <v>1965</v>
      </c>
      <c r="J138" s="67" t="s">
        <v>1966</v>
      </c>
      <c r="K138" s="67" t="s">
        <v>1967</v>
      </c>
      <c r="L138" s="67" t="s">
        <v>1968</v>
      </c>
      <c r="M138" s="67" t="s">
        <v>1969</v>
      </c>
      <c r="N138" s="67" t="s">
        <v>1970</v>
      </c>
      <c r="O138" s="67" t="s">
        <v>1971</v>
      </c>
      <c r="P138" s="67" t="s">
        <v>1972</v>
      </c>
      <c r="Q138" s="67" t="s">
        <v>1957</v>
      </c>
    </row>
    <row r="139" spans="1:17" x14ac:dyDescent="0.25">
      <c r="A139" s="67" t="s">
        <v>1973</v>
      </c>
      <c r="B139" s="67" t="s">
        <v>1974</v>
      </c>
      <c r="C139" s="67" t="s">
        <v>1975</v>
      </c>
      <c r="D139" s="67" t="s">
        <v>1976</v>
      </c>
      <c r="E139" s="67" t="s">
        <v>1977</v>
      </c>
      <c r="F139" s="67" t="s">
        <v>1978</v>
      </c>
      <c r="G139" s="67" t="s">
        <v>1979</v>
      </c>
      <c r="H139" s="67" t="s">
        <v>1980</v>
      </c>
      <c r="I139" s="67" t="s">
        <v>1981</v>
      </c>
      <c r="J139" s="67" t="s">
        <v>1982</v>
      </c>
      <c r="K139" s="67" t="s">
        <v>1983</v>
      </c>
      <c r="L139" s="67" t="s">
        <v>1984</v>
      </c>
      <c r="M139" s="67" t="s">
        <v>1985</v>
      </c>
      <c r="N139" s="67" t="s">
        <v>1986</v>
      </c>
      <c r="O139" s="67" t="s">
        <v>1987</v>
      </c>
      <c r="P139" s="67" t="s">
        <v>1988</v>
      </c>
      <c r="Q139" s="67" t="s">
        <v>1973</v>
      </c>
    </row>
    <row r="142" spans="1:17" x14ac:dyDescent="0.25">
      <c r="A142" s="53" t="s">
        <v>1989</v>
      </c>
      <c r="B142" s="53" t="s">
        <v>1990</v>
      </c>
      <c r="C142" s="53" t="s">
        <v>1991</v>
      </c>
      <c r="D142" s="53" t="s">
        <v>1992</v>
      </c>
      <c r="E142" s="53" t="s">
        <v>1993</v>
      </c>
      <c r="F142" s="53" t="s">
        <v>1994</v>
      </c>
      <c r="G142" s="53" t="s">
        <v>1995</v>
      </c>
      <c r="H142" s="53" t="s">
        <v>1996</v>
      </c>
      <c r="I142" s="53" t="s">
        <v>1997</v>
      </c>
      <c r="J142" s="53" t="s">
        <v>1998</v>
      </c>
      <c r="K142" s="54"/>
      <c r="L142" s="54"/>
      <c r="M142" s="54"/>
      <c r="N142" s="54"/>
      <c r="O142" s="54"/>
    </row>
    <row r="143" spans="1:17" x14ac:dyDescent="0.25">
      <c r="A143" s="55">
        <v>21</v>
      </c>
      <c r="B143" s="55">
        <v>8</v>
      </c>
      <c r="C143" s="56" t="s">
        <v>1999</v>
      </c>
      <c r="D143" s="56" t="s">
        <v>1999</v>
      </c>
      <c r="E143" s="57" t="s">
        <v>2000</v>
      </c>
      <c r="F143" s="56" t="s">
        <v>1999</v>
      </c>
      <c r="G143" s="56" t="s">
        <v>1999</v>
      </c>
      <c r="H143" s="58"/>
      <c r="I143" s="58"/>
      <c r="J143" s="58"/>
      <c r="K143" s="59"/>
      <c r="L143" s="56" t="s">
        <v>1999</v>
      </c>
      <c r="M143" s="57" t="s">
        <v>2000</v>
      </c>
      <c r="N143" s="60" t="s">
        <v>2001</v>
      </c>
    </row>
    <row r="144" spans="1:17" x14ac:dyDescent="0.25">
      <c r="A144" s="58">
        <v>23</v>
      </c>
      <c r="B144" s="58">
        <v>8</v>
      </c>
      <c r="C144" s="56" t="s">
        <v>1999</v>
      </c>
      <c r="D144" s="56" t="s">
        <v>1999</v>
      </c>
      <c r="E144" s="57" t="s">
        <v>2000</v>
      </c>
      <c r="F144" s="56" t="s">
        <v>1999</v>
      </c>
      <c r="G144" s="56" t="s">
        <v>1999</v>
      </c>
      <c r="H144" s="56" t="s">
        <v>1999</v>
      </c>
      <c r="I144" s="56" t="s">
        <v>1999</v>
      </c>
      <c r="J144" s="58"/>
      <c r="K144" s="59"/>
      <c r="L144" s="59"/>
    </row>
    <row r="145" spans="1:12" x14ac:dyDescent="0.25">
      <c r="A145" s="58">
        <v>25</v>
      </c>
      <c r="B145" s="58">
        <v>9</v>
      </c>
      <c r="C145" s="56" t="s">
        <v>1999</v>
      </c>
      <c r="D145" s="61" t="s">
        <v>2000</v>
      </c>
      <c r="E145" s="62" t="s">
        <v>2001</v>
      </c>
      <c r="F145" s="56" t="s">
        <v>1999</v>
      </c>
      <c r="G145" s="56" t="s">
        <v>1999</v>
      </c>
      <c r="H145" s="61" t="s">
        <v>2000</v>
      </c>
      <c r="I145" s="56" t="s">
        <v>1999</v>
      </c>
      <c r="J145" s="56" t="s">
        <v>1999</v>
      </c>
      <c r="K145" s="59"/>
      <c r="L145" s="59">
        <v>288</v>
      </c>
    </row>
    <row r="146" spans="1:12" x14ac:dyDescent="0.25">
      <c r="A146" s="58">
        <v>28</v>
      </c>
      <c r="B146" s="58">
        <v>9</v>
      </c>
      <c r="C146" s="63"/>
      <c r="D146" s="56" t="s">
        <v>1999</v>
      </c>
      <c r="E146" s="62" t="s">
        <v>2001</v>
      </c>
      <c r="F146" s="56" t="s">
        <v>1999</v>
      </c>
      <c r="G146" s="56" t="s">
        <v>1999</v>
      </c>
      <c r="H146" s="56" t="s">
        <v>1999</v>
      </c>
      <c r="I146" s="56" t="s">
        <v>1999</v>
      </c>
      <c r="J146" s="58"/>
      <c r="K146" s="59"/>
      <c r="L146" s="59">
        <v>378</v>
      </c>
    </row>
    <row r="147" spans="1:12" x14ac:dyDescent="0.25">
      <c r="A147" s="58">
        <v>30</v>
      </c>
      <c r="B147" s="63">
        <v>12</v>
      </c>
      <c r="C147" s="58"/>
      <c r="D147" s="58"/>
      <c r="E147" s="64" t="s">
        <v>2000</v>
      </c>
      <c r="F147" s="56" t="s">
        <v>1999</v>
      </c>
      <c r="G147" s="56" t="s">
        <v>1999</v>
      </c>
      <c r="H147" s="56" t="s">
        <v>1999</v>
      </c>
      <c r="I147" s="56" t="s">
        <v>1999</v>
      </c>
      <c r="J147" s="58"/>
      <c r="K147" s="59"/>
      <c r="L147" s="59">
        <v>648</v>
      </c>
    </row>
    <row r="148" spans="1:12" x14ac:dyDescent="0.25">
      <c r="A148" s="58">
        <v>32</v>
      </c>
      <c r="B148" s="58">
        <v>12</v>
      </c>
      <c r="C148" s="58"/>
      <c r="D148" s="58"/>
      <c r="E148" s="56" t="s">
        <v>1999</v>
      </c>
      <c r="F148" s="56" t="s">
        <v>1999</v>
      </c>
      <c r="G148" s="56" t="s">
        <v>1999</v>
      </c>
      <c r="H148" s="56" t="s">
        <v>1999</v>
      </c>
      <c r="I148" s="56" t="s">
        <v>1999</v>
      </c>
      <c r="J148" s="61" t="s">
        <v>2000</v>
      </c>
      <c r="K148" s="59"/>
      <c r="L148" s="59">
        <v>96</v>
      </c>
    </row>
    <row r="149" spans="1:12" x14ac:dyDescent="0.25">
      <c r="A149" s="58">
        <v>34</v>
      </c>
      <c r="B149" s="58">
        <v>12</v>
      </c>
      <c r="C149" s="58"/>
      <c r="D149" s="56" t="s">
        <v>1999</v>
      </c>
      <c r="E149" s="56" t="s">
        <v>1999</v>
      </c>
      <c r="F149" s="58"/>
      <c r="G149" s="58"/>
      <c r="H149" s="58"/>
      <c r="I149" s="58"/>
      <c r="J149" s="58"/>
      <c r="K149" s="59"/>
      <c r="L149" s="59">
        <f>SUM(L145:L148)</f>
        <v>1410</v>
      </c>
    </row>
    <row r="150" spans="1:12" x14ac:dyDescent="0.25">
      <c r="A150" s="58">
        <v>38</v>
      </c>
      <c r="B150" s="58">
        <v>16</v>
      </c>
      <c r="C150" s="58"/>
      <c r="D150" s="58"/>
      <c r="E150" s="56" t="s">
        <v>1999</v>
      </c>
      <c r="F150" s="58"/>
      <c r="G150" s="58"/>
      <c r="H150" s="58"/>
      <c r="I150" s="58"/>
      <c r="J150" s="58"/>
      <c r="K150" s="59"/>
      <c r="L150" s="59"/>
    </row>
    <row r="151" spans="1:12" x14ac:dyDescent="0.25">
      <c r="A151" s="58">
        <v>40</v>
      </c>
      <c r="B151" s="58">
        <v>16</v>
      </c>
      <c r="C151" s="58"/>
      <c r="D151" s="58"/>
      <c r="E151" s="58"/>
      <c r="F151" s="56" t="s">
        <v>1999</v>
      </c>
      <c r="G151" s="58"/>
      <c r="H151" s="58"/>
      <c r="I151" s="58"/>
      <c r="J151" s="58"/>
      <c r="K151" s="59"/>
      <c r="L151" s="59"/>
    </row>
    <row r="154" spans="1:12" x14ac:dyDescent="0.25">
      <c r="B154" s="58" t="s">
        <v>2002</v>
      </c>
      <c r="C154" s="65"/>
      <c r="D154" s="65"/>
      <c r="E154" s="65"/>
      <c r="F154" s="65"/>
      <c r="G154" s="65"/>
      <c r="H154" s="65"/>
      <c r="I154" s="65"/>
      <c r="J154" s="65"/>
      <c r="K154" s="65"/>
      <c r="L154" s="65"/>
    </row>
    <row r="155" spans="1:12" x14ac:dyDescent="0.25">
      <c r="B155" s="58">
        <v>50</v>
      </c>
      <c r="C155" s="58"/>
      <c r="D155" s="58"/>
      <c r="E155" s="58"/>
      <c r="F155" s="58"/>
      <c r="G155" s="58"/>
      <c r="H155" s="58"/>
      <c r="I155" s="58"/>
      <c r="J155" s="65"/>
      <c r="K155" s="65"/>
      <c r="L155" s="65"/>
    </row>
    <row r="156" spans="1:12" x14ac:dyDescent="0.25">
      <c r="B156" s="58">
        <v>75</v>
      </c>
      <c r="C156" s="58"/>
      <c r="D156" s="58"/>
      <c r="E156" s="58"/>
      <c r="F156" s="58"/>
      <c r="G156" s="58"/>
      <c r="H156" s="58"/>
      <c r="I156" s="58"/>
      <c r="J156" s="65"/>
      <c r="K156" s="65"/>
      <c r="L156" s="65"/>
    </row>
    <row r="157" spans="1:12" x14ac:dyDescent="0.25">
      <c r="B157" s="58">
        <v>100</v>
      </c>
      <c r="C157" s="58"/>
      <c r="D157" s="58"/>
      <c r="E157" s="58"/>
      <c r="F157" s="58"/>
      <c r="G157" s="58"/>
      <c r="H157" s="58"/>
      <c r="I157" s="58"/>
      <c r="J157" s="65"/>
      <c r="K157" s="65"/>
      <c r="L157" s="65"/>
    </row>
    <row r="158" spans="1:12" x14ac:dyDescent="0.25">
      <c r="B158" s="58">
        <v>125</v>
      </c>
      <c r="C158" s="58"/>
      <c r="D158" s="58"/>
      <c r="E158" s="58"/>
      <c r="F158" s="58"/>
      <c r="G158" s="58"/>
      <c r="H158" s="58"/>
      <c r="I158" s="58"/>
      <c r="J158" s="65"/>
      <c r="K158" s="65"/>
      <c r="L158" s="65"/>
    </row>
    <row r="159" spans="1:12" x14ac:dyDescent="0.25">
      <c r="B159" s="58">
        <v>150</v>
      </c>
      <c r="C159" s="58"/>
      <c r="D159" s="58"/>
      <c r="E159" s="58"/>
      <c r="F159" s="58"/>
      <c r="G159" s="58"/>
      <c r="H159" s="58"/>
      <c r="I159" s="58"/>
      <c r="J159" s="65"/>
      <c r="K159" s="65"/>
      <c r="L159" s="65"/>
    </row>
    <row r="160" spans="1:12" x14ac:dyDescent="0.25">
      <c r="B160" s="58">
        <v>200</v>
      </c>
      <c r="C160" s="58"/>
      <c r="D160" s="58"/>
      <c r="E160" s="58"/>
      <c r="F160" s="58"/>
      <c r="G160" s="58"/>
      <c r="H160" s="58"/>
      <c r="I160" s="58"/>
      <c r="J160" s="65"/>
      <c r="K160" s="65"/>
      <c r="L160" s="65"/>
    </row>
    <row r="161" spans="1:13" x14ac:dyDescent="0.25">
      <c r="B161" s="58">
        <v>250</v>
      </c>
      <c r="C161" s="58"/>
      <c r="D161" s="58"/>
      <c r="E161" s="58"/>
      <c r="F161" s="58"/>
      <c r="G161" s="58"/>
      <c r="H161" s="58"/>
      <c r="I161" s="58"/>
      <c r="J161" s="65"/>
      <c r="K161" s="65"/>
      <c r="L161" s="65"/>
    </row>
    <row r="162" spans="1:13" x14ac:dyDescent="0.25">
      <c r="B162" s="58">
        <v>300</v>
      </c>
      <c r="C162" s="58"/>
      <c r="D162" s="58"/>
      <c r="E162" s="58"/>
      <c r="F162" s="58"/>
      <c r="G162" s="58"/>
      <c r="H162" s="58"/>
      <c r="I162" s="58"/>
      <c r="J162" s="65"/>
      <c r="K162" s="65"/>
      <c r="L162" s="65"/>
    </row>
    <row r="163" spans="1:13" x14ac:dyDescent="0.25">
      <c r="B163" s="58">
        <v>350</v>
      </c>
      <c r="C163" s="58"/>
      <c r="D163" s="58"/>
      <c r="E163" s="58"/>
      <c r="F163" s="58"/>
      <c r="G163" s="58"/>
      <c r="H163" s="58"/>
      <c r="I163" s="58"/>
      <c r="J163" s="65"/>
      <c r="K163" s="65"/>
      <c r="L163" s="65"/>
    </row>
    <row r="164" spans="1:13" x14ac:dyDescent="0.25">
      <c r="B164" s="58">
        <v>400</v>
      </c>
      <c r="C164" s="58"/>
      <c r="D164" s="58"/>
      <c r="E164" s="58"/>
      <c r="F164" s="58"/>
      <c r="G164" s="58"/>
      <c r="H164" s="58"/>
      <c r="I164" s="58"/>
      <c r="J164" s="65"/>
      <c r="K164" s="65"/>
      <c r="L164" s="65"/>
    </row>
    <row r="165" spans="1:13" x14ac:dyDescent="0.25">
      <c r="B165" s="58">
        <v>500</v>
      </c>
      <c r="C165" s="58"/>
      <c r="D165" s="58"/>
      <c r="E165" s="58"/>
      <c r="F165" s="58"/>
      <c r="G165" s="58"/>
      <c r="H165" s="58"/>
      <c r="I165" s="58"/>
      <c r="J165" s="65"/>
      <c r="K165" s="65"/>
      <c r="L165" s="65"/>
    </row>
    <row r="166" spans="1:13" x14ac:dyDescent="0.25">
      <c r="B166" s="58">
        <v>600</v>
      </c>
      <c r="C166" s="58"/>
      <c r="D166" s="58"/>
      <c r="E166" s="58"/>
      <c r="F166" s="58"/>
      <c r="G166" s="58"/>
      <c r="H166" s="58"/>
      <c r="I166" s="58"/>
      <c r="J166" s="65"/>
      <c r="K166" s="65"/>
      <c r="L166" s="65"/>
    </row>
    <row r="167" spans="1:13" x14ac:dyDescent="0.25">
      <c r="B167" s="58">
        <v>750</v>
      </c>
      <c r="C167" s="58"/>
      <c r="D167" s="58"/>
      <c r="E167" s="58"/>
      <c r="F167" s="58"/>
      <c r="G167" s="58"/>
      <c r="H167" s="58"/>
      <c r="I167" s="58"/>
      <c r="J167" s="65"/>
      <c r="K167" s="65"/>
      <c r="L167" s="65"/>
    </row>
    <row r="169" spans="1:13" s="87" customFormat="1" ht="12.75" x14ac:dyDescent="0.25">
      <c r="A169" s="91"/>
      <c r="B169" s="89" t="s">
        <v>2148</v>
      </c>
      <c r="C169" s="92" t="s">
        <v>2149</v>
      </c>
      <c r="D169" s="89" t="s">
        <v>2150</v>
      </c>
      <c r="E169" s="89" t="s">
        <v>2151</v>
      </c>
      <c r="F169" s="88" t="s">
        <v>2152</v>
      </c>
      <c r="G169" s="89" t="s">
        <v>2153</v>
      </c>
      <c r="H169" s="89" t="s">
        <v>2154</v>
      </c>
      <c r="I169" s="89" t="s">
        <v>2156</v>
      </c>
      <c r="J169" s="89" t="s">
        <v>2157</v>
      </c>
      <c r="K169" s="89" t="s">
        <v>2155</v>
      </c>
      <c r="L169" s="89" t="s">
        <v>2158</v>
      </c>
      <c r="M169" s="89" t="s">
        <v>2159</v>
      </c>
    </row>
    <row r="170" spans="1:13" ht="12.75" x14ac:dyDescent="0.25">
      <c r="A170" s="91"/>
      <c r="B170" s="86" t="s">
        <v>2145</v>
      </c>
      <c r="C170" s="90">
        <v>62</v>
      </c>
      <c r="D170" s="90">
        <v>62</v>
      </c>
      <c r="E170" s="90">
        <v>62</v>
      </c>
      <c r="F170" s="90">
        <v>62</v>
      </c>
      <c r="G170" s="90">
        <v>62</v>
      </c>
      <c r="H170" s="90">
        <v>62</v>
      </c>
      <c r="I170" s="90">
        <v>62</v>
      </c>
      <c r="J170" s="90">
        <v>62</v>
      </c>
      <c r="K170" s="90">
        <v>62</v>
      </c>
      <c r="L170" s="90">
        <v>62</v>
      </c>
      <c r="M170" s="90">
        <v>62</v>
      </c>
    </row>
    <row r="171" spans="1:13" ht="12.75" x14ac:dyDescent="0.25">
      <c r="A171" s="91"/>
      <c r="B171" s="86" t="s">
        <v>2146</v>
      </c>
      <c r="C171" s="90">
        <v>14</v>
      </c>
      <c r="D171" s="90">
        <v>14</v>
      </c>
      <c r="E171" s="90">
        <v>14</v>
      </c>
      <c r="F171" s="90">
        <v>14</v>
      </c>
      <c r="G171" s="90">
        <v>14</v>
      </c>
      <c r="H171" s="90">
        <v>14</v>
      </c>
      <c r="I171" s="90">
        <v>14</v>
      </c>
      <c r="J171" s="90">
        <v>14</v>
      </c>
      <c r="K171" s="90">
        <v>14</v>
      </c>
      <c r="L171" s="90">
        <v>14</v>
      </c>
      <c r="M171" s="90">
        <v>14</v>
      </c>
    </row>
    <row r="172" spans="1:13" ht="12.75" x14ac:dyDescent="0.25">
      <c r="A172" s="91"/>
      <c r="B172" s="86" t="s">
        <v>2147</v>
      </c>
      <c r="C172" s="90">
        <v>3.3250000000000002</v>
      </c>
      <c r="D172" s="87">
        <v>3.9</v>
      </c>
      <c r="E172" s="87">
        <v>3.968</v>
      </c>
      <c r="F172" s="87">
        <v>4.74</v>
      </c>
      <c r="G172" s="87">
        <v>5.26</v>
      </c>
      <c r="H172" s="87">
        <v>5.7839999999999998</v>
      </c>
      <c r="I172" s="87">
        <v>4.3259999999999996</v>
      </c>
      <c r="J172" s="87">
        <v>4.5380000000000003</v>
      </c>
      <c r="K172" s="87">
        <v>5.1779999999999999</v>
      </c>
      <c r="L172" s="87">
        <v>6.04</v>
      </c>
      <c r="M172" s="87">
        <v>6.4720000000000004</v>
      </c>
    </row>
    <row r="173" spans="1:13" ht="12.75" x14ac:dyDescent="0.25">
      <c r="A173" s="91"/>
      <c r="B173" s="86"/>
    </row>
    <row r="174" spans="1:13" ht="12.75" x14ac:dyDescent="0.25">
      <c r="A174" s="91"/>
      <c r="B174" s="86"/>
      <c r="C174" s="87"/>
    </row>
    <row r="175" spans="1:13" ht="12.75" x14ac:dyDescent="0.25">
      <c r="A175" s="91"/>
      <c r="B175" s="86" t="s">
        <v>2142</v>
      </c>
      <c r="C175" s="90">
        <v>62</v>
      </c>
      <c r="D175" s="90">
        <v>62</v>
      </c>
      <c r="E175" s="90">
        <v>62</v>
      </c>
      <c r="F175" s="90">
        <v>62</v>
      </c>
      <c r="G175" s="90">
        <v>62</v>
      </c>
      <c r="H175" s="90">
        <v>62</v>
      </c>
      <c r="I175" s="90">
        <v>62</v>
      </c>
      <c r="J175" s="90">
        <v>62</v>
      </c>
      <c r="K175" s="90">
        <v>62</v>
      </c>
      <c r="L175" s="90">
        <v>62</v>
      </c>
      <c r="M175" s="90">
        <v>62</v>
      </c>
    </row>
    <row r="176" spans="1:13" ht="12.75" x14ac:dyDescent="0.25">
      <c r="A176" s="91"/>
      <c r="B176" s="86" t="s">
        <v>2143</v>
      </c>
      <c r="C176" s="90">
        <v>14</v>
      </c>
      <c r="D176" s="90">
        <v>14</v>
      </c>
      <c r="E176" s="90">
        <v>14</v>
      </c>
      <c r="F176" s="90">
        <v>14</v>
      </c>
      <c r="G176" s="90">
        <v>14</v>
      </c>
      <c r="H176" s="90">
        <v>14</v>
      </c>
      <c r="I176" s="90">
        <v>14</v>
      </c>
      <c r="J176" s="90">
        <v>14</v>
      </c>
      <c r="K176" s="90">
        <v>14</v>
      </c>
      <c r="L176" s="90">
        <v>14</v>
      </c>
      <c r="M176" s="90">
        <v>14</v>
      </c>
    </row>
    <row r="177" spans="1:13" ht="12.75" x14ac:dyDescent="0.25">
      <c r="A177" s="91"/>
      <c r="B177" s="86" t="s">
        <v>2144</v>
      </c>
      <c r="C177" s="90">
        <f>C172</f>
        <v>3.3250000000000002</v>
      </c>
      <c r="D177" s="90">
        <f t="shared" ref="D177:M177" si="0">D172</f>
        <v>3.9</v>
      </c>
      <c r="E177" s="90">
        <f t="shared" si="0"/>
        <v>3.968</v>
      </c>
      <c r="F177" s="90">
        <f t="shared" si="0"/>
        <v>4.74</v>
      </c>
      <c r="G177" s="90">
        <f t="shared" si="0"/>
        <v>5.26</v>
      </c>
      <c r="H177" s="90">
        <f t="shared" si="0"/>
        <v>5.7839999999999998</v>
      </c>
      <c r="I177" s="90">
        <f t="shared" si="0"/>
        <v>4.3259999999999996</v>
      </c>
      <c r="J177" s="90">
        <f t="shared" si="0"/>
        <v>4.5380000000000003</v>
      </c>
      <c r="K177" s="90">
        <f t="shared" si="0"/>
        <v>5.1779999999999999</v>
      </c>
      <c r="L177" s="90">
        <f t="shared" si="0"/>
        <v>6.04</v>
      </c>
      <c r="M177" s="90">
        <f t="shared" si="0"/>
        <v>6.4720000000000004</v>
      </c>
    </row>
    <row r="178" spans="1:13" ht="12.75" x14ac:dyDescent="0.25">
      <c r="A178" s="91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</row>
    <row r="179" spans="1:13" x14ac:dyDescent="0.25">
      <c r="B179" s="86" t="s">
        <v>2172</v>
      </c>
      <c r="C179" s="86">
        <f>C177-0.093</f>
        <v>3.2320000000000002</v>
      </c>
      <c r="D179" s="86">
        <f>D177-0.093</f>
        <v>3.8069999999999999</v>
      </c>
      <c r="E179" s="86">
        <f>E177-0.093</f>
        <v>3.875</v>
      </c>
      <c r="F179" s="86">
        <f t="shared" ref="F179:M179" si="1">F177-0.093</f>
        <v>4.6470000000000002</v>
      </c>
      <c r="G179" s="86">
        <f t="shared" si="1"/>
        <v>5.1669999999999998</v>
      </c>
      <c r="H179" s="86">
        <f t="shared" si="1"/>
        <v>5.6909999999999998</v>
      </c>
      <c r="I179" s="86">
        <f t="shared" si="1"/>
        <v>4.2329999999999997</v>
      </c>
      <c r="J179" s="86">
        <f t="shared" si="1"/>
        <v>4.4450000000000003</v>
      </c>
      <c r="K179" s="86">
        <f t="shared" si="1"/>
        <v>5.085</v>
      </c>
      <c r="L179" s="86">
        <f t="shared" si="1"/>
        <v>5.9470000000000001</v>
      </c>
      <c r="M179" s="86">
        <f t="shared" si="1"/>
        <v>6.3790000000000004</v>
      </c>
    </row>
    <row r="184" spans="1:13" x14ac:dyDescent="0.25">
      <c r="A184" s="86" t="s">
        <v>2171</v>
      </c>
      <c r="B184" s="86"/>
      <c r="C184" s="86">
        <v>-12.25</v>
      </c>
      <c r="D184" s="86">
        <v>-11.9222</v>
      </c>
      <c r="E184" s="86">
        <v>-11.585100000000001</v>
      </c>
      <c r="F184" s="86">
        <v>-11.305300000000001</v>
      </c>
      <c r="G184" s="86">
        <v>-11.0768</v>
      </c>
      <c r="H184" s="86">
        <v>-10.881399999999999</v>
      </c>
      <c r="I184" s="86">
        <v>-10.709</v>
      </c>
      <c r="J184" s="86">
        <v>-10.881399999999999</v>
      </c>
      <c r="K184" s="86">
        <v>-10.709</v>
      </c>
      <c r="L184" s="86">
        <v>-10.418100000000001</v>
      </c>
      <c r="M184" s="86">
        <v>-10.295199999999999</v>
      </c>
    </row>
    <row r="185" spans="1:13" x14ac:dyDescent="0.25">
      <c r="A185" s="86" t="s">
        <v>291</v>
      </c>
      <c r="B185" s="86">
        <v>0.5</v>
      </c>
      <c r="C185" s="86">
        <f>B185</f>
        <v>0.5</v>
      </c>
      <c r="D185" s="86">
        <f>B185</f>
        <v>0.5</v>
      </c>
      <c r="E185" s="86">
        <f>B185</f>
        <v>0.5</v>
      </c>
      <c r="F185" s="86">
        <f>B185</f>
        <v>0.5</v>
      </c>
      <c r="G185" s="86">
        <f>B185</f>
        <v>0.5</v>
      </c>
      <c r="H185" s="86">
        <f>B185</f>
        <v>0.5</v>
      </c>
      <c r="I185" s="86">
        <f>B185</f>
        <v>0.5</v>
      </c>
      <c r="J185" s="86">
        <f>B185</f>
        <v>0.5</v>
      </c>
      <c r="K185" s="86">
        <f>B185</f>
        <v>0.5</v>
      </c>
      <c r="L185" s="86">
        <f>B185</f>
        <v>0.5</v>
      </c>
      <c r="M185" s="86">
        <f>B185</f>
        <v>0.5</v>
      </c>
    </row>
    <row r="186" spans="1:13" x14ac:dyDescent="0.25">
      <c r="A186" s="99" t="s">
        <v>2170</v>
      </c>
      <c r="B186" s="86"/>
      <c r="C186" s="86">
        <f t="shared" ref="C186:L186" si="2">C184-C185</f>
        <v>-12.75</v>
      </c>
      <c r="D186" s="86">
        <f t="shared" si="2"/>
        <v>-12.4222</v>
      </c>
      <c r="E186" s="86">
        <f>E184-E185</f>
        <v>-12.085100000000001</v>
      </c>
      <c r="F186" s="86">
        <f t="shared" si="2"/>
        <v>-11.805300000000001</v>
      </c>
      <c r="G186" s="86">
        <f t="shared" si="2"/>
        <v>-11.5768</v>
      </c>
      <c r="H186" s="86">
        <f t="shared" si="2"/>
        <v>-11.381399999999999</v>
      </c>
      <c r="I186" s="86">
        <f t="shared" si="2"/>
        <v>-11.209</v>
      </c>
      <c r="J186" s="86">
        <f t="shared" si="2"/>
        <v>-11.381399999999999</v>
      </c>
      <c r="K186" s="86">
        <f t="shared" si="2"/>
        <v>-11.209</v>
      </c>
      <c r="L186" s="86">
        <f t="shared" si="2"/>
        <v>-10.918100000000001</v>
      </c>
      <c r="M186" s="86">
        <f>M184-M185</f>
        <v>-10.795199999999999</v>
      </c>
    </row>
    <row r="187" spans="1:13" ht="12.75" x14ac:dyDescent="0.25">
      <c r="A187" s="91"/>
    </row>
    <row r="188" spans="1:13" ht="12.75" x14ac:dyDescent="0.25">
      <c r="A188" s="91"/>
    </row>
    <row r="189" spans="1:13" ht="12.75" x14ac:dyDescent="0.25">
      <c r="A189" s="91"/>
      <c r="D189" s="52">
        <v>108</v>
      </c>
    </row>
    <row r="190" spans="1:13" ht="12.75" x14ac:dyDescent="0.25">
      <c r="A190" s="91"/>
      <c r="D190" s="52">
        <v>12</v>
      </c>
      <c r="E190" s="52">
        <v>3.968</v>
      </c>
    </row>
    <row r="191" spans="1:13" ht="12.75" x14ac:dyDescent="0.25">
      <c r="A191" s="91"/>
      <c r="E191" s="52">
        <v>3.875</v>
      </c>
    </row>
    <row r="192" spans="1:13" ht="12.75" x14ac:dyDescent="0.25">
      <c r="A192" s="91"/>
    </row>
    <row r="193" spans="1:7" ht="12.75" x14ac:dyDescent="0.25">
      <c r="A193" s="91"/>
    </row>
    <row r="194" spans="1:7" ht="12.75" x14ac:dyDescent="0.25">
      <c r="A194" s="91"/>
      <c r="C194" s="86">
        <v>62</v>
      </c>
    </row>
    <row r="195" spans="1:7" x14ac:dyDescent="0.25">
      <c r="C195" s="86">
        <v>14</v>
      </c>
      <c r="F195" s="52" t="s">
        <v>736</v>
      </c>
      <c r="G195" s="52" t="s">
        <v>2162</v>
      </c>
    </row>
    <row r="196" spans="1:7" x14ac:dyDescent="0.25">
      <c r="C196" s="86">
        <v>3.968</v>
      </c>
      <c r="F196" s="52" t="s">
        <v>910</v>
      </c>
      <c r="G196" s="52" t="s">
        <v>2161</v>
      </c>
    </row>
    <row r="197" spans="1:7" x14ac:dyDescent="0.25">
      <c r="C197" s="87"/>
      <c r="F197" s="52" t="s">
        <v>1102</v>
      </c>
      <c r="G197" s="52" t="s">
        <v>2163</v>
      </c>
    </row>
    <row r="198" spans="1:7" x14ac:dyDescent="0.25">
      <c r="C198" s="86">
        <v>62</v>
      </c>
      <c r="F198" s="52" t="s">
        <v>1237</v>
      </c>
      <c r="G198" s="52" t="s">
        <v>2165</v>
      </c>
    </row>
    <row r="199" spans="1:7" x14ac:dyDescent="0.25">
      <c r="C199" s="86">
        <v>14</v>
      </c>
      <c r="F199" s="52" t="s">
        <v>1456</v>
      </c>
      <c r="G199" s="52" t="s">
        <v>2164</v>
      </c>
    </row>
    <row r="200" spans="1:7" x14ac:dyDescent="0.25">
      <c r="C200" s="86">
        <v>3.968</v>
      </c>
      <c r="F200" s="52" t="s">
        <v>1675</v>
      </c>
      <c r="G200" s="52" t="s">
        <v>2167</v>
      </c>
    </row>
    <row r="201" spans="1:7" x14ac:dyDescent="0.25">
      <c r="F201" s="52" t="s">
        <v>1894</v>
      </c>
      <c r="G201" s="52" t="s">
        <v>2168</v>
      </c>
    </row>
    <row r="202" spans="1:7" x14ac:dyDescent="0.25">
      <c r="F202" s="52" t="s">
        <v>2166</v>
      </c>
      <c r="G202" s="52" t="s">
        <v>2169</v>
      </c>
    </row>
  </sheetData>
  <autoFilter ref="A1:Q139" xr:uid="{00000000-0001-0000-0200-000000000000}"/>
  <pageMargins left="0.7" right="0.7" top="0.75" bottom="0.75" header="0.3" footer="0.3"/>
  <pageSetup scale="3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DO90"/>
  <sheetViews>
    <sheetView zoomScale="55" zoomScaleNormal="55" zoomScaleSheetLayoutView="55" workbookViewId="0">
      <selection activeCell="A78" sqref="A78:A87"/>
    </sheetView>
  </sheetViews>
  <sheetFormatPr defaultColWidth="8.88671875" defaultRowHeight="15" x14ac:dyDescent="0.25"/>
  <cols>
    <col min="1" max="1" width="18.88671875" customWidth="1"/>
    <col min="2" max="3" width="13.33203125" customWidth="1"/>
    <col min="4" max="4" width="16.109375" customWidth="1"/>
    <col min="5" max="7" width="9.109375" customWidth="1"/>
    <col min="8" max="8" width="11.88671875" customWidth="1"/>
  </cols>
  <sheetData>
    <row r="1" spans="1:55" ht="45" x14ac:dyDescent="0.25">
      <c r="A1" s="109" t="s">
        <v>2003</v>
      </c>
      <c r="B1" s="109"/>
      <c r="C1" s="109"/>
      <c r="D1" s="109"/>
      <c r="E1" s="29" t="s">
        <v>77</v>
      </c>
      <c r="F1" s="29" t="s">
        <v>78</v>
      </c>
      <c r="G1" s="29" t="s">
        <v>79</v>
      </c>
      <c r="H1" s="29" t="s">
        <v>80</v>
      </c>
      <c r="I1" s="29" t="s">
        <v>81</v>
      </c>
      <c r="J1" s="29" t="s">
        <v>82</v>
      </c>
      <c r="K1" s="29" t="s">
        <v>83</v>
      </c>
      <c r="L1" s="29" t="s">
        <v>84</v>
      </c>
      <c r="M1" s="29" t="s">
        <v>85</v>
      </c>
      <c r="N1" s="29" t="s">
        <v>86</v>
      </c>
      <c r="O1" s="29" t="s">
        <v>87</v>
      </c>
      <c r="P1" s="29" t="s">
        <v>88</v>
      </c>
      <c r="Q1" s="29" t="s">
        <v>89</v>
      </c>
      <c r="R1" s="29" t="s">
        <v>90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x14ac:dyDescent="0.25">
      <c r="A2" s="31" t="s">
        <v>76</v>
      </c>
      <c r="B2" s="31" t="s">
        <v>271</v>
      </c>
      <c r="C2" s="31" t="s">
        <v>272</v>
      </c>
      <c r="D2" s="31" t="s">
        <v>273</v>
      </c>
      <c r="E2" s="31" t="s">
        <v>274</v>
      </c>
      <c r="F2" s="31" t="s">
        <v>275</v>
      </c>
      <c r="G2" s="31" t="s">
        <v>276</v>
      </c>
      <c r="H2" s="31" t="s">
        <v>277</v>
      </c>
      <c r="I2" s="31" t="s">
        <v>278</v>
      </c>
      <c r="J2" s="31" t="s">
        <v>279</v>
      </c>
      <c r="K2" s="31" t="s">
        <v>280</v>
      </c>
      <c r="L2" s="31" t="s">
        <v>281</v>
      </c>
      <c r="M2" s="31" t="s">
        <v>282</v>
      </c>
      <c r="N2" s="31" t="s">
        <v>283</v>
      </c>
      <c r="O2" s="31" t="s">
        <v>284</v>
      </c>
      <c r="P2" s="31" t="s">
        <v>285</v>
      </c>
      <c r="Q2" s="31" t="s">
        <v>286</v>
      </c>
      <c r="R2" s="31" t="s">
        <v>287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</row>
    <row r="3" spans="1:55" x14ac:dyDescent="0.25">
      <c r="A3" s="22" t="s">
        <v>467</v>
      </c>
      <c r="B3" s="23">
        <v>35</v>
      </c>
      <c r="C3" s="23">
        <v>21</v>
      </c>
      <c r="D3" s="24">
        <v>22.333333333300001</v>
      </c>
      <c r="E3" s="24" t="s">
        <v>469</v>
      </c>
      <c r="F3" s="24">
        <v>0</v>
      </c>
      <c r="G3" s="24">
        <f t="shared" ref="G3:G34" si="0">C3*12</f>
        <v>252</v>
      </c>
      <c r="H3" s="24">
        <f t="shared" ref="H3:H34" si="1">C3*12/2+7</f>
        <v>133</v>
      </c>
      <c r="I3" s="23">
        <f t="shared" ref="I3:I34" si="2">H3-12</f>
        <v>121</v>
      </c>
      <c r="J3" s="23">
        <f t="shared" ref="J3:J34" si="3">360/L3</f>
        <v>45</v>
      </c>
      <c r="K3" s="23">
        <v>0.75</v>
      </c>
      <c r="L3" s="23">
        <v>8</v>
      </c>
      <c r="M3" s="23">
        <v>12</v>
      </c>
      <c r="N3" s="23">
        <f t="shared" ref="N3:N34" si="4">360/M3/2</f>
        <v>15</v>
      </c>
      <c r="O3" s="23">
        <f t="shared" ref="O3:O34" si="5">M3</f>
        <v>12</v>
      </c>
      <c r="P3" s="23">
        <f t="shared" ref="P3:P34" si="6">O3*2</f>
        <v>24</v>
      </c>
      <c r="Q3" s="23">
        <f t="shared" ref="Q3:Q34" si="7">P3</f>
        <v>24</v>
      </c>
      <c r="R3" s="23">
        <f t="shared" ref="R3:R34" si="8">O3</f>
        <v>12</v>
      </c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</row>
    <row r="4" spans="1:55" x14ac:dyDescent="0.25">
      <c r="A4" s="22" t="s">
        <v>471</v>
      </c>
      <c r="B4" s="23">
        <v>50</v>
      </c>
      <c r="C4" s="23">
        <v>21</v>
      </c>
      <c r="D4" s="24">
        <v>22.333333333300001</v>
      </c>
      <c r="E4" s="24" t="s">
        <v>469</v>
      </c>
      <c r="F4" s="24">
        <v>0</v>
      </c>
      <c r="G4" s="24">
        <f t="shared" si="0"/>
        <v>252</v>
      </c>
      <c r="H4" s="24">
        <f t="shared" si="1"/>
        <v>133</v>
      </c>
      <c r="I4" s="23">
        <f t="shared" si="2"/>
        <v>121</v>
      </c>
      <c r="J4" s="23">
        <f t="shared" si="3"/>
        <v>45</v>
      </c>
      <c r="K4" s="23">
        <v>1</v>
      </c>
      <c r="L4" s="23">
        <v>8</v>
      </c>
      <c r="M4" s="23">
        <v>8</v>
      </c>
      <c r="N4" s="23">
        <f t="shared" si="4"/>
        <v>22.5</v>
      </c>
      <c r="O4" s="23">
        <f t="shared" si="5"/>
        <v>8</v>
      </c>
      <c r="P4" s="23">
        <f t="shared" si="6"/>
        <v>16</v>
      </c>
      <c r="Q4" s="23">
        <f t="shared" si="7"/>
        <v>16</v>
      </c>
      <c r="R4" s="23">
        <f t="shared" si="8"/>
        <v>8</v>
      </c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x14ac:dyDescent="0.25">
      <c r="A5" s="22" t="s">
        <v>472</v>
      </c>
      <c r="B5" s="23">
        <v>50</v>
      </c>
      <c r="C5" s="23">
        <v>21</v>
      </c>
      <c r="D5" s="24">
        <v>15.333333333300001</v>
      </c>
      <c r="E5" s="24" t="s">
        <v>469</v>
      </c>
      <c r="F5" s="24">
        <v>0</v>
      </c>
      <c r="G5" s="24">
        <f t="shared" si="0"/>
        <v>252</v>
      </c>
      <c r="H5" s="24">
        <f t="shared" si="1"/>
        <v>133</v>
      </c>
      <c r="I5" s="23">
        <f t="shared" si="2"/>
        <v>121</v>
      </c>
      <c r="J5" s="23">
        <f t="shared" si="3"/>
        <v>45</v>
      </c>
      <c r="K5" s="23">
        <v>1</v>
      </c>
      <c r="L5" s="23">
        <v>8</v>
      </c>
      <c r="M5" s="23">
        <v>12</v>
      </c>
      <c r="N5" s="23">
        <f t="shared" si="4"/>
        <v>15</v>
      </c>
      <c r="O5" s="23">
        <f t="shared" si="5"/>
        <v>12</v>
      </c>
      <c r="P5" s="23">
        <f t="shared" si="6"/>
        <v>24</v>
      </c>
      <c r="Q5" s="23">
        <f t="shared" si="7"/>
        <v>24</v>
      </c>
      <c r="R5" s="23">
        <f t="shared" si="8"/>
        <v>12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x14ac:dyDescent="0.25">
      <c r="A6" s="4" t="s">
        <v>474</v>
      </c>
      <c r="B6" s="5">
        <v>50</v>
      </c>
      <c r="C6" s="5">
        <v>23</v>
      </c>
      <c r="D6" s="6">
        <v>22.333333333300001</v>
      </c>
      <c r="E6" s="6" t="s">
        <v>469</v>
      </c>
      <c r="F6" s="6">
        <v>0</v>
      </c>
      <c r="G6" s="6">
        <f t="shared" si="0"/>
        <v>276</v>
      </c>
      <c r="H6" s="6">
        <f t="shared" si="1"/>
        <v>145</v>
      </c>
      <c r="I6" s="5">
        <f t="shared" si="2"/>
        <v>133</v>
      </c>
      <c r="J6" s="23">
        <f t="shared" si="3"/>
        <v>45</v>
      </c>
      <c r="K6" s="5">
        <v>1</v>
      </c>
      <c r="L6" s="5">
        <v>8</v>
      </c>
      <c r="M6" s="5">
        <v>12</v>
      </c>
      <c r="N6" s="23">
        <f t="shared" si="4"/>
        <v>15</v>
      </c>
      <c r="O6" s="23">
        <f t="shared" si="5"/>
        <v>12</v>
      </c>
      <c r="P6" s="23">
        <f t="shared" si="6"/>
        <v>24</v>
      </c>
      <c r="Q6" s="23">
        <f t="shared" si="7"/>
        <v>24</v>
      </c>
      <c r="R6" s="23">
        <f t="shared" si="8"/>
        <v>12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x14ac:dyDescent="0.25">
      <c r="A7" s="22" t="s">
        <v>475</v>
      </c>
      <c r="B7" s="23">
        <v>75</v>
      </c>
      <c r="C7" s="23">
        <v>21</v>
      </c>
      <c r="D7" s="24">
        <v>22.333333333300001</v>
      </c>
      <c r="E7" s="24" t="s">
        <v>469</v>
      </c>
      <c r="F7" s="24">
        <v>0</v>
      </c>
      <c r="G7" s="24">
        <f t="shared" si="0"/>
        <v>252</v>
      </c>
      <c r="H7" s="24">
        <f t="shared" si="1"/>
        <v>133</v>
      </c>
      <c r="I7" s="23">
        <f t="shared" si="2"/>
        <v>121</v>
      </c>
      <c r="J7" s="23">
        <f t="shared" si="3"/>
        <v>45</v>
      </c>
      <c r="K7" s="23">
        <v>1</v>
      </c>
      <c r="L7" s="23">
        <v>8</v>
      </c>
      <c r="M7" s="23">
        <v>8</v>
      </c>
      <c r="N7" s="23">
        <f t="shared" si="4"/>
        <v>22.5</v>
      </c>
      <c r="O7" s="23">
        <f t="shared" si="5"/>
        <v>8</v>
      </c>
      <c r="P7" s="23">
        <f t="shared" si="6"/>
        <v>16</v>
      </c>
      <c r="Q7" s="23">
        <f t="shared" si="7"/>
        <v>16</v>
      </c>
      <c r="R7" s="23">
        <f t="shared" si="8"/>
        <v>8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</row>
    <row r="8" spans="1:55" x14ac:dyDescent="0.25">
      <c r="A8" s="22" t="s">
        <v>477</v>
      </c>
      <c r="B8" s="23">
        <v>75</v>
      </c>
      <c r="C8" s="23">
        <v>28</v>
      </c>
      <c r="D8" s="24">
        <v>25</v>
      </c>
      <c r="E8" s="24" t="s">
        <v>469</v>
      </c>
      <c r="F8" s="24">
        <v>0</v>
      </c>
      <c r="G8" s="24">
        <f t="shared" si="0"/>
        <v>336</v>
      </c>
      <c r="H8" s="24">
        <f t="shared" si="1"/>
        <v>175</v>
      </c>
      <c r="I8" s="23">
        <f t="shared" si="2"/>
        <v>163</v>
      </c>
      <c r="J8" s="23">
        <f t="shared" si="3"/>
        <v>40</v>
      </c>
      <c r="K8" s="23">
        <v>0.875</v>
      </c>
      <c r="L8" s="23">
        <v>9</v>
      </c>
      <c r="M8" s="23">
        <v>12</v>
      </c>
      <c r="N8" s="23">
        <f t="shared" si="4"/>
        <v>15</v>
      </c>
      <c r="O8" s="23">
        <f t="shared" si="5"/>
        <v>12</v>
      </c>
      <c r="P8" s="23">
        <f t="shared" si="6"/>
        <v>24</v>
      </c>
      <c r="Q8" s="23">
        <f t="shared" si="7"/>
        <v>24</v>
      </c>
      <c r="R8" s="23">
        <f t="shared" si="8"/>
        <v>12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</row>
    <row r="9" spans="1:55" x14ac:dyDescent="0.25">
      <c r="A9" s="22" t="s">
        <v>478</v>
      </c>
      <c r="B9" s="23">
        <v>100</v>
      </c>
      <c r="C9" s="23">
        <v>21</v>
      </c>
      <c r="D9" s="24">
        <v>22.333333333300001</v>
      </c>
      <c r="E9" s="24" t="s">
        <v>469</v>
      </c>
      <c r="F9" s="24">
        <v>0</v>
      </c>
      <c r="G9" s="24">
        <f t="shared" si="0"/>
        <v>252</v>
      </c>
      <c r="H9" s="24">
        <f t="shared" si="1"/>
        <v>133</v>
      </c>
      <c r="I9" s="23">
        <f t="shared" si="2"/>
        <v>121</v>
      </c>
      <c r="J9" s="23">
        <f t="shared" si="3"/>
        <v>45</v>
      </c>
      <c r="K9" s="23">
        <v>0.75</v>
      </c>
      <c r="L9" s="23">
        <v>8</v>
      </c>
      <c r="M9" s="23">
        <v>12</v>
      </c>
      <c r="N9" s="23">
        <f t="shared" si="4"/>
        <v>15</v>
      </c>
      <c r="O9" s="23">
        <f t="shared" si="5"/>
        <v>12</v>
      </c>
      <c r="P9" s="23">
        <f t="shared" si="6"/>
        <v>24</v>
      </c>
      <c r="Q9" s="23">
        <f t="shared" si="7"/>
        <v>24</v>
      </c>
      <c r="R9" s="23">
        <f t="shared" si="8"/>
        <v>12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</row>
    <row r="10" spans="1:55" x14ac:dyDescent="0.25">
      <c r="A10" s="22" t="s">
        <v>478</v>
      </c>
      <c r="B10" s="23">
        <v>100</v>
      </c>
      <c r="C10" s="23">
        <v>21</v>
      </c>
      <c r="D10" s="24">
        <v>22.333333333300001</v>
      </c>
      <c r="E10" s="24" t="s">
        <v>469</v>
      </c>
      <c r="F10" s="24">
        <v>0</v>
      </c>
      <c r="G10" s="24">
        <f t="shared" si="0"/>
        <v>252</v>
      </c>
      <c r="H10" s="24">
        <f t="shared" si="1"/>
        <v>133</v>
      </c>
      <c r="I10" s="23">
        <f t="shared" si="2"/>
        <v>121</v>
      </c>
      <c r="J10" s="23">
        <f t="shared" si="3"/>
        <v>45</v>
      </c>
      <c r="K10" s="23">
        <v>0.75</v>
      </c>
      <c r="L10" s="23">
        <v>8</v>
      </c>
      <c r="M10" s="23">
        <v>12</v>
      </c>
      <c r="N10" s="23">
        <f t="shared" si="4"/>
        <v>15</v>
      </c>
      <c r="O10" s="23">
        <f t="shared" si="5"/>
        <v>12</v>
      </c>
      <c r="P10" s="23">
        <f t="shared" si="6"/>
        <v>24</v>
      </c>
      <c r="Q10" s="23">
        <f t="shared" si="7"/>
        <v>24</v>
      </c>
      <c r="R10" s="23">
        <f t="shared" si="8"/>
        <v>12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</row>
    <row r="11" spans="1:55" x14ac:dyDescent="0.25">
      <c r="A11" s="22" t="s">
        <v>481</v>
      </c>
      <c r="B11" s="23">
        <v>100</v>
      </c>
      <c r="C11" s="23">
        <v>23</v>
      </c>
      <c r="D11" s="24">
        <v>22.333333333300001</v>
      </c>
      <c r="E11" s="24" t="s">
        <v>469</v>
      </c>
      <c r="F11" s="24">
        <v>0</v>
      </c>
      <c r="G11" s="24">
        <f t="shared" si="0"/>
        <v>276</v>
      </c>
      <c r="H11" s="24">
        <f t="shared" si="1"/>
        <v>145</v>
      </c>
      <c r="I11" s="24">
        <f t="shared" si="2"/>
        <v>133</v>
      </c>
      <c r="J11" s="23">
        <f t="shared" si="3"/>
        <v>45</v>
      </c>
      <c r="K11" s="23">
        <v>0.8125</v>
      </c>
      <c r="L11" s="23">
        <v>8</v>
      </c>
      <c r="M11" s="23">
        <v>12</v>
      </c>
      <c r="N11" s="23">
        <f t="shared" si="4"/>
        <v>15</v>
      </c>
      <c r="O11" s="23">
        <f t="shared" si="5"/>
        <v>12</v>
      </c>
      <c r="P11" s="23">
        <f t="shared" si="6"/>
        <v>24</v>
      </c>
      <c r="Q11" s="23">
        <f t="shared" si="7"/>
        <v>24</v>
      </c>
      <c r="R11" s="23">
        <f t="shared" si="8"/>
        <v>12</v>
      </c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</row>
    <row r="12" spans="1:55" x14ac:dyDescent="0.25">
      <c r="A12" s="22" t="s">
        <v>481</v>
      </c>
      <c r="B12" s="23">
        <v>100</v>
      </c>
      <c r="C12" s="23">
        <v>23</v>
      </c>
      <c r="D12" s="24">
        <v>22.333333333300001</v>
      </c>
      <c r="E12" s="24" t="s">
        <v>469</v>
      </c>
      <c r="F12" s="24">
        <v>0</v>
      </c>
      <c r="G12" s="24">
        <f t="shared" si="0"/>
        <v>276</v>
      </c>
      <c r="H12" s="24">
        <f t="shared" si="1"/>
        <v>145</v>
      </c>
      <c r="I12" s="24">
        <f t="shared" si="2"/>
        <v>133</v>
      </c>
      <c r="J12" s="23">
        <f t="shared" si="3"/>
        <v>45</v>
      </c>
      <c r="K12" s="23">
        <v>0.8125</v>
      </c>
      <c r="L12" s="23">
        <v>8</v>
      </c>
      <c r="M12" s="23">
        <v>12</v>
      </c>
      <c r="N12" s="23">
        <f t="shared" si="4"/>
        <v>15</v>
      </c>
      <c r="O12" s="23">
        <f t="shared" si="5"/>
        <v>12</v>
      </c>
      <c r="P12" s="23">
        <f t="shared" si="6"/>
        <v>24</v>
      </c>
      <c r="Q12" s="23">
        <f t="shared" si="7"/>
        <v>24</v>
      </c>
      <c r="R12" s="23">
        <f t="shared" si="8"/>
        <v>12</v>
      </c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</row>
    <row r="13" spans="1:55" x14ac:dyDescent="0.25">
      <c r="A13" s="22" t="s">
        <v>481</v>
      </c>
      <c r="B13" s="23">
        <v>100</v>
      </c>
      <c r="C13" s="23">
        <v>23</v>
      </c>
      <c r="D13" s="24">
        <v>22.333333333300001</v>
      </c>
      <c r="E13" s="24" t="s">
        <v>469</v>
      </c>
      <c r="F13" s="24">
        <v>0</v>
      </c>
      <c r="G13" s="24">
        <f t="shared" si="0"/>
        <v>276</v>
      </c>
      <c r="H13" s="24">
        <f t="shared" si="1"/>
        <v>145</v>
      </c>
      <c r="I13" s="23">
        <f t="shared" si="2"/>
        <v>133</v>
      </c>
      <c r="J13" s="23">
        <f t="shared" si="3"/>
        <v>45</v>
      </c>
      <c r="K13" s="23">
        <v>0.8125</v>
      </c>
      <c r="L13" s="23">
        <v>8</v>
      </c>
      <c r="M13" s="23">
        <v>12</v>
      </c>
      <c r="N13" s="23">
        <f t="shared" si="4"/>
        <v>15</v>
      </c>
      <c r="O13" s="23">
        <f t="shared" si="5"/>
        <v>12</v>
      </c>
      <c r="P13" s="23">
        <f t="shared" si="6"/>
        <v>24</v>
      </c>
      <c r="Q13" s="23">
        <f t="shared" si="7"/>
        <v>24</v>
      </c>
      <c r="R13" s="23">
        <f t="shared" si="8"/>
        <v>12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</row>
    <row r="14" spans="1:55" s="36" customFormat="1" x14ac:dyDescent="0.25">
      <c r="A14" s="22" t="s">
        <v>483</v>
      </c>
      <c r="B14" s="23">
        <v>100</v>
      </c>
      <c r="C14" s="23">
        <v>25</v>
      </c>
      <c r="D14" s="24">
        <v>25</v>
      </c>
      <c r="E14" s="24" t="s">
        <v>469</v>
      </c>
      <c r="F14" s="24">
        <v>0</v>
      </c>
      <c r="G14" s="24">
        <f t="shared" si="0"/>
        <v>300</v>
      </c>
      <c r="H14" s="24">
        <f t="shared" si="1"/>
        <v>157</v>
      </c>
      <c r="I14" s="23">
        <f t="shared" si="2"/>
        <v>145</v>
      </c>
      <c r="J14" s="23">
        <f t="shared" si="3"/>
        <v>40</v>
      </c>
      <c r="K14" s="23">
        <v>0.875</v>
      </c>
      <c r="L14" s="23">
        <v>9</v>
      </c>
      <c r="M14" s="23">
        <v>16</v>
      </c>
      <c r="N14" s="23">
        <f t="shared" si="4"/>
        <v>11.25</v>
      </c>
      <c r="O14" s="23">
        <f t="shared" si="5"/>
        <v>16</v>
      </c>
      <c r="P14" s="23">
        <f t="shared" si="6"/>
        <v>32</v>
      </c>
      <c r="Q14" s="23">
        <f t="shared" si="7"/>
        <v>32</v>
      </c>
      <c r="R14" s="23">
        <f t="shared" si="8"/>
        <v>16</v>
      </c>
      <c r="S14" s="40"/>
      <c r="T14" s="40"/>
      <c r="U14" s="42"/>
      <c r="V14" s="40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</row>
    <row r="15" spans="1:55" x14ac:dyDescent="0.25">
      <c r="A15" s="22" t="s">
        <v>484</v>
      </c>
      <c r="B15" s="23">
        <v>100</v>
      </c>
      <c r="C15" s="23">
        <v>28</v>
      </c>
      <c r="D15" s="24">
        <v>25</v>
      </c>
      <c r="E15" s="24" t="s">
        <v>469</v>
      </c>
      <c r="F15" s="24">
        <v>0</v>
      </c>
      <c r="G15" s="24">
        <f t="shared" si="0"/>
        <v>336</v>
      </c>
      <c r="H15" s="24">
        <f t="shared" si="1"/>
        <v>175</v>
      </c>
      <c r="I15" s="23">
        <f t="shared" si="2"/>
        <v>163</v>
      </c>
      <c r="J15" s="23">
        <f t="shared" si="3"/>
        <v>40</v>
      </c>
      <c r="K15" s="23">
        <v>0.6875</v>
      </c>
      <c r="L15" s="23">
        <v>9</v>
      </c>
      <c r="M15" s="23">
        <v>16</v>
      </c>
      <c r="N15" s="23">
        <f t="shared" si="4"/>
        <v>11.25</v>
      </c>
      <c r="O15" s="23">
        <f t="shared" si="5"/>
        <v>16</v>
      </c>
      <c r="P15" s="23">
        <f t="shared" si="6"/>
        <v>32</v>
      </c>
      <c r="Q15" s="23">
        <f t="shared" si="7"/>
        <v>32</v>
      </c>
      <c r="R15" s="23">
        <f t="shared" si="8"/>
        <v>16</v>
      </c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</row>
    <row r="16" spans="1:55" x14ac:dyDescent="0.25">
      <c r="A16" s="22" t="s">
        <v>485</v>
      </c>
      <c r="B16" s="23">
        <v>125</v>
      </c>
      <c r="C16" s="23">
        <v>21</v>
      </c>
      <c r="D16" s="24">
        <v>22.333333333300001</v>
      </c>
      <c r="E16" s="24" t="s">
        <v>469</v>
      </c>
      <c r="F16" s="24">
        <v>0</v>
      </c>
      <c r="G16" s="24">
        <f t="shared" si="0"/>
        <v>252</v>
      </c>
      <c r="H16" s="24">
        <f t="shared" si="1"/>
        <v>133</v>
      </c>
      <c r="I16" s="23">
        <f t="shared" si="2"/>
        <v>121</v>
      </c>
      <c r="J16" s="23">
        <f t="shared" si="3"/>
        <v>45</v>
      </c>
      <c r="K16" s="23">
        <v>0.9375</v>
      </c>
      <c r="L16" s="23">
        <v>8</v>
      </c>
      <c r="M16" s="23">
        <v>16</v>
      </c>
      <c r="N16" s="23">
        <f t="shared" si="4"/>
        <v>11.25</v>
      </c>
      <c r="O16" s="23">
        <f t="shared" si="5"/>
        <v>16</v>
      </c>
      <c r="P16" s="23">
        <f t="shared" si="6"/>
        <v>32</v>
      </c>
      <c r="Q16" s="23">
        <f t="shared" si="7"/>
        <v>32</v>
      </c>
      <c r="R16" s="23">
        <f t="shared" si="8"/>
        <v>16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</row>
    <row r="17" spans="1:55" x14ac:dyDescent="0.25">
      <c r="A17" s="22" t="s">
        <v>487</v>
      </c>
      <c r="B17" s="23">
        <v>125</v>
      </c>
      <c r="C17" s="23">
        <v>23</v>
      </c>
      <c r="D17" s="24">
        <v>22.333333333300001</v>
      </c>
      <c r="E17" s="24" t="s">
        <v>469</v>
      </c>
      <c r="F17" s="24">
        <v>0</v>
      </c>
      <c r="G17" s="24">
        <f t="shared" si="0"/>
        <v>276</v>
      </c>
      <c r="H17" s="24">
        <f t="shared" si="1"/>
        <v>145</v>
      </c>
      <c r="I17" s="23">
        <f t="shared" si="2"/>
        <v>133</v>
      </c>
      <c r="J17" s="23">
        <f t="shared" si="3"/>
        <v>45</v>
      </c>
      <c r="K17" s="23">
        <v>0.9375</v>
      </c>
      <c r="L17" s="23">
        <v>8</v>
      </c>
      <c r="M17" s="23">
        <v>16</v>
      </c>
      <c r="N17" s="23">
        <f t="shared" si="4"/>
        <v>11.25</v>
      </c>
      <c r="O17" s="23">
        <f t="shared" si="5"/>
        <v>16</v>
      </c>
      <c r="P17" s="23">
        <f t="shared" si="6"/>
        <v>32</v>
      </c>
      <c r="Q17" s="23">
        <f t="shared" si="7"/>
        <v>32</v>
      </c>
      <c r="R17" s="23">
        <f t="shared" si="8"/>
        <v>16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</row>
    <row r="18" spans="1:55" x14ac:dyDescent="0.25">
      <c r="A18" s="22" t="s">
        <v>488</v>
      </c>
      <c r="B18" s="23">
        <v>125</v>
      </c>
      <c r="C18" s="23">
        <v>28</v>
      </c>
      <c r="D18" s="24">
        <v>25</v>
      </c>
      <c r="E18" s="24" t="s">
        <v>469</v>
      </c>
      <c r="F18" s="24">
        <v>0</v>
      </c>
      <c r="G18" s="24">
        <f t="shared" si="0"/>
        <v>336</v>
      </c>
      <c r="H18" s="24">
        <f t="shared" si="1"/>
        <v>175</v>
      </c>
      <c r="I18" s="23">
        <f t="shared" si="2"/>
        <v>163</v>
      </c>
      <c r="J18" s="23">
        <f t="shared" si="3"/>
        <v>40</v>
      </c>
      <c r="K18" s="23">
        <v>0.875</v>
      </c>
      <c r="L18" s="23">
        <v>9</v>
      </c>
      <c r="M18" s="23">
        <v>20</v>
      </c>
      <c r="N18" s="23">
        <f t="shared" si="4"/>
        <v>9</v>
      </c>
      <c r="O18" s="23">
        <f t="shared" si="5"/>
        <v>20</v>
      </c>
      <c r="P18" s="23">
        <f t="shared" si="6"/>
        <v>40</v>
      </c>
      <c r="Q18" s="23">
        <f t="shared" si="7"/>
        <v>40</v>
      </c>
      <c r="R18" s="23">
        <f t="shared" si="8"/>
        <v>20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</row>
    <row r="19" spans="1:55" x14ac:dyDescent="0.25">
      <c r="A19" s="22" t="s">
        <v>489</v>
      </c>
      <c r="B19" s="23">
        <v>150</v>
      </c>
      <c r="C19" s="23">
        <v>21</v>
      </c>
      <c r="D19" s="24">
        <v>22.333333333300001</v>
      </c>
      <c r="E19" s="24" t="s">
        <v>469</v>
      </c>
      <c r="F19" s="24">
        <v>0</v>
      </c>
      <c r="G19" s="24">
        <f t="shared" si="0"/>
        <v>252</v>
      </c>
      <c r="H19" s="24">
        <f t="shared" si="1"/>
        <v>133</v>
      </c>
      <c r="I19" s="23">
        <f t="shared" si="2"/>
        <v>121</v>
      </c>
      <c r="J19" s="23">
        <f t="shared" si="3"/>
        <v>45</v>
      </c>
      <c r="K19" s="23">
        <v>1</v>
      </c>
      <c r="L19" s="23">
        <v>8</v>
      </c>
      <c r="M19" s="23">
        <v>12</v>
      </c>
      <c r="N19" s="23">
        <f t="shared" si="4"/>
        <v>15</v>
      </c>
      <c r="O19" s="23">
        <f t="shared" si="5"/>
        <v>12</v>
      </c>
      <c r="P19" s="23">
        <f t="shared" si="6"/>
        <v>24</v>
      </c>
      <c r="Q19" s="23">
        <f t="shared" si="7"/>
        <v>24</v>
      </c>
      <c r="R19" s="23">
        <f t="shared" si="8"/>
        <v>12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</row>
    <row r="20" spans="1:55" x14ac:dyDescent="0.25">
      <c r="A20" s="22" t="s">
        <v>490</v>
      </c>
      <c r="B20" s="23">
        <v>150</v>
      </c>
      <c r="C20" s="23">
        <v>23</v>
      </c>
      <c r="D20" s="24">
        <v>22.333333333300001</v>
      </c>
      <c r="E20" s="24" t="s">
        <v>469</v>
      </c>
      <c r="F20" s="24">
        <v>0</v>
      </c>
      <c r="G20" s="24">
        <f t="shared" si="0"/>
        <v>276</v>
      </c>
      <c r="H20" s="24">
        <f t="shared" si="1"/>
        <v>145</v>
      </c>
      <c r="I20" s="23">
        <f t="shared" si="2"/>
        <v>133</v>
      </c>
      <c r="J20" s="23">
        <f t="shared" si="3"/>
        <v>45</v>
      </c>
      <c r="K20" s="23">
        <v>1</v>
      </c>
      <c r="L20" s="23">
        <v>8</v>
      </c>
      <c r="M20" s="23">
        <v>12</v>
      </c>
      <c r="N20" s="23">
        <f t="shared" si="4"/>
        <v>15</v>
      </c>
      <c r="O20" s="23">
        <f t="shared" si="5"/>
        <v>12</v>
      </c>
      <c r="P20" s="23">
        <f t="shared" si="6"/>
        <v>24</v>
      </c>
      <c r="Q20" s="23">
        <f t="shared" si="7"/>
        <v>24</v>
      </c>
      <c r="R20" s="23">
        <f t="shared" si="8"/>
        <v>12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</row>
    <row r="21" spans="1:55" x14ac:dyDescent="0.25">
      <c r="A21" s="22" t="s">
        <v>490</v>
      </c>
      <c r="B21" s="23">
        <v>150</v>
      </c>
      <c r="C21" s="23">
        <v>23</v>
      </c>
      <c r="D21" s="24">
        <v>22.333333333300001</v>
      </c>
      <c r="E21" s="24" t="s">
        <v>469</v>
      </c>
      <c r="F21" s="24">
        <v>0</v>
      </c>
      <c r="G21" s="24">
        <f t="shared" si="0"/>
        <v>276</v>
      </c>
      <c r="H21" s="24">
        <f t="shared" si="1"/>
        <v>145</v>
      </c>
      <c r="I21" s="23">
        <f t="shared" si="2"/>
        <v>133</v>
      </c>
      <c r="J21" s="23">
        <f t="shared" si="3"/>
        <v>45</v>
      </c>
      <c r="K21" s="23">
        <v>1</v>
      </c>
      <c r="L21" s="23">
        <v>8</v>
      </c>
      <c r="M21" s="23">
        <v>12</v>
      </c>
      <c r="N21" s="23">
        <f t="shared" si="4"/>
        <v>15</v>
      </c>
      <c r="O21" s="23">
        <f t="shared" si="5"/>
        <v>12</v>
      </c>
      <c r="P21" s="23">
        <f t="shared" si="6"/>
        <v>24</v>
      </c>
      <c r="Q21" s="23">
        <f t="shared" si="7"/>
        <v>24</v>
      </c>
      <c r="R21" s="23">
        <f t="shared" si="8"/>
        <v>12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</row>
    <row r="22" spans="1:55" x14ac:dyDescent="0.25">
      <c r="A22" s="22" t="s">
        <v>490</v>
      </c>
      <c r="B22" s="23">
        <v>150</v>
      </c>
      <c r="C22" s="23">
        <v>23</v>
      </c>
      <c r="D22" s="24">
        <v>22.333333333300001</v>
      </c>
      <c r="E22" s="24" t="s">
        <v>469</v>
      </c>
      <c r="F22" s="24">
        <v>0</v>
      </c>
      <c r="G22" s="24">
        <f t="shared" si="0"/>
        <v>276</v>
      </c>
      <c r="H22" s="24">
        <f t="shared" si="1"/>
        <v>145</v>
      </c>
      <c r="I22" s="23">
        <f t="shared" si="2"/>
        <v>133</v>
      </c>
      <c r="J22" s="23">
        <f t="shared" si="3"/>
        <v>45</v>
      </c>
      <c r="K22" s="23">
        <v>1</v>
      </c>
      <c r="L22" s="23">
        <v>8</v>
      </c>
      <c r="M22" s="23">
        <v>12</v>
      </c>
      <c r="N22" s="23">
        <f t="shared" si="4"/>
        <v>15</v>
      </c>
      <c r="O22" s="23">
        <f t="shared" si="5"/>
        <v>12</v>
      </c>
      <c r="P22" s="23">
        <f t="shared" si="6"/>
        <v>24</v>
      </c>
      <c r="Q22" s="23">
        <f t="shared" si="7"/>
        <v>24</v>
      </c>
      <c r="R22" s="23">
        <f t="shared" si="8"/>
        <v>12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</row>
    <row r="23" spans="1:55" x14ac:dyDescent="0.25">
      <c r="A23" s="22" t="s">
        <v>491</v>
      </c>
      <c r="B23" s="23">
        <v>150</v>
      </c>
      <c r="C23" s="23">
        <v>25</v>
      </c>
      <c r="D23" s="24">
        <v>25</v>
      </c>
      <c r="E23" s="24" t="s">
        <v>469</v>
      </c>
      <c r="F23" s="24">
        <v>0</v>
      </c>
      <c r="G23" s="24">
        <f t="shared" si="0"/>
        <v>300</v>
      </c>
      <c r="H23" s="24">
        <f t="shared" si="1"/>
        <v>157</v>
      </c>
      <c r="I23" s="23">
        <f t="shared" si="2"/>
        <v>145</v>
      </c>
      <c r="J23" s="23">
        <f t="shared" si="3"/>
        <v>40</v>
      </c>
      <c r="K23" s="23">
        <v>1</v>
      </c>
      <c r="L23" s="23">
        <v>9</v>
      </c>
      <c r="M23" s="23">
        <v>20</v>
      </c>
      <c r="N23" s="23">
        <f t="shared" si="4"/>
        <v>9</v>
      </c>
      <c r="O23" s="23">
        <f t="shared" si="5"/>
        <v>20</v>
      </c>
      <c r="P23" s="23">
        <f t="shared" si="6"/>
        <v>40</v>
      </c>
      <c r="Q23" s="23">
        <f t="shared" si="7"/>
        <v>40</v>
      </c>
      <c r="R23" s="23">
        <f t="shared" si="8"/>
        <v>20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</row>
    <row r="24" spans="1:55" x14ac:dyDescent="0.25">
      <c r="A24" s="22" t="s">
        <v>491</v>
      </c>
      <c r="B24" s="23">
        <v>150</v>
      </c>
      <c r="C24" s="23">
        <v>25</v>
      </c>
      <c r="D24" s="24">
        <v>25</v>
      </c>
      <c r="E24" s="24" t="s">
        <v>469</v>
      </c>
      <c r="F24" s="24">
        <v>0</v>
      </c>
      <c r="G24" s="24">
        <f t="shared" si="0"/>
        <v>300</v>
      </c>
      <c r="H24" s="24">
        <f t="shared" si="1"/>
        <v>157</v>
      </c>
      <c r="I24" s="23">
        <f t="shared" si="2"/>
        <v>145</v>
      </c>
      <c r="J24" s="23">
        <f t="shared" si="3"/>
        <v>40</v>
      </c>
      <c r="K24" s="23">
        <v>1</v>
      </c>
      <c r="L24" s="23">
        <v>9</v>
      </c>
      <c r="M24" s="23">
        <v>20</v>
      </c>
      <c r="N24" s="23">
        <f t="shared" si="4"/>
        <v>9</v>
      </c>
      <c r="O24" s="23">
        <f t="shared" si="5"/>
        <v>20</v>
      </c>
      <c r="P24" s="23">
        <f t="shared" si="6"/>
        <v>40</v>
      </c>
      <c r="Q24" s="23">
        <f t="shared" si="7"/>
        <v>40</v>
      </c>
      <c r="R24" s="23">
        <f t="shared" si="8"/>
        <v>20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</row>
    <row r="25" spans="1:55" x14ac:dyDescent="0.25">
      <c r="A25" s="22" t="s">
        <v>493</v>
      </c>
      <c r="B25" s="23">
        <v>150</v>
      </c>
      <c r="C25" s="23">
        <v>28</v>
      </c>
      <c r="D25" s="24">
        <v>25</v>
      </c>
      <c r="E25" s="24" t="s">
        <v>469</v>
      </c>
      <c r="F25" s="24">
        <v>0</v>
      </c>
      <c r="G25" s="24">
        <f t="shared" si="0"/>
        <v>336</v>
      </c>
      <c r="H25" s="24">
        <f t="shared" si="1"/>
        <v>175</v>
      </c>
      <c r="I25" s="23">
        <f t="shared" si="2"/>
        <v>163</v>
      </c>
      <c r="J25" s="23">
        <f t="shared" si="3"/>
        <v>40</v>
      </c>
      <c r="K25" s="23">
        <v>1</v>
      </c>
      <c r="L25" s="23">
        <v>9</v>
      </c>
      <c r="M25" s="23">
        <v>12</v>
      </c>
      <c r="N25" s="23">
        <f t="shared" si="4"/>
        <v>15</v>
      </c>
      <c r="O25" s="23">
        <f t="shared" si="5"/>
        <v>12</v>
      </c>
      <c r="P25" s="23">
        <f t="shared" si="6"/>
        <v>24</v>
      </c>
      <c r="Q25" s="23">
        <f t="shared" si="7"/>
        <v>24</v>
      </c>
      <c r="R25" s="23">
        <f t="shared" si="8"/>
        <v>12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</row>
    <row r="26" spans="1:55" x14ac:dyDescent="0.25">
      <c r="A26" s="22" t="s">
        <v>494</v>
      </c>
      <c r="B26" s="23">
        <v>200</v>
      </c>
      <c r="C26" s="23">
        <v>21</v>
      </c>
      <c r="D26" s="24">
        <v>22.333333333300001</v>
      </c>
      <c r="E26" s="24" t="s">
        <v>469</v>
      </c>
      <c r="F26" s="24">
        <v>0</v>
      </c>
      <c r="G26" s="24">
        <f t="shared" si="0"/>
        <v>252</v>
      </c>
      <c r="H26" s="24">
        <f t="shared" si="1"/>
        <v>133</v>
      </c>
      <c r="I26" s="23">
        <f t="shared" si="2"/>
        <v>121</v>
      </c>
      <c r="J26" s="23">
        <f t="shared" si="3"/>
        <v>45</v>
      </c>
      <c r="K26" s="23">
        <v>0.875</v>
      </c>
      <c r="L26" s="23">
        <v>8</v>
      </c>
      <c r="M26" s="23">
        <v>12</v>
      </c>
      <c r="N26" s="23">
        <f t="shared" si="4"/>
        <v>15</v>
      </c>
      <c r="O26" s="23">
        <f t="shared" si="5"/>
        <v>12</v>
      </c>
      <c r="P26" s="23">
        <f t="shared" si="6"/>
        <v>24</v>
      </c>
      <c r="Q26" s="23">
        <f t="shared" si="7"/>
        <v>24</v>
      </c>
      <c r="R26" s="23">
        <f t="shared" si="8"/>
        <v>12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</row>
    <row r="27" spans="1:55" x14ac:dyDescent="0.25">
      <c r="A27" s="22" t="s">
        <v>494</v>
      </c>
      <c r="B27" s="23">
        <v>200</v>
      </c>
      <c r="C27" s="23">
        <v>21</v>
      </c>
      <c r="D27" s="24">
        <v>22.333333333300001</v>
      </c>
      <c r="E27" s="24" t="s">
        <v>469</v>
      </c>
      <c r="F27" s="24">
        <v>0</v>
      </c>
      <c r="G27" s="24">
        <f t="shared" si="0"/>
        <v>252</v>
      </c>
      <c r="H27" s="24">
        <f t="shared" si="1"/>
        <v>133</v>
      </c>
      <c r="I27" s="23">
        <f t="shared" si="2"/>
        <v>121</v>
      </c>
      <c r="J27" s="23">
        <f t="shared" si="3"/>
        <v>45</v>
      </c>
      <c r="K27" s="23">
        <v>0.875</v>
      </c>
      <c r="L27" s="23">
        <v>8</v>
      </c>
      <c r="M27" s="23">
        <v>12</v>
      </c>
      <c r="N27" s="23">
        <f t="shared" si="4"/>
        <v>15</v>
      </c>
      <c r="O27" s="23">
        <f t="shared" si="5"/>
        <v>12</v>
      </c>
      <c r="P27" s="23">
        <f t="shared" si="6"/>
        <v>24</v>
      </c>
      <c r="Q27" s="23">
        <f t="shared" si="7"/>
        <v>24</v>
      </c>
      <c r="R27" s="23">
        <f t="shared" si="8"/>
        <v>12</v>
      </c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</row>
    <row r="28" spans="1:55" x14ac:dyDescent="0.25">
      <c r="A28" s="22" t="s">
        <v>496</v>
      </c>
      <c r="B28" s="23">
        <v>200</v>
      </c>
      <c r="C28" s="23">
        <v>23</v>
      </c>
      <c r="D28" s="24">
        <v>22.333333333300001</v>
      </c>
      <c r="E28" s="24" t="s">
        <v>469</v>
      </c>
      <c r="F28" s="24">
        <v>0</v>
      </c>
      <c r="G28" s="24">
        <f t="shared" si="0"/>
        <v>276</v>
      </c>
      <c r="H28" s="24">
        <f t="shared" si="1"/>
        <v>145</v>
      </c>
      <c r="I28" s="23">
        <f t="shared" si="2"/>
        <v>133</v>
      </c>
      <c r="J28" s="23">
        <f t="shared" si="3"/>
        <v>45</v>
      </c>
      <c r="K28" s="23">
        <v>1.1875</v>
      </c>
      <c r="L28" s="23">
        <v>8</v>
      </c>
      <c r="M28" s="23">
        <v>20</v>
      </c>
      <c r="N28" s="23">
        <f t="shared" si="4"/>
        <v>9</v>
      </c>
      <c r="O28" s="23">
        <f t="shared" si="5"/>
        <v>20</v>
      </c>
      <c r="P28" s="23">
        <f t="shared" si="6"/>
        <v>40</v>
      </c>
      <c r="Q28" s="23">
        <f t="shared" si="7"/>
        <v>40</v>
      </c>
      <c r="R28" s="23">
        <f t="shared" si="8"/>
        <v>20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</row>
    <row r="29" spans="1:55" x14ac:dyDescent="0.25">
      <c r="A29" s="22" t="s">
        <v>496</v>
      </c>
      <c r="B29" s="23">
        <v>200</v>
      </c>
      <c r="C29" s="23">
        <v>23</v>
      </c>
      <c r="D29" s="24">
        <v>22.333333333300001</v>
      </c>
      <c r="E29" s="24" t="s">
        <v>469</v>
      </c>
      <c r="F29" s="24">
        <v>0</v>
      </c>
      <c r="G29" s="24">
        <f t="shared" si="0"/>
        <v>276</v>
      </c>
      <c r="H29" s="24">
        <f t="shared" si="1"/>
        <v>145</v>
      </c>
      <c r="I29" s="23">
        <f t="shared" si="2"/>
        <v>133</v>
      </c>
      <c r="J29" s="23">
        <f t="shared" si="3"/>
        <v>45</v>
      </c>
      <c r="K29" s="23">
        <v>1.1875</v>
      </c>
      <c r="L29" s="23">
        <v>8</v>
      </c>
      <c r="M29" s="23">
        <v>20</v>
      </c>
      <c r="N29" s="23">
        <f t="shared" si="4"/>
        <v>9</v>
      </c>
      <c r="O29" s="23">
        <f t="shared" si="5"/>
        <v>20</v>
      </c>
      <c r="P29" s="23">
        <f t="shared" si="6"/>
        <v>40</v>
      </c>
      <c r="Q29" s="23">
        <f t="shared" si="7"/>
        <v>40</v>
      </c>
      <c r="R29" s="23">
        <f t="shared" si="8"/>
        <v>20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</row>
    <row r="30" spans="1:55" x14ac:dyDescent="0.25">
      <c r="A30" s="22" t="s">
        <v>498</v>
      </c>
      <c r="B30" s="23">
        <v>200</v>
      </c>
      <c r="C30" s="23">
        <v>25</v>
      </c>
      <c r="D30" s="24">
        <v>25</v>
      </c>
      <c r="E30" s="24" t="s">
        <v>469</v>
      </c>
      <c r="F30" s="24">
        <v>0</v>
      </c>
      <c r="G30" s="24">
        <f t="shared" si="0"/>
        <v>300</v>
      </c>
      <c r="H30" s="24">
        <f t="shared" si="1"/>
        <v>157</v>
      </c>
      <c r="I30" s="23">
        <f t="shared" si="2"/>
        <v>145</v>
      </c>
      <c r="J30" s="23">
        <f t="shared" si="3"/>
        <v>40</v>
      </c>
      <c r="K30" s="23">
        <v>1.125</v>
      </c>
      <c r="L30" s="23">
        <v>9</v>
      </c>
      <c r="M30" s="23">
        <v>20</v>
      </c>
      <c r="N30" s="23">
        <f t="shared" si="4"/>
        <v>9</v>
      </c>
      <c r="O30" s="23">
        <f t="shared" si="5"/>
        <v>20</v>
      </c>
      <c r="P30" s="23">
        <f t="shared" si="6"/>
        <v>40</v>
      </c>
      <c r="Q30" s="23">
        <f t="shared" si="7"/>
        <v>40</v>
      </c>
      <c r="R30" s="23">
        <f t="shared" si="8"/>
        <v>20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</row>
    <row r="31" spans="1:55" x14ac:dyDescent="0.25">
      <c r="A31" s="22" t="s">
        <v>499</v>
      </c>
      <c r="B31" s="23">
        <v>200</v>
      </c>
      <c r="C31" s="23">
        <v>28</v>
      </c>
      <c r="D31" s="24">
        <v>25</v>
      </c>
      <c r="E31" s="24" t="s">
        <v>469</v>
      </c>
      <c r="F31" s="24">
        <v>0</v>
      </c>
      <c r="G31" s="24">
        <f t="shared" si="0"/>
        <v>336</v>
      </c>
      <c r="H31" s="24">
        <f t="shared" si="1"/>
        <v>175</v>
      </c>
      <c r="I31" s="23">
        <f t="shared" si="2"/>
        <v>163</v>
      </c>
      <c r="J31" s="23">
        <f t="shared" si="3"/>
        <v>40</v>
      </c>
      <c r="K31" s="23">
        <v>1</v>
      </c>
      <c r="L31" s="23">
        <v>9</v>
      </c>
      <c r="M31" s="23">
        <v>28</v>
      </c>
      <c r="N31" s="23">
        <f t="shared" si="4"/>
        <v>6.4285714285714288</v>
      </c>
      <c r="O31" s="23">
        <f t="shared" si="5"/>
        <v>28</v>
      </c>
      <c r="P31" s="23">
        <f t="shared" si="6"/>
        <v>56</v>
      </c>
      <c r="Q31" s="23">
        <f t="shared" si="7"/>
        <v>56</v>
      </c>
      <c r="R31" s="23">
        <f t="shared" si="8"/>
        <v>28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</row>
    <row r="32" spans="1:55" x14ac:dyDescent="0.25">
      <c r="A32" s="22" t="s">
        <v>500</v>
      </c>
      <c r="B32" s="23">
        <v>200</v>
      </c>
      <c r="C32" s="23">
        <v>30</v>
      </c>
      <c r="D32" s="24">
        <v>30</v>
      </c>
      <c r="E32" s="24" t="s">
        <v>469</v>
      </c>
      <c r="F32" s="24">
        <v>0</v>
      </c>
      <c r="G32" s="24">
        <f t="shared" si="0"/>
        <v>360</v>
      </c>
      <c r="H32" s="24">
        <f t="shared" si="1"/>
        <v>187</v>
      </c>
      <c r="I32" s="23">
        <f t="shared" si="2"/>
        <v>175</v>
      </c>
      <c r="J32" s="23">
        <f t="shared" si="3"/>
        <v>40</v>
      </c>
      <c r="K32" s="23">
        <v>1.125</v>
      </c>
      <c r="L32" s="23">
        <v>9</v>
      </c>
      <c r="M32" s="23">
        <v>20</v>
      </c>
      <c r="N32" s="23">
        <f t="shared" si="4"/>
        <v>9</v>
      </c>
      <c r="O32" s="23">
        <f t="shared" si="5"/>
        <v>20</v>
      </c>
      <c r="P32" s="23">
        <f t="shared" si="6"/>
        <v>40</v>
      </c>
      <c r="Q32" s="23">
        <f t="shared" si="7"/>
        <v>40</v>
      </c>
      <c r="R32" s="23">
        <f t="shared" si="8"/>
        <v>20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</row>
    <row r="33" spans="1:55" x14ac:dyDescent="0.25">
      <c r="A33" s="22" t="s">
        <v>501</v>
      </c>
      <c r="B33" s="23">
        <v>200</v>
      </c>
      <c r="C33" s="23">
        <v>32</v>
      </c>
      <c r="D33" s="24">
        <v>30</v>
      </c>
      <c r="E33" s="24" t="s">
        <v>469</v>
      </c>
      <c r="F33" s="24">
        <v>0</v>
      </c>
      <c r="G33" s="24">
        <f t="shared" si="0"/>
        <v>384</v>
      </c>
      <c r="H33" s="24">
        <f t="shared" si="1"/>
        <v>199</v>
      </c>
      <c r="I33" s="23">
        <f t="shared" si="2"/>
        <v>187</v>
      </c>
      <c r="J33" s="23">
        <f t="shared" si="3"/>
        <v>30</v>
      </c>
      <c r="K33" s="23">
        <v>1</v>
      </c>
      <c r="L33" s="23">
        <v>12</v>
      </c>
      <c r="M33" s="23">
        <v>12</v>
      </c>
      <c r="N33" s="23">
        <f t="shared" si="4"/>
        <v>15</v>
      </c>
      <c r="O33" s="23">
        <f t="shared" si="5"/>
        <v>12</v>
      </c>
      <c r="P33" s="23">
        <f t="shared" si="6"/>
        <v>24</v>
      </c>
      <c r="Q33" s="23">
        <f t="shared" si="7"/>
        <v>24</v>
      </c>
      <c r="R33" s="23">
        <f t="shared" si="8"/>
        <v>12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</row>
    <row r="34" spans="1:55" x14ac:dyDescent="0.25">
      <c r="A34" s="22" t="s">
        <v>502</v>
      </c>
      <c r="B34" s="23">
        <v>250</v>
      </c>
      <c r="C34" s="23">
        <v>23</v>
      </c>
      <c r="D34" s="24">
        <v>22.333333333300001</v>
      </c>
      <c r="E34" s="24" t="s">
        <v>469</v>
      </c>
      <c r="F34" s="24">
        <v>0</v>
      </c>
      <c r="G34" s="24">
        <f t="shared" si="0"/>
        <v>276</v>
      </c>
      <c r="H34" s="24">
        <f t="shared" si="1"/>
        <v>145</v>
      </c>
      <c r="I34" s="23">
        <f t="shared" si="2"/>
        <v>133</v>
      </c>
      <c r="J34" s="23">
        <f t="shared" si="3"/>
        <v>45</v>
      </c>
      <c r="K34" s="23">
        <v>1.1875</v>
      </c>
      <c r="L34" s="23">
        <v>8</v>
      </c>
      <c r="M34" s="23">
        <v>16</v>
      </c>
      <c r="N34" s="23">
        <f t="shared" si="4"/>
        <v>11.25</v>
      </c>
      <c r="O34" s="23">
        <f t="shared" si="5"/>
        <v>16</v>
      </c>
      <c r="P34" s="23">
        <f t="shared" si="6"/>
        <v>32</v>
      </c>
      <c r="Q34" s="23">
        <f t="shared" si="7"/>
        <v>32</v>
      </c>
      <c r="R34" s="23">
        <f t="shared" si="8"/>
        <v>16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</row>
    <row r="35" spans="1:55" x14ac:dyDescent="0.25">
      <c r="A35" s="22" t="s">
        <v>503</v>
      </c>
      <c r="B35" s="23">
        <v>250</v>
      </c>
      <c r="C35" s="23">
        <v>25</v>
      </c>
      <c r="D35" s="24">
        <v>25</v>
      </c>
      <c r="E35" s="24" t="s">
        <v>469</v>
      </c>
      <c r="F35" s="24">
        <v>0</v>
      </c>
      <c r="G35" s="24">
        <f t="shared" ref="G35:G66" si="9">C35*12</f>
        <v>300</v>
      </c>
      <c r="H35" s="24">
        <f t="shared" ref="H35:H66" si="10">C35*12/2+7</f>
        <v>157</v>
      </c>
      <c r="I35" s="23">
        <f t="shared" ref="I35:I66" si="11">H35-12</f>
        <v>145</v>
      </c>
      <c r="J35" s="23">
        <f t="shared" ref="J35:J66" si="12">360/L35</f>
        <v>40</v>
      </c>
      <c r="K35" s="23">
        <v>1</v>
      </c>
      <c r="L35" s="23">
        <v>9</v>
      </c>
      <c r="M35" s="23">
        <v>12</v>
      </c>
      <c r="N35" s="23">
        <f t="shared" ref="N35:N66" si="13">360/M35/2</f>
        <v>15</v>
      </c>
      <c r="O35" s="23">
        <f t="shared" ref="O35:O66" si="14">M35</f>
        <v>12</v>
      </c>
      <c r="P35" s="23">
        <f t="shared" ref="P35:P66" si="15">O35*2</f>
        <v>24</v>
      </c>
      <c r="Q35" s="23">
        <f t="shared" ref="Q35:Q66" si="16">P35</f>
        <v>24</v>
      </c>
      <c r="R35" s="23">
        <f t="shared" ref="R35:R66" si="17">O35</f>
        <v>12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</row>
    <row r="36" spans="1:55" x14ac:dyDescent="0.25">
      <c r="A36" s="22" t="s">
        <v>503</v>
      </c>
      <c r="B36" s="23">
        <v>250</v>
      </c>
      <c r="C36" s="23">
        <v>25</v>
      </c>
      <c r="D36" s="24">
        <v>25</v>
      </c>
      <c r="E36" s="24" t="s">
        <v>469</v>
      </c>
      <c r="F36" s="24">
        <v>0</v>
      </c>
      <c r="G36" s="24">
        <f t="shared" si="9"/>
        <v>300</v>
      </c>
      <c r="H36" s="24">
        <f t="shared" si="10"/>
        <v>157</v>
      </c>
      <c r="I36" s="23">
        <f t="shared" si="11"/>
        <v>145</v>
      </c>
      <c r="J36" s="23">
        <f t="shared" si="12"/>
        <v>40</v>
      </c>
      <c r="K36" s="23">
        <v>1</v>
      </c>
      <c r="L36" s="23">
        <v>9</v>
      </c>
      <c r="M36" s="23">
        <v>12</v>
      </c>
      <c r="N36" s="23">
        <f t="shared" si="13"/>
        <v>15</v>
      </c>
      <c r="O36" s="23">
        <f t="shared" si="14"/>
        <v>12</v>
      </c>
      <c r="P36" s="23">
        <f t="shared" si="15"/>
        <v>24</v>
      </c>
      <c r="Q36" s="23">
        <f t="shared" si="16"/>
        <v>24</v>
      </c>
      <c r="R36" s="23">
        <f t="shared" si="17"/>
        <v>12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</row>
    <row r="37" spans="1:55" x14ac:dyDescent="0.25">
      <c r="A37" s="22" t="s">
        <v>505</v>
      </c>
      <c r="B37" s="23">
        <v>250</v>
      </c>
      <c r="C37" s="23">
        <v>28</v>
      </c>
      <c r="D37" s="24">
        <v>25</v>
      </c>
      <c r="E37" s="24" t="s">
        <v>469</v>
      </c>
      <c r="F37" s="24">
        <v>0</v>
      </c>
      <c r="G37" s="24">
        <f t="shared" si="9"/>
        <v>336</v>
      </c>
      <c r="H37" s="24">
        <f t="shared" si="10"/>
        <v>175</v>
      </c>
      <c r="I37" s="23">
        <f t="shared" si="11"/>
        <v>163</v>
      </c>
      <c r="J37" s="23">
        <f t="shared" si="12"/>
        <v>40</v>
      </c>
      <c r="K37" s="23">
        <v>1.125</v>
      </c>
      <c r="L37" s="23">
        <v>9</v>
      </c>
      <c r="M37" s="23">
        <v>16</v>
      </c>
      <c r="N37" s="23">
        <f t="shared" si="13"/>
        <v>11.25</v>
      </c>
      <c r="O37" s="23">
        <f t="shared" si="14"/>
        <v>16</v>
      </c>
      <c r="P37" s="23">
        <f t="shared" si="15"/>
        <v>32</v>
      </c>
      <c r="Q37" s="23">
        <f t="shared" si="16"/>
        <v>32</v>
      </c>
      <c r="R37" s="23">
        <f t="shared" si="17"/>
        <v>16</v>
      </c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</row>
    <row r="38" spans="1:55" x14ac:dyDescent="0.25">
      <c r="A38" s="22" t="s">
        <v>506</v>
      </c>
      <c r="B38" s="23">
        <v>250</v>
      </c>
      <c r="C38" s="23">
        <v>30</v>
      </c>
      <c r="D38" s="24">
        <v>25</v>
      </c>
      <c r="E38" s="24" t="s">
        <v>469</v>
      </c>
      <c r="F38" s="24">
        <v>0</v>
      </c>
      <c r="G38" s="24">
        <f t="shared" si="9"/>
        <v>360</v>
      </c>
      <c r="H38" s="24">
        <f t="shared" si="10"/>
        <v>187</v>
      </c>
      <c r="I38" s="23">
        <f t="shared" si="11"/>
        <v>175</v>
      </c>
      <c r="J38" s="23">
        <f t="shared" si="12"/>
        <v>30</v>
      </c>
      <c r="K38" s="23">
        <v>1.0625</v>
      </c>
      <c r="L38" s="23">
        <v>12</v>
      </c>
      <c r="M38" s="23">
        <v>20</v>
      </c>
      <c r="N38" s="23">
        <f t="shared" si="13"/>
        <v>9</v>
      </c>
      <c r="O38" s="23">
        <f t="shared" si="14"/>
        <v>20</v>
      </c>
      <c r="P38" s="23">
        <f t="shared" si="15"/>
        <v>40</v>
      </c>
      <c r="Q38" s="23">
        <f t="shared" si="16"/>
        <v>40</v>
      </c>
      <c r="R38" s="23">
        <f t="shared" si="17"/>
        <v>20</v>
      </c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x14ac:dyDescent="0.25">
      <c r="A39" s="22" t="s">
        <v>507</v>
      </c>
      <c r="B39" s="23">
        <v>250</v>
      </c>
      <c r="C39" s="23">
        <v>30</v>
      </c>
      <c r="D39" s="24">
        <v>30</v>
      </c>
      <c r="E39" s="24" t="s">
        <v>469</v>
      </c>
      <c r="F39" s="24">
        <v>0</v>
      </c>
      <c r="G39" s="24">
        <f t="shared" si="9"/>
        <v>360</v>
      </c>
      <c r="H39" s="24">
        <f t="shared" si="10"/>
        <v>187</v>
      </c>
      <c r="I39" s="23">
        <f t="shared" si="11"/>
        <v>175</v>
      </c>
      <c r="J39" s="23">
        <f t="shared" si="12"/>
        <v>30</v>
      </c>
      <c r="K39" s="23">
        <v>1.125</v>
      </c>
      <c r="L39" s="23">
        <v>12</v>
      </c>
      <c r="M39" s="23">
        <v>20</v>
      </c>
      <c r="N39" s="23">
        <f t="shared" si="13"/>
        <v>9</v>
      </c>
      <c r="O39" s="23">
        <f t="shared" si="14"/>
        <v>20</v>
      </c>
      <c r="P39" s="23">
        <f t="shared" si="15"/>
        <v>40</v>
      </c>
      <c r="Q39" s="23">
        <f t="shared" si="16"/>
        <v>40</v>
      </c>
      <c r="R39" s="23">
        <f t="shared" si="17"/>
        <v>20</v>
      </c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</row>
    <row r="40" spans="1:55" x14ac:dyDescent="0.25">
      <c r="A40" s="22" t="s">
        <v>508</v>
      </c>
      <c r="B40" s="23">
        <v>250</v>
      </c>
      <c r="C40" s="23">
        <v>32</v>
      </c>
      <c r="D40" s="24">
        <v>25</v>
      </c>
      <c r="E40" s="24" t="s">
        <v>469</v>
      </c>
      <c r="F40" s="24">
        <v>0</v>
      </c>
      <c r="G40" s="24">
        <f t="shared" si="9"/>
        <v>384</v>
      </c>
      <c r="H40" s="24">
        <f t="shared" si="10"/>
        <v>199</v>
      </c>
      <c r="I40" s="23">
        <f t="shared" si="11"/>
        <v>187</v>
      </c>
      <c r="J40" s="23">
        <f t="shared" si="12"/>
        <v>30</v>
      </c>
      <c r="K40" s="23">
        <v>1.0625</v>
      </c>
      <c r="L40" s="23">
        <v>12</v>
      </c>
      <c r="M40" s="23">
        <v>20</v>
      </c>
      <c r="N40" s="23">
        <f t="shared" si="13"/>
        <v>9</v>
      </c>
      <c r="O40" s="23">
        <f t="shared" si="14"/>
        <v>20</v>
      </c>
      <c r="P40" s="23">
        <f t="shared" si="15"/>
        <v>40</v>
      </c>
      <c r="Q40" s="23">
        <f t="shared" si="16"/>
        <v>40</v>
      </c>
      <c r="R40" s="23">
        <f t="shared" si="17"/>
        <v>20</v>
      </c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</row>
    <row r="41" spans="1:55" x14ac:dyDescent="0.25">
      <c r="A41" s="22" t="s">
        <v>509</v>
      </c>
      <c r="B41" s="23">
        <v>250</v>
      </c>
      <c r="C41" s="23">
        <v>34</v>
      </c>
      <c r="D41" s="24">
        <v>30</v>
      </c>
      <c r="E41" s="24" t="s">
        <v>469</v>
      </c>
      <c r="F41" s="24">
        <v>0</v>
      </c>
      <c r="G41" s="24">
        <f t="shared" si="9"/>
        <v>408</v>
      </c>
      <c r="H41" s="24">
        <f t="shared" si="10"/>
        <v>211</v>
      </c>
      <c r="I41" s="23">
        <f t="shared" si="11"/>
        <v>199</v>
      </c>
      <c r="J41" s="23">
        <f t="shared" si="12"/>
        <v>30</v>
      </c>
      <c r="K41" s="23">
        <v>1</v>
      </c>
      <c r="L41" s="23">
        <v>12</v>
      </c>
      <c r="M41" s="23">
        <v>28</v>
      </c>
      <c r="N41" s="23">
        <f t="shared" si="13"/>
        <v>6.4285714285714288</v>
      </c>
      <c r="O41" s="23">
        <f t="shared" si="14"/>
        <v>28</v>
      </c>
      <c r="P41" s="23">
        <f t="shared" si="15"/>
        <v>56</v>
      </c>
      <c r="Q41" s="23">
        <f t="shared" si="16"/>
        <v>56</v>
      </c>
      <c r="R41" s="23">
        <f t="shared" si="17"/>
        <v>28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</row>
    <row r="42" spans="1:55" x14ac:dyDescent="0.25">
      <c r="A42" s="22" t="s">
        <v>510</v>
      </c>
      <c r="B42" s="23">
        <v>250</v>
      </c>
      <c r="C42" s="23">
        <v>40</v>
      </c>
      <c r="D42" s="24">
        <v>30</v>
      </c>
      <c r="E42" s="24" t="s">
        <v>469</v>
      </c>
      <c r="F42" s="24">
        <v>0</v>
      </c>
      <c r="G42" s="24">
        <f t="shared" si="9"/>
        <v>480</v>
      </c>
      <c r="H42" s="24">
        <f t="shared" si="10"/>
        <v>247</v>
      </c>
      <c r="I42" s="23">
        <f t="shared" si="11"/>
        <v>235</v>
      </c>
      <c r="J42" s="23">
        <f t="shared" si="12"/>
        <v>25.714285714285715</v>
      </c>
      <c r="K42" s="23">
        <v>1</v>
      </c>
      <c r="L42" s="23">
        <v>14</v>
      </c>
      <c r="M42" s="23">
        <v>16</v>
      </c>
      <c r="N42" s="23">
        <f t="shared" si="13"/>
        <v>11.25</v>
      </c>
      <c r="O42" s="23">
        <f t="shared" si="14"/>
        <v>16</v>
      </c>
      <c r="P42" s="23">
        <f t="shared" si="15"/>
        <v>32</v>
      </c>
      <c r="Q42" s="23">
        <f t="shared" si="16"/>
        <v>32</v>
      </c>
      <c r="R42" s="23">
        <f t="shared" si="17"/>
        <v>16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</row>
    <row r="43" spans="1:55" x14ac:dyDescent="0.25">
      <c r="A43" s="22" t="s">
        <v>511</v>
      </c>
      <c r="B43" s="23">
        <v>300</v>
      </c>
      <c r="C43" s="23">
        <v>21</v>
      </c>
      <c r="D43" s="24">
        <v>22.333333333300001</v>
      </c>
      <c r="E43" s="24" t="s">
        <v>469</v>
      </c>
      <c r="F43" s="24">
        <v>0</v>
      </c>
      <c r="G43" s="24">
        <f t="shared" si="9"/>
        <v>252</v>
      </c>
      <c r="H43" s="24">
        <f t="shared" si="10"/>
        <v>133</v>
      </c>
      <c r="I43" s="23">
        <f t="shared" si="11"/>
        <v>121</v>
      </c>
      <c r="J43" s="23">
        <f t="shared" si="12"/>
        <v>45</v>
      </c>
      <c r="K43" s="23">
        <v>1.4375</v>
      </c>
      <c r="L43" s="23">
        <v>8</v>
      </c>
      <c r="M43" s="23">
        <v>30</v>
      </c>
      <c r="N43" s="23">
        <f t="shared" si="13"/>
        <v>6</v>
      </c>
      <c r="O43" s="23">
        <f t="shared" si="14"/>
        <v>30</v>
      </c>
      <c r="P43" s="23">
        <f t="shared" si="15"/>
        <v>60</v>
      </c>
      <c r="Q43" s="23">
        <f t="shared" si="16"/>
        <v>60</v>
      </c>
      <c r="R43" s="23">
        <f t="shared" si="17"/>
        <v>30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</row>
    <row r="44" spans="1:55" x14ac:dyDescent="0.25">
      <c r="A44" s="22" t="s">
        <v>513</v>
      </c>
      <c r="B44" s="23">
        <v>300</v>
      </c>
      <c r="C44" s="23">
        <v>23</v>
      </c>
      <c r="D44" s="24">
        <v>22.333333333300001</v>
      </c>
      <c r="E44" s="24" t="s">
        <v>469</v>
      </c>
      <c r="F44" s="24">
        <v>0</v>
      </c>
      <c r="G44" s="24">
        <f t="shared" si="9"/>
        <v>276</v>
      </c>
      <c r="H44" s="24">
        <f t="shared" si="10"/>
        <v>145</v>
      </c>
      <c r="I44" s="23">
        <f t="shared" si="11"/>
        <v>133</v>
      </c>
      <c r="J44" s="23">
        <f t="shared" si="12"/>
        <v>45</v>
      </c>
      <c r="K44" s="23">
        <v>1.125</v>
      </c>
      <c r="L44" s="23">
        <v>8</v>
      </c>
      <c r="M44" s="23">
        <v>16</v>
      </c>
      <c r="N44" s="23">
        <f t="shared" si="13"/>
        <v>11.25</v>
      </c>
      <c r="O44" s="23">
        <f t="shared" si="14"/>
        <v>16</v>
      </c>
      <c r="P44" s="23">
        <f t="shared" si="15"/>
        <v>32</v>
      </c>
      <c r="Q44" s="23">
        <f t="shared" si="16"/>
        <v>32</v>
      </c>
      <c r="R44" s="23">
        <f t="shared" si="17"/>
        <v>16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</row>
    <row r="45" spans="1:55" x14ac:dyDescent="0.25">
      <c r="A45" s="22" t="s">
        <v>514</v>
      </c>
      <c r="B45" s="23">
        <v>300</v>
      </c>
      <c r="C45" s="23">
        <v>25</v>
      </c>
      <c r="D45" s="24">
        <v>25</v>
      </c>
      <c r="E45" s="24" t="s">
        <v>469</v>
      </c>
      <c r="F45" s="24">
        <v>0</v>
      </c>
      <c r="G45" s="24">
        <f t="shared" si="9"/>
        <v>300</v>
      </c>
      <c r="H45" s="24">
        <f t="shared" si="10"/>
        <v>157</v>
      </c>
      <c r="I45" s="23">
        <f t="shared" si="11"/>
        <v>145</v>
      </c>
      <c r="J45" s="23">
        <f t="shared" si="12"/>
        <v>40</v>
      </c>
      <c r="K45" s="23">
        <v>1.25</v>
      </c>
      <c r="L45" s="23">
        <v>9</v>
      </c>
      <c r="M45" s="23">
        <v>20</v>
      </c>
      <c r="N45" s="23">
        <f t="shared" si="13"/>
        <v>9</v>
      </c>
      <c r="O45" s="23">
        <f t="shared" si="14"/>
        <v>20</v>
      </c>
      <c r="P45" s="23">
        <f t="shared" si="15"/>
        <v>40</v>
      </c>
      <c r="Q45" s="23">
        <f t="shared" si="16"/>
        <v>40</v>
      </c>
      <c r="R45" s="23">
        <f t="shared" si="17"/>
        <v>20</v>
      </c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</row>
    <row r="46" spans="1:55" x14ac:dyDescent="0.25">
      <c r="A46" s="22" t="s">
        <v>516</v>
      </c>
      <c r="B46" s="23">
        <v>300</v>
      </c>
      <c r="C46" s="23">
        <v>28</v>
      </c>
      <c r="D46" s="24">
        <v>25</v>
      </c>
      <c r="E46" s="24" t="s">
        <v>469</v>
      </c>
      <c r="F46" s="24">
        <v>0</v>
      </c>
      <c r="G46" s="24">
        <f t="shared" si="9"/>
        <v>336</v>
      </c>
      <c r="H46" s="24">
        <f t="shared" si="10"/>
        <v>175</v>
      </c>
      <c r="I46" s="23">
        <f t="shared" si="11"/>
        <v>163</v>
      </c>
      <c r="J46" s="23">
        <f t="shared" si="12"/>
        <v>40</v>
      </c>
      <c r="K46" s="23">
        <v>1.1875</v>
      </c>
      <c r="L46" s="23">
        <v>9</v>
      </c>
      <c r="M46" s="23">
        <v>16</v>
      </c>
      <c r="N46" s="23">
        <f t="shared" si="13"/>
        <v>11.25</v>
      </c>
      <c r="O46" s="23">
        <f t="shared" si="14"/>
        <v>16</v>
      </c>
      <c r="P46" s="23">
        <f t="shared" si="15"/>
        <v>32</v>
      </c>
      <c r="Q46" s="23">
        <f t="shared" si="16"/>
        <v>32</v>
      </c>
      <c r="R46" s="23">
        <f t="shared" si="17"/>
        <v>16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</row>
    <row r="47" spans="1:55" x14ac:dyDescent="0.25">
      <c r="A47" s="22" t="s">
        <v>516</v>
      </c>
      <c r="B47" s="23">
        <v>300</v>
      </c>
      <c r="C47" s="23">
        <v>28</v>
      </c>
      <c r="D47" s="24">
        <v>25</v>
      </c>
      <c r="E47" s="24" t="s">
        <v>469</v>
      </c>
      <c r="F47" s="24">
        <v>0</v>
      </c>
      <c r="G47" s="24">
        <f t="shared" si="9"/>
        <v>336</v>
      </c>
      <c r="H47" s="24">
        <f t="shared" si="10"/>
        <v>175</v>
      </c>
      <c r="I47" s="23">
        <f t="shared" si="11"/>
        <v>163</v>
      </c>
      <c r="J47" s="23">
        <f t="shared" si="12"/>
        <v>40</v>
      </c>
      <c r="K47" s="23">
        <v>1.1875</v>
      </c>
      <c r="L47" s="23">
        <v>9</v>
      </c>
      <c r="M47" s="23">
        <v>16</v>
      </c>
      <c r="N47" s="23">
        <f t="shared" si="13"/>
        <v>11.25</v>
      </c>
      <c r="O47" s="23">
        <f t="shared" si="14"/>
        <v>16</v>
      </c>
      <c r="P47" s="23">
        <f t="shared" si="15"/>
        <v>32</v>
      </c>
      <c r="Q47" s="23">
        <f t="shared" si="16"/>
        <v>32</v>
      </c>
      <c r="R47" s="23">
        <f t="shared" si="17"/>
        <v>16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</row>
    <row r="48" spans="1:55" x14ac:dyDescent="0.25">
      <c r="A48" s="22" t="s">
        <v>517</v>
      </c>
      <c r="B48" s="23">
        <v>300</v>
      </c>
      <c r="C48" s="23">
        <v>30</v>
      </c>
      <c r="D48" s="24">
        <v>30</v>
      </c>
      <c r="E48" s="24" t="s">
        <v>469</v>
      </c>
      <c r="F48" s="24">
        <v>0</v>
      </c>
      <c r="G48" s="24">
        <f t="shared" si="9"/>
        <v>360</v>
      </c>
      <c r="H48" s="24">
        <f t="shared" si="10"/>
        <v>187</v>
      </c>
      <c r="I48" s="23">
        <f t="shared" si="11"/>
        <v>175</v>
      </c>
      <c r="J48" s="23">
        <f t="shared" si="12"/>
        <v>30</v>
      </c>
      <c r="K48" s="23">
        <v>1.1875</v>
      </c>
      <c r="L48" s="23">
        <v>12</v>
      </c>
      <c r="M48" s="23">
        <v>24</v>
      </c>
      <c r="N48" s="23">
        <f t="shared" si="13"/>
        <v>7.5</v>
      </c>
      <c r="O48" s="23">
        <f t="shared" si="14"/>
        <v>24</v>
      </c>
      <c r="P48" s="23">
        <f t="shared" si="15"/>
        <v>48</v>
      </c>
      <c r="Q48" s="23">
        <f t="shared" si="16"/>
        <v>48</v>
      </c>
      <c r="R48" s="23">
        <f t="shared" si="17"/>
        <v>24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</row>
    <row r="49" spans="1:998 1046:2043 2091:3033 3081:4078 4126:6113 6161:7158 7206:8148 8196:9193 9241:10238 10286:11228 11276:12273 12321:13311 13314:14308 14356:15353 15401:16343" x14ac:dyDescent="0.25">
      <c r="A49" s="22" t="s">
        <v>518</v>
      </c>
      <c r="B49" s="23">
        <v>300</v>
      </c>
      <c r="C49" s="23">
        <v>32</v>
      </c>
      <c r="D49" s="24">
        <v>25</v>
      </c>
      <c r="E49" s="24" t="s">
        <v>469</v>
      </c>
      <c r="F49" s="24">
        <v>0</v>
      </c>
      <c r="G49" s="24">
        <f t="shared" si="9"/>
        <v>384</v>
      </c>
      <c r="H49" s="24">
        <f t="shared" si="10"/>
        <v>199</v>
      </c>
      <c r="I49" s="23">
        <f t="shared" si="11"/>
        <v>187</v>
      </c>
      <c r="J49" s="23">
        <f t="shared" si="12"/>
        <v>30</v>
      </c>
      <c r="K49" s="23">
        <v>2</v>
      </c>
      <c r="L49" s="23">
        <v>12</v>
      </c>
      <c r="M49" s="23">
        <v>24</v>
      </c>
      <c r="N49" s="23">
        <f t="shared" si="13"/>
        <v>7.5</v>
      </c>
      <c r="O49" s="23">
        <f t="shared" si="14"/>
        <v>24</v>
      </c>
      <c r="P49" s="23">
        <f t="shared" si="15"/>
        <v>48</v>
      </c>
      <c r="Q49" s="23">
        <f t="shared" si="16"/>
        <v>48</v>
      </c>
      <c r="R49" s="23">
        <f t="shared" si="17"/>
        <v>24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</row>
    <row r="50" spans="1:998 1046:2043 2091:3033 3081:4078 4126:6113 6161:7158 7206:8148 8196:9193 9241:10238 10286:11228 11276:12273 12321:13311 13314:14308 14356:15353 15401:16343" x14ac:dyDescent="0.25">
      <c r="A50" s="22" t="s">
        <v>519</v>
      </c>
      <c r="B50" s="23">
        <v>300</v>
      </c>
      <c r="C50" s="23">
        <v>32</v>
      </c>
      <c r="D50" s="24">
        <v>30</v>
      </c>
      <c r="E50" s="24" t="s">
        <v>469</v>
      </c>
      <c r="F50" s="24">
        <v>0</v>
      </c>
      <c r="G50" s="24">
        <f t="shared" si="9"/>
        <v>384</v>
      </c>
      <c r="H50" s="24">
        <f t="shared" si="10"/>
        <v>199</v>
      </c>
      <c r="I50" s="23">
        <f t="shared" si="11"/>
        <v>187</v>
      </c>
      <c r="J50" s="23">
        <f t="shared" si="12"/>
        <v>30</v>
      </c>
      <c r="K50" s="23">
        <v>1.375</v>
      </c>
      <c r="L50" s="23">
        <v>12</v>
      </c>
      <c r="M50" s="23">
        <v>24</v>
      </c>
      <c r="N50" s="23">
        <f t="shared" si="13"/>
        <v>7.5</v>
      </c>
      <c r="O50" s="23">
        <f t="shared" si="14"/>
        <v>24</v>
      </c>
      <c r="P50" s="23">
        <f t="shared" si="15"/>
        <v>48</v>
      </c>
      <c r="Q50" s="23">
        <f t="shared" si="16"/>
        <v>48</v>
      </c>
      <c r="R50" s="23">
        <f t="shared" si="17"/>
        <v>24</v>
      </c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</row>
    <row r="51" spans="1:998 1046:2043 2091:3033 3081:4078 4126:6113 6161:7158 7206:8148 8196:9193 9241:10238 10286:11228 11276:12273 12321:13311 13314:14308 14356:15353 15401:16343" x14ac:dyDescent="0.25">
      <c r="A51" s="22" t="s">
        <v>520</v>
      </c>
      <c r="B51" s="23">
        <v>300</v>
      </c>
      <c r="C51" s="23">
        <v>34</v>
      </c>
      <c r="D51" s="24">
        <v>30</v>
      </c>
      <c r="E51" s="24" t="s">
        <v>469</v>
      </c>
      <c r="F51" s="24">
        <v>0</v>
      </c>
      <c r="G51" s="24">
        <f t="shared" si="9"/>
        <v>408</v>
      </c>
      <c r="H51" s="24">
        <f t="shared" si="10"/>
        <v>211</v>
      </c>
      <c r="I51" s="23">
        <f t="shared" si="11"/>
        <v>199</v>
      </c>
      <c r="J51" s="23">
        <f t="shared" si="12"/>
        <v>30</v>
      </c>
      <c r="K51" s="23">
        <v>1.125</v>
      </c>
      <c r="L51" s="23">
        <v>12</v>
      </c>
      <c r="M51" s="23">
        <v>28</v>
      </c>
      <c r="N51" s="23">
        <f t="shared" si="13"/>
        <v>6.4285714285714288</v>
      </c>
      <c r="O51" s="23">
        <f t="shared" si="14"/>
        <v>28</v>
      </c>
      <c r="P51" s="23">
        <f t="shared" si="15"/>
        <v>56</v>
      </c>
      <c r="Q51" s="23">
        <f t="shared" si="16"/>
        <v>56</v>
      </c>
      <c r="R51" s="23">
        <f t="shared" si="17"/>
        <v>28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</row>
    <row r="52" spans="1:998 1046:2043 2091:3033 3081:4078 4126:6113 6161:7158 7206:8148 8196:9193 9241:10238 10286:11228 11276:12273 12321:13311 13314:14308 14356:15353 15401:16343" x14ac:dyDescent="0.25">
      <c r="A52" s="22" t="s">
        <v>521</v>
      </c>
      <c r="B52" s="23">
        <v>300</v>
      </c>
      <c r="C52" s="23">
        <v>38</v>
      </c>
      <c r="D52" s="24">
        <v>30</v>
      </c>
      <c r="E52" s="24" t="s">
        <v>469</v>
      </c>
      <c r="F52" s="24">
        <v>0</v>
      </c>
      <c r="G52" s="24">
        <f t="shared" si="9"/>
        <v>456</v>
      </c>
      <c r="H52" s="24">
        <f t="shared" si="10"/>
        <v>235</v>
      </c>
      <c r="I52" s="23">
        <f t="shared" si="11"/>
        <v>223</v>
      </c>
      <c r="J52" s="23">
        <f t="shared" si="12"/>
        <v>22.5</v>
      </c>
      <c r="K52" s="23">
        <v>1.0625</v>
      </c>
      <c r="L52" s="23">
        <v>16</v>
      </c>
      <c r="M52" s="23">
        <v>28</v>
      </c>
      <c r="N52" s="23">
        <f t="shared" si="13"/>
        <v>6.4285714285714288</v>
      </c>
      <c r="O52" s="23">
        <f t="shared" si="14"/>
        <v>28</v>
      </c>
      <c r="P52" s="23">
        <f t="shared" si="15"/>
        <v>56</v>
      </c>
      <c r="Q52" s="23">
        <f t="shared" si="16"/>
        <v>56</v>
      </c>
      <c r="R52" s="23">
        <f t="shared" si="17"/>
        <v>28</v>
      </c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</row>
    <row r="53" spans="1:998 1046:2043 2091:3033 3081:4078 4126:6113 6161:7158 7206:8148 8196:9193 9241:10238 10286:11228 11276:12273 12321:13311 13314:14308 14356:15353 15401:16343" x14ac:dyDescent="0.25">
      <c r="A53" s="22" t="s">
        <v>522</v>
      </c>
      <c r="B53" s="23">
        <v>325</v>
      </c>
      <c r="C53" s="23">
        <v>25</v>
      </c>
      <c r="D53" s="24">
        <v>25</v>
      </c>
      <c r="E53" s="24" t="s">
        <v>469</v>
      </c>
      <c r="F53" s="24">
        <v>0</v>
      </c>
      <c r="G53" s="24">
        <f t="shared" si="9"/>
        <v>300</v>
      </c>
      <c r="H53" s="24">
        <f t="shared" si="10"/>
        <v>157</v>
      </c>
      <c r="I53" s="23">
        <f t="shared" si="11"/>
        <v>145</v>
      </c>
      <c r="J53" s="23">
        <f t="shared" si="12"/>
        <v>40</v>
      </c>
      <c r="K53" s="23">
        <v>1.5</v>
      </c>
      <c r="L53" s="23">
        <v>9</v>
      </c>
      <c r="M53" s="23">
        <v>28</v>
      </c>
      <c r="N53" s="23">
        <f t="shared" si="13"/>
        <v>6.4285714285714288</v>
      </c>
      <c r="O53" s="23">
        <f t="shared" si="14"/>
        <v>28</v>
      </c>
      <c r="P53" s="23">
        <f t="shared" si="15"/>
        <v>56</v>
      </c>
      <c r="Q53" s="23">
        <f t="shared" si="16"/>
        <v>56</v>
      </c>
      <c r="R53" s="23">
        <f t="shared" si="17"/>
        <v>28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</row>
    <row r="54" spans="1:998 1046:2043 2091:3033 3081:4078 4126:6113 6161:7158 7206:8148 8196:9193 9241:10238 10286:11228 11276:12273 12321:13311 13314:14308 14356:15353 15401:16343" x14ac:dyDescent="0.25">
      <c r="A54" s="22" t="s">
        <v>524</v>
      </c>
      <c r="B54" s="23">
        <v>400</v>
      </c>
      <c r="C54" s="23">
        <v>25</v>
      </c>
      <c r="D54" s="24">
        <v>25</v>
      </c>
      <c r="E54" s="24" t="s">
        <v>469</v>
      </c>
      <c r="F54" s="24">
        <v>0</v>
      </c>
      <c r="G54" s="24">
        <f t="shared" si="9"/>
        <v>300</v>
      </c>
      <c r="H54" s="24">
        <f t="shared" si="10"/>
        <v>157</v>
      </c>
      <c r="I54" s="23">
        <f t="shared" si="11"/>
        <v>145</v>
      </c>
      <c r="J54" s="23">
        <f t="shared" si="12"/>
        <v>40</v>
      </c>
      <c r="K54" s="23">
        <v>1.5</v>
      </c>
      <c r="L54" s="23">
        <v>9</v>
      </c>
      <c r="M54" s="23">
        <v>20</v>
      </c>
      <c r="N54" s="23">
        <f t="shared" si="13"/>
        <v>9</v>
      </c>
      <c r="O54" s="23">
        <f t="shared" si="14"/>
        <v>20</v>
      </c>
      <c r="P54" s="23">
        <f t="shared" si="15"/>
        <v>40</v>
      </c>
      <c r="Q54" s="23">
        <f t="shared" si="16"/>
        <v>40</v>
      </c>
      <c r="R54" s="23">
        <f t="shared" si="17"/>
        <v>20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</row>
    <row r="55" spans="1:998 1046:2043 2091:3033 3081:4078 4126:6113 6161:7158 7206:8148 8196:9193 9241:10238 10286:11228 11276:12273 12321:13311 13314:14308 14356:15353 15401:16343" x14ac:dyDescent="0.25">
      <c r="A55" s="22" t="s">
        <v>526</v>
      </c>
      <c r="B55" s="23">
        <v>400</v>
      </c>
      <c r="C55" s="23">
        <v>28</v>
      </c>
      <c r="D55" s="24">
        <v>25</v>
      </c>
      <c r="E55" s="24" t="s">
        <v>469</v>
      </c>
      <c r="F55" s="24">
        <v>0</v>
      </c>
      <c r="G55" s="24">
        <f t="shared" si="9"/>
        <v>336</v>
      </c>
      <c r="H55" s="24">
        <f t="shared" si="10"/>
        <v>175</v>
      </c>
      <c r="I55" s="23">
        <f t="shared" si="11"/>
        <v>163</v>
      </c>
      <c r="J55" s="23">
        <f t="shared" si="12"/>
        <v>40</v>
      </c>
      <c r="K55" s="23">
        <v>1.375</v>
      </c>
      <c r="L55" s="23">
        <v>9</v>
      </c>
      <c r="M55" s="23">
        <v>24</v>
      </c>
      <c r="N55" s="23">
        <f t="shared" si="13"/>
        <v>7.5</v>
      </c>
      <c r="O55" s="23">
        <f t="shared" si="14"/>
        <v>24</v>
      </c>
      <c r="P55" s="23">
        <f t="shared" si="15"/>
        <v>48</v>
      </c>
      <c r="Q55" s="23">
        <f t="shared" si="16"/>
        <v>48</v>
      </c>
      <c r="R55" s="23">
        <f t="shared" si="17"/>
        <v>24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</row>
    <row r="56" spans="1:998 1046:2043 2091:3033 3081:4078 4126:6113 6161:7158 7206:8148 8196:9193 9241:10238 10286:11228 11276:12273 12321:13311 13314:14308 14356:15353 15401:16343" x14ac:dyDescent="0.25">
      <c r="A56" s="22" t="s">
        <v>527</v>
      </c>
      <c r="B56" s="23">
        <v>400</v>
      </c>
      <c r="C56" s="23">
        <v>30</v>
      </c>
      <c r="D56" s="24">
        <v>30</v>
      </c>
      <c r="E56" s="24" t="s">
        <v>469</v>
      </c>
      <c r="F56" s="24">
        <v>0</v>
      </c>
      <c r="G56" s="24">
        <f t="shared" si="9"/>
        <v>360</v>
      </c>
      <c r="H56" s="24">
        <f t="shared" si="10"/>
        <v>187</v>
      </c>
      <c r="I56" s="23">
        <f t="shared" si="11"/>
        <v>175</v>
      </c>
      <c r="J56" s="23">
        <f t="shared" si="12"/>
        <v>30</v>
      </c>
      <c r="K56" s="23">
        <v>1.3125</v>
      </c>
      <c r="L56" s="23">
        <v>12</v>
      </c>
      <c r="M56" s="23">
        <v>20</v>
      </c>
      <c r="N56" s="23">
        <f t="shared" si="13"/>
        <v>9</v>
      </c>
      <c r="O56" s="23">
        <f t="shared" si="14"/>
        <v>20</v>
      </c>
      <c r="P56" s="23">
        <f t="shared" si="15"/>
        <v>40</v>
      </c>
      <c r="Q56" s="23">
        <f t="shared" si="16"/>
        <v>40</v>
      </c>
      <c r="R56" s="23">
        <f t="shared" si="17"/>
        <v>20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</row>
    <row r="57" spans="1:998 1046:2043 2091:3033 3081:4078 4126:6113 6161:7158 7206:8148 8196:9193 9241:10238 10286:11228 11276:12273 12321:13311 13314:14308 14356:15353 15401:16343" x14ac:dyDescent="0.25">
      <c r="A57" s="22" t="s">
        <v>527</v>
      </c>
      <c r="B57" s="23">
        <v>400</v>
      </c>
      <c r="C57" s="23">
        <v>30</v>
      </c>
      <c r="D57" s="24">
        <v>30</v>
      </c>
      <c r="E57" s="24" t="s">
        <v>469</v>
      </c>
      <c r="F57" s="24">
        <v>0</v>
      </c>
      <c r="G57" s="24">
        <f t="shared" si="9"/>
        <v>360</v>
      </c>
      <c r="H57" s="24">
        <f t="shared" si="10"/>
        <v>187</v>
      </c>
      <c r="I57" s="23">
        <f t="shared" si="11"/>
        <v>175</v>
      </c>
      <c r="J57" s="23">
        <f t="shared" si="12"/>
        <v>30</v>
      </c>
      <c r="K57" s="23">
        <v>1.3125</v>
      </c>
      <c r="L57" s="23">
        <v>12</v>
      </c>
      <c r="M57" s="23">
        <v>20</v>
      </c>
      <c r="N57" s="23">
        <f t="shared" si="13"/>
        <v>9</v>
      </c>
      <c r="O57" s="23">
        <f t="shared" si="14"/>
        <v>20</v>
      </c>
      <c r="P57" s="23">
        <f t="shared" si="15"/>
        <v>40</v>
      </c>
      <c r="Q57" s="23">
        <f t="shared" si="16"/>
        <v>40</v>
      </c>
      <c r="R57" s="23">
        <f t="shared" si="17"/>
        <v>20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</row>
    <row r="58" spans="1:998 1046:2043 2091:3033 3081:4078 4126:6113 6161:7158 7206:8148 8196:9193 9241:10238 10286:11228 11276:12273 12321:13311 13314:14308 14356:15353 15401:16343" x14ac:dyDescent="0.25">
      <c r="A58" s="22" t="s">
        <v>529</v>
      </c>
      <c r="B58" s="23">
        <v>400</v>
      </c>
      <c r="C58" s="23">
        <v>32</v>
      </c>
      <c r="D58" s="24">
        <v>25</v>
      </c>
      <c r="E58" s="24" t="s">
        <v>469</v>
      </c>
      <c r="F58" s="24">
        <v>0</v>
      </c>
      <c r="G58" s="24">
        <f t="shared" si="9"/>
        <v>384</v>
      </c>
      <c r="H58" s="24">
        <f t="shared" si="10"/>
        <v>199</v>
      </c>
      <c r="I58" s="23">
        <f t="shared" si="11"/>
        <v>187</v>
      </c>
      <c r="J58" s="23">
        <f t="shared" si="12"/>
        <v>30</v>
      </c>
      <c r="K58" s="23">
        <v>1.6875</v>
      </c>
      <c r="L58" s="23">
        <v>12</v>
      </c>
      <c r="M58" s="23">
        <v>36</v>
      </c>
      <c r="N58" s="23">
        <f t="shared" si="13"/>
        <v>5</v>
      </c>
      <c r="O58" s="23">
        <f t="shared" si="14"/>
        <v>36</v>
      </c>
      <c r="P58" s="23">
        <f t="shared" si="15"/>
        <v>72</v>
      </c>
      <c r="Q58" s="23">
        <f t="shared" si="16"/>
        <v>72</v>
      </c>
      <c r="R58" s="23">
        <f t="shared" si="17"/>
        <v>36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</row>
    <row r="59" spans="1:998 1046:2043 2091:3033 3081:4078 4126:6113 6161:7158 7206:8148 8196:9193 9241:10238 10286:11228 11276:12273 12321:13311 13314:14308 14356:15353 15401:16343" x14ac:dyDescent="0.25">
      <c r="A59" s="22" t="s">
        <v>530</v>
      </c>
      <c r="B59" s="23">
        <v>400</v>
      </c>
      <c r="C59" s="23">
        <v>32</v>
      </c>
      <c r="D59" s="24">
        <v>30</v>
      </c>
      <c r="E59" s="24" t="s">
        <v>469</v>
      </c>
      <c r="F59" s="24">
        <v>0</v>
      </c>
      <c r="G59" s="24">
        <f t="shared" si="9"/>
        <v>384</v>
      </c>
      <c r="H59" s="24">
        <f t="shared" si="10"/>
        <v>199</v>
      </c>
      <c r="I59" s="23">
        <f t="shared" si="11"/>
        <v>187</v>
      </c>
      <c r="J59" s="23">
        <f t="shared" si="12"/>
        <v>30</v>
      </c>
      <c r="K59" s="23">
        <v>1.3125</v>
      </c>
      <c r="L59" s="23">
        <v>12</v>
      </c>
      <c r="M59" s="23">
        <v>36</v>
      </c>
      <c r="N59" s="23">
        <f t="shared" si="13"/>
        <v>5</v>
      </c>
      <c r="O59" s="23">
        <f t="shared" si="14"/>
        <v>36</v>
      </c>
      <c r="P59" s="23">
        <f t="shared" si="15"/>
        <v>72</v>
      </c>
      <c r="Q59" s="23">
        <f t="shared" si="16"/>
        <v>72</v>
      </c>
      <c r="R59" s="23">
        <f t="shared" si="17"/>
        <v>36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</row>
    <row r="60" spans="1:998 1046:2043 2091:3033 3081:4078 4126:6113 6161:7158 7206:8148 8196:9193 9241:10238 10286:11228 11276:12273 12321:13311 13314:14308 14356:15353 15401:16343" x14ac:dyDescent="0.25">
      <c r="A60" s="22" t="s">
        <v>531</v>
      </c>
      <c r="B60" s="23">
        <v>400</v>
      </c>
      <c r="C60" s="23">
        <v>40</v>
      </c>
      <c r="D60" s="24">
        <v>30</v>
      </c>
      <c r="E60" s="24" t="s">
        <v>469</v>
      </c>
      <c r="F60" s="24">
        <v>0</v>
      </c>
      <c r="G60" s="24">
        <f t="shared" si="9"/>
        <v>480</v>
      </c>
      <c r="H60" s="24">
        <f t="shared" si="10"/>
        <v>247</v>
      </c>
      <c r="I60" s="23">
        <f t="shared" si="11"/>
        <v>235</v>
      </c>
      <c r="J60" s="23">
        <f t="shared" si="12"/>
        <v>25.714285714285715</v>
      </c>
      <c r="K60" s="23">
        <v>1.5625</v>
      </c>
      <c r="L60" s="23">
        <v>14</v>
      </c>
      <c r="M60" s="23">
        <v>20</v>
      </c>
      <c r="N60" s="23">
        <f t="shared" si="13"/>
        <v>9</v>
      </c>
      <c r="O60" s="23">
        <f t="shared" si="14"/>
        <v>20</v>
      </c>
      <c r="P60" s="23">
        <f t="shared" si="15"/>
        <v>40</v>
      </c>
      <c r="Q60" s="23">
        <f t="shared" si="16"/>
        <v>40</v>
      </c>
      <c r="R60" s="23">
        <f t="shared" si="17"/>
        <v>20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</row>
    <row r="61" spans="1:998 1046:2043 2091:3033 3081:4078 4126:6113 6161:7158 7206:8148 8196:9193 9241:10238 10286:11228 11276:12273 12321:13311 13314:14308 14356:15353 15401:16343" x14ac:dyDescent="0.25">
      <c r="A61" s="22" t="s">
        <v>532</v>
      </c>
      <c r="B61" s="23">
        <v>500</v>
      </c>
      <c r="C61" s="23">
        <v>25</v>
      </c>
      <c r="D61" s="24">
        <v>25</v>
      </c>
      <c r="E61" s="24" t="s">
        <v>469</v>
      </c>
      <c r="F61" s="24">
        <v>0</v>
      </c>
      <c r="G61" s="24">
        <f t="shared" si="9"/>
        <v>300</v>
      </c>
      <c r="H61" s="24">
        <f t="shared" si="10"/>
        <v>157</v>
      </c>
      <c r="I61" s="23">
        <f t="shared" si="11"/>
        <v>145</v>
      </c>
      <c r="J61" s="23">
        <f t="shared" si="12"/>
        <v>40</v>
      </c>
      <c r="K61" s="23">
        <v>1.625</v>
      </c>
      <c r="L61" s="23">
        <v>9</v>
      </c>
      <c r="M61" s="23">
        <v>20</v>
      </c>
      <c r="N61" s="23">
        <f t="shared" si="13"/>
        <v>9</v>
      </c>
      <c r="O61" s="23">
        <f t="shared" si="14"/>
        <v>20</v>
      </c>
      <c r="P61" s="23">
        <f t="shared" si="15"/>
        <v>40</v>
      </c>
      <c r="Q61" s="23">
        <f t="shared" si="16"/>
        <v>40</v>
      </c>
      <c r="R61" s="23">
        <f t="shared" si="17"/>
        <v>20</v>
      </c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</row>
    <row r="62" spans="1:998 1046:2043 2091:3033 3081:4078 4126:6113 6161:7158 7206:8148 8196:9193 9241:10238 10286:11228 11276:12273 12321:13311 13314:14308 14356:15353 15401:16343" x14ac:dyDescent="0.25">
      <c r="A62" s="22" t="s">
        <v>532</v>
      </c>
      <c r="B62" s="23">
        <v>500</v>
      </c>
      <c r="C62" s="23">
        <v>25</v>
      </c>
      <c r="D62" s="24">
        <v>25</v>
      </c>
      <c r="E62" s="24" t="s">
        <v>469</v>
      </c>
      <c r="F62" s="24">
        <v>0</v>
      </c>
      <c r="G62" s="24">
        <f t="shared" si="9"/>
        <v>300</v>
      </c>
      <c r="H62" s="24">
        <f t="shared" si="10"/>
        <v>157</v>
      </c>
      <c r="I62" s="23">
        <f t="shared" si="11"/>
        <v>145</v>
      </c>
      <c r="J62" s="23">
        <f t="shared" si="12"/>
        <v>40</v>
      </c>
      <c r="K62" s="23">
        <v>1.625</v>
      </c>
      <c r="L62" s="23">
        <v>9</v>
      </c>
      <c r="M62" s="23">
        <v>20</v>
      </c>
      <c r="N62" s="23">
        <f t="shared" si="13"/>
        <v>9</v>
      </c>
      <c r="O62" s="23">
        <f t="shared" si="14"/>
        <v>20</v>
      </c>
      <c r="P62" s="23">
        <f t="shared" si="15"/>
        <v>40</v>
      </c>
      <c r="Q62" s="23">
        <f t="shared" si="16"/>
        <v>40</v>
      </c>
      <c r="R62" s="23">
        <f t="shared" si="17"/>
        <v>20</v>
      </c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</row>
    <row r="63" spans="1:998 1046:2043 2091:3033 3081:4078 4126:6113 6161:7158 7206:8148 8196:9193 9241:10238 10286:11228 11276:12273 12321:13311 13314:14308 14356:15353 15401:16343" x14ac:dyDescent="0.25">
      <c r="A63" s="22" t="s">
        <v>533</v>
      </c>
      <c r="B63" s="23">
        <v>500</v>
      </c>
      <c r="C63" s="23">
        <v>28</v>
      </c>
      <c r="D63" s="24">
        <v>25</v>
      </c>
      <c r="E63" s="24" t="s">
        <v>469</v>
      </c>
      <c r="F63" s="24">
        <v>0</v>
      </c>
      <c r="G63" s="24">
        <f t="shared" si="9"/>
        <v>336</v>
      </c>
      <c r="H63" s="24">
        <f t="shared" si="10"/>
        <v>175</v>
      </c>
      <c r="I63" s="23">
        <f t="shared" si="11"/>
        <v>163</v>
      </c>
      <c r="J63" s="23">
        <f t="shared" si="12"/>
        <v>40</v>
      </c>
      <c r="K63" s="23">
        <v>1.5</v>
      </c>
      <c r="L63" s="23">
        <v>9</v>
      </c>
      <c r="M63" s="23">
        <v>20</v>
      </c>
      <c r="N63" s="23">
        <f t="shared" si="13"/>
        <v>9</v>
      </c>
      <c r="O63" s="23">
        <f t="shared" si="14"/>
        <v>20</v>
      </c>
      <c r="P63" s="23">
        <f t="shared" si="15"/>
        <v>40</v>
      </c>
      <c r="Q63" s="23">
        <f t="shared" si="16"/>
        <v>40</v>
      </c>
      <c r="R63" s="23">
        <f t="shared" si="17"/>
        <v>20</v>
      </c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</row>
    <row r="64" spans="1:998 1046:2043 2091:3033 3081:4078 4126:6113 6161:7158 7206:8148 8196:9193 9241:10238 10286:11228 11276:12273 12321:13311 13314:14308 14356:15353 15401:16343" s="40" customFormat="1" ht="15" customHeight="1" x14ac:dyDescent="0.25">
      <c r="A64" s="22" t="s">
        <v>534</v>
      </c>
      <c r="B64" s="23">
        <v>500</v>
      </c>
      <c r="C64" s="23">
        <v>30</v>
      </c>
      <c r="D64" s="24">
        <v>30</v>
      </c>
      <c r="E64" s="24" t="s">
        <v>469</v>
      </c>
      <c r="F64" s="24">
        <v>0</v>
      </c>
      <c r="G64" s="24">
        <f t="shared" si="9"/>
        <v>360</v>
      </c>
      <c r="H64" s="24">
        <f t="shared" si="10"/>
        <v>187</v>
      </c>
      <c r="I64" s="23">
        <f t="shared" si="11"/>
        <v>175</v>
      </c>
      <c r="J64" s="23">
        <f t="shared" si="12"/>
        <v>30</v>
      </c>
      <c r="K64" s="23">
        <v>1.5</v>
      </c>
      <c r="L64" s="23">
        <v>12</v>
      </c>
      <c r="M64" s="23">
        <v>20</v>
      </c>
      <c r="N64" s="23">
        <f t="shared" si="13"/>
        <v>9</v>
      </c>
      <c r="O64" s="23">
        <f t="shared" si="14"/>
        <v>20</v>
      </c>
      <c r="P64" s="23">
        <f t="shared" si="15"/>
        <v>40</v>
      </c>
      <c r="Q64" s="23">
        <f t="shared" si="16"/>
        <v>40</v>
      </c>
      <c r="R64" s="23">
        <f t="shared" si="17"/>
        <v>20</v>
      </c>
      <c r="BD64" s="39"/>
      <c r="BG64" s="41"/>
      <c r="BH64" s="41"/>
      <c r="BI64" s="41"/>
      <c r="BJ64" s="41"/>
      <c r="BK64" s="41"/>
      <c r="DG64" s="39"/>
      <c r="DJ64" s="41"/>
      <c r="DK64" s="41"/>
      <c r="DL64" s="41"/>
      <c r="DM64" s="41"/>
      <c r="DN64" s="41"/>
      <c r="FJ64" s="39"/>
      <c r="FM64" s="41"/>
      <c r="FN64" s="41"/>
      <c r="FO64" s="41"/>
      <c r="FP64" s="41"/>
      <c r="FQ64" s="41"/>
      <c r="HM64" s="39"/>
      <c r="HP64" s="41"/>
      <c r="HQ64" s="41"/>
      <c r="HR64" s="41"/>
      <c r="HS64" s="41"/>
      <c r="HT64" s="41"/>
      <c r="JP64" s="39"/>
      <c r="JS64" s="41"/>
      <c r="JT64" s="41"/>
      <c r="JU64" s="41"/>
      <c r="JV64" s="41"/>
      <c r="JW64" s="41"/>
      <c r="LS64" s="39"/>
      <c r="LV64" s="41"/>
      <c r="LW64" s="41"/>
      <c r="LX64" s="41"/>
      <c r="LY64" s="41"/>
      <c r="LZ64" s="41"/>
      <c r="NV64" s="39"/>
      <c r="NY64" s="41"/>
      <c r="NZ64" s="41"/>
      <c r="OA64" s="41"/>
      <c r="OB64" s="41"/>
      <c r="OC64" s="41"/>
      <c r="PY64" s="39"/>
      <c r="QB64" s="41"/>
      <c r="QC64" s="41"/>
      <c r="QD64" s="41"/>
      <c r="QE64" s="41"/>
      <c r="QF64" s="41"/>
      <c r="SB64" s="39"/>
      <c r="SE64" s="41"/>
      <c r="SF64" s="41"/>
      <c r="SG64" s="41"/>
      <c r="SH64" s="41"/>
      <c r="SI64" s="41"/>
      <c r="UE64" s="39"/>
      <c r="UH64" s="41"/>
      <c r="UI64" s="41"/>
      <c r="UJ64" s="41"/>
      <c r="UK64" s="41"/>
      <c r="UL64" s="41"/>
      <c r="WH64" s="39"/>
      <c r="WK64" s="41"/>
      <c r="WL64" s="41"/>
      <c r="WM64" s="41"/>
      <c r="WN64" s="41"/>
      <c r="WO64" s="41"/>
      <c r="YK64" s="39"/>
      <c r="YN64" s="41"/>
      <c r="YO64" s="41"/>
      <c r="YP64" s="41"/>
      <c r="YQ64" s="41"/>
      <c r="YR64" s="41"/>
      <c r="AAN64" s="39"/>
      <c r="AAQ64" s="41"/>
      <c r="AAR64" s="41"/>
      <c r="AAS64" s="41"/>
      <c r="AAT64" s="41"/>
      <c r="AAU64" s="41"/>
      <c r="ACQ64" s="39"/>
      <c r="ACT64" s="41"/>
      <c r="ACU64" s="41"/>
      <c r="ACV64" s="41"/>
      <c r="ACW64" s="41"/>
      <c r="ACX64" s="41"/>
      <c r="AET64" s="39"/>
      <c r="AEW64" s="41"/>
      <c r="AEX64" s="41"/>
      <c r="AEY64" s="41"/>
      <c r="AEZ64" s="41"/>
      <c r="AFA64" s="41"/>
      <c r="AGW64" s="39"/>
      <c r="AGZ64" s="41"/>
      <c r="AHA64" s="41"/>
      <c r="AHB64" s="41"/>
      <c r="AHC64" s="41"/>
      <c r="AHD64" s="41"/>
      <c r="AIZ64" s="39"/>
      <c r="AJC64" s="41"/>
      <c r="AJD64" s="41"/>
      <c r="AJE64" s="41"/>
      <c r="AJF64" s="41"/>
      <c r="AJG64" s="41"/>
      <c r="ALC64" s="39"/>
      <c r="ALF64" s="41"/>
      <c r="ALG64" s="41"/>
      <c r="ALH64" s="41"/>
      <c r="ALI64" s="41"/>
      <c r="ALJ64" s="41"/>
      <c r="ANF64" s="39"/>
      <c r="ANI64" s="41"/>
      <c r="ANJ64" s="41"/>
      <c r="ANK64" s="41"/>
      <c r="ANL64" s="41"/>
      <c r="ANM64" s="41"/>
      <c r="API64" s="39"/>
      <c r="APL64" s="41"/>
      <c r="APM64" s="41"/>
      <c r="APN64" s="41"/>
      <c r="APO64" s="41"/>
      <c r="APP64" s="41"/>
      <c r="ARL64" s="39"/>
      <c r="ARO64" s="41"/>
      <c r="ARP64" s="41"/>
      <c r="ARQ64" s="41"/>
      <c r="ARR64" s="41"/>
      <c r="ARS64" s="41"/>
      <c r="ATO64" s="39"/>
      <c r="ATR64" s="41"/>
      <c r="ATS64" s="41"/>
      <c r="ATT64" s="41"/>
      <c r="ATU64" s="41"/>
      <c r="ATV64" s="41"/>
      <c r="AVR64" s="39"/>
      <c r="AVU64" s="41"/>
      <c r="AVV64" s="41"/>
      <c r="AVW64" s="41"/>
      <c r="AVX64" s="41"/>
      <c r="AVY64" s="41"/>
      <c r="AXU64" s="39"/>
      <c r="AXX64" s="41"/>
      <c r="AXY64" s="41"/>
      <c r="AXZ64" s="41"/>
      <c r="AYA64" s="41"/>
      <c r="AYB64" s="41"/>
      <c r="AZX64" s="39"/>
      <c r="BAA64" s="41"/>
      <c r="BAB64" s="41"/>
      <c r="BAC64" s="41"/>
      <c r="BAD64" s="41"/>
      <c r="BAE64" s="41"/>
      <c r="BCA64" s="39"/>
      <c r="BCD64" s="41"/>
      <c r="BCE64" s="41"/>
      <c r="BCF64" s="41"/>
      <c r="BCG64" s="41"/>
      <c r="BCH64" s="41"/>
      <c r="BED64" s="39"/>
      <c r="BEG64" s="41"/>
      <c r="BEH64" s="41"/>
      <c r="BEI64" s="41"/>
      <c r="BEJ64" s="41"/>
      <c r="BEK64" s="41"/>
      <c r="BGG64" s="39"/>
      <c r="BGJ64" s="41"/>
      <c r="BGK64" s="41"/>
      <c r="BGL64" s="41"/>
      <c r="BGM64" s="41"/>
      <c r="BGN64" s="41"/>
      <c r="BIJ64" s="39"/>
      <c r="BIM64" s="41"/>
      <c r="BIN64" s="41"/>
      <c r="BIO64" s="41"/>
      <c r="BIP64" s="41"/>
      <c r="BIQ64" s="41"/>
      <c r="BKM64" s="39"/>
      <c r="BKP64" s="41"/>
      <c r="BKQ64" s="41"/>
      <c r="BKR64" s="41"/>
      <c r="BKS64" s="41"/>
      <c r="BKT64" s="41"/>
      <c r="BMP64" s="39"/>
      <c r="BMS64" s="41"/>
      <c r="BMT64" s="41"/>
      <c r="BMU64" s="41"/>
      <c r="BMV64" s="41"/>
      <c r="BMW64" s="41"/>
      <c r="BOS64" s="39"/>
      <c r="BOV64" s="41"/>
      <c r="BOW64" s="41"/>
      <c r="BOX64" s="41"/>
      <c r="BOY64" s="41"/>
      <c r="BOZ64" s="41"/>
      <c r="BQV64" s="39"/>
      <c r="BQY64" s="41"/>
      <c r="BQZ64" s="41"/>
      <c r="BRA64" s="41"/>
      <c r="BRB64" s="41"/>
      <c r="BRC64" s="41"/>
      <c r="BSY64" s="39"/>
      <c r="BTB64" s="41"/>
      <c r="BTC64" s="41"/>
      <c r="BTD64" s="41"/>
      <c r="BTE64" s="41"/>
      <c r="BTF64" s="41"/>
      <c r="BVB64" s="39"/>
      <c r="BVE64" s="41"/>
      <c r="BVF64" s="41"/>
      <c r="BVG64" s="41"/>
      <c r="BVH64" s="41"/>
      <c r="BVI64" s="41"/>
      <c r="BXE64" s="39"/>
      <c r="BXH64" s="41"/>
      <c r="BXI64" s="41"/>
      <c r="BXJ64" s="41"/>
      <c r="BXK64" s="41"/>
      <c r="BXL64" s="41"/>
      <c r="BZH64" s="39"/>
      <c r="BZK64" s="41"/>
      <c r="BZL64" s="41"/>
      <c r="BZM64" s="41"/>
      <c r="BZN64" s="41"/>
      <c r="BZO64" s="41"/>
      <c r="CBK64" s="39"/>
      <c r="CBN64" s="41"/>
      <c r="CBO64" s="41"/>
      <c r="CBP64" s="41"/>
      <c r="CBQ64" s="41"/>
      <c r="CBR64" s="41"/>
      <c r="CDN64" s="39"/>
      <c r="CDQ64" s="41"/>
      <c r="CDR64" s="41"/>
      <c r="CDS64" s="41"/>
      <c r="CDT64" s="41"/>
      <c r="CDU64" s="41"/>
      <c r="CFQ64" s="39"/>
      <c r="CFT64" s="41"/>
      <c r="CFU64" s="41"/>
      <c r="CFV64" s="41"/>
      <c r="CFW64" s="41"/>
      <c r="CFX64" s="41"/>
      <c r="CHT64" s="39"/>
      <c r="CHW64" s="41"/>
      <c r="CHX64" s="41"/>
      <c r="CHY64" s="41"/>
      <c r="CHZ64" s="41"/>
      <c r="CIA64" s="41"/>
      <c r="CJW64" s="39"/>
      <c r="CJZ64" s="41"/>
      <c r="CKA64" s="41"/>
      <c r="CKB64" s="41"/>
      <c r="CKC64" s="41"/>
      <c r="CKD64" s="41"/>
      <c r="CLZ64" s="39"/>
      <c r="CMC64" s="41"/>
      <c r="CMD64" s="41"/>
      <c r="CME64" s="41"/>
      <c r="CMF64" s="41"/>
      <c r="CMG64" s="41"/>
      <c r="COC64" s="39"/>
      <c r="COF64" s="41"/>
      <c r="COG64" s="41"/>
      <c r="COH64" s="41"/>
      <c r="COI64" s="41"/>
      <c r="COJ64" s="41"/>
      <c r="CQF64" s="39"/>
      <c r="CQI64" s="41"/>
      <c r="CQJ64" s="41"/>
      <c r="CQK64" s="41"/>
      <c r="CQL64" s="41"/>
      <c r="CQM64" s="41"/>
      <c r="CSI64" s="39"/>
      <c r="CSL64" s="41"/>
      <c r="CSM64" s="41"/>
      <c r="CSN64" s="41"/>
      <c r="CSO64" s="41"/>
      <c r="CSP64" s="41"/>
      <c r="CUL64" s="39"/>
      <c r="CUO64" s="41"/>
      <c r="CUP64" s="41"/>
      <c r="CUQ64" s="41"/>
      <c r="CUR64" s="41"/>
      <c r="CUS64" s="41"/>
      <c r="CWO64" s="39"/>
      <c r="CWR64" s="41"/>
      <c r="CWS64" s="41"/>
      <c r="CWT64" s="41"/>
      <c r="CWU64" s="41"/>
      <c r="CWV64" s="41"/>
      <c r="CYR64" s="39"/>
      <c r="CYU64" s="41"/>
      <c r="CYV64" s="41"/>
      <c r="CYW64" s="41"/>
      <c r="CYX64" s="41"/>
      <c r="CYY64" s="41"/>
      <c r="DAU64" s="39"/>
      <c r="DAX64" s="41"/>
      <c r="DAY64" s="41"/>
      <c r="DAZ64" s="41"/>
      <c r="DBA64" s="41"/>
      <c r="DBB64" s="41"/>
      <c r="DCX64" s="39"/>
      <c r="DDA64" s="41"/>
      <c r="DDB64" s="41"/>
      <c r="DDC64" s="41"/>
      <c r="DDD64" s="41"/>
      <c r="DDE64" s="41"/>
      <c r="DFA64" s="39"/>
      <c r="DFD64" s="41"/>
      <c r="DFE64" s="41"/>
      <c r="DFF64" s="41"/>
      <c r="DFG64" s="41"/>
      <c r="DFH64" s="41"/>
      <c r="DHD64" s="39"/>
      <c r="DHG64" s="41"/>
      <c r="DHH64" s="41"/>
      <c r="DHI64" s="41"/>
      <c r="DHJ64" s="41"/>
      <c r="DHK64" s="41"/>
      <c r="DJG64" s="39"/>
      <c r="DJJ64" s="41"/>
      <c r="DJK64" s="41"/>
      <c r="DJL64" s="41"/>
      <c r="DJM64" s="41"/>
      <c r="DJN64" s="41"/>
      <c r="DLJ64" s="39"/>
      <c r="DLM64" s="41"/>
      <c r="DLN64" s="41"/>
      <c r="DLO64" s="41"/>
      <c r="DLP64" s="41"/>
      <c r="DLQ64" s="41"/>
      <c r="DNM64" s="39"/>
      <c r="DNP64" s="41"/>
      <c r="DNQ64" s="41"/>
      <c r="DNR64" s="41"/>
      <c r="DNS64" s="41"/>
      <c r="DNT64" s="41"/>
      <c r="DPP64" s="39"/>
      <c r="DPS64" s="41"/>
      <c r="DPT64" s="41"/>
      <c r="DPU64" s="41"/>
      <c r="DPV64" s="41"/>
      <c r="DPW64" s="41"/>
      <c r="DRS64" s="39"/>
      <c r="DRV64" s="41"/>
      <c r="DRW64" s="41"/>
      <c r="DRX64" s="41"/>
      <c r="DRY64" s="41"/>
      <c r="DRZ64" s="41"/>
      <c r="DTV64" s="39"/>
      <c r="DTY64" s="41"/>
      <c r="DTZ64" s="41"/>
      <c r="DUA64" s="41"/>
      <c r="DUB64" s="41"/>
      <c r="DUC64" s="41"/>
      <c r="DVY64" s="39"/>
      <c r="DWB64" s="41"/>
      <c r="DWC64" s="41"/>
      <c r="DWD64" s="41"/>
      <c r="DWE64" s="41"/>
      <c r="DWF64" s="41"/>
      <c r="DYB64" s="39"/>
      <c r="DYE64" s="41"/>
      <c r="DYF64" s="41"/>
      <c r="DYG64" s="41"/>
      <c r="DYH64" s="41"/>
      <c r="DYI64" s="41"/>
      <c r="EAE64" s="39"/>
      <c r="EAH64" s="41"/>
      <c r="EAI64" s="41"/>
      <c r="EAJ64" s="41"/>
      <c r="EAK64" s="41"/>
      <c r="EAL64" s="41"/>
      <c r="ECH64" s="39"/>
      <c r="ECK64" s="41"/>
      <c r="ECL64" s="41"/>
      <c r="ECM64" s="41"/>
      <c r="ECN64" s="41"/>
      <c r="ECO64" s="41"/>
      <c r="EEK64" s="39"/>
      <c r="EEN64" s="41"/>
      <c r="EEO64" s="41"/>
      <c r="EEP64" s="41"/>
      <c r="EEQ64" s="41"/>
      <c r="EER64" s="41"/>
      <c r="EGN64" s="39"/>
      <c r="EGQ64" s="41"/>
      <c r="EGR64" s="41"/>
      <c r="EGS64" s="41"/>
      <c r="EGT64" s="41"/>
      <c r="EGU64" s="41"/>
      <c r="EIQ64" s="39"/>
      <c r="EIT64" s="41"/>
      <c r="EIU64" s="41"/>
      <c r="EIV64" s="41"/>
      <c r="EIW64" s="41"/>
      <c r="EIX64" s="41"/>
      <c r="EKT64" s="39"/>
      <c r="EKW64" s="41"/>
      <c r="EKX64" s="41"/>
      <c r="EKY64" s="41"/>
      <c r="EKZ64" s="41"/>
      <c r="ELA64" s="41"/>
      <c r="EMW64" s="39"/>
      <c r="EMZ64" s="41"/>
      <c r="ENA64" s="41"/>
      <c r="ENB64" s="41"/>
      <c r="ENC64" s="41"/>
      <c r="END64" s="41"/>
      <c r="EOZ64" s="39"/>
      <c r="EPC64" s="41"/>
      <c r="EPD64" s="41"/>
      <c r="EPE64" s="41"/>
      <c r="EPF64" s="41"/>
      <c r="EPG64" s="41"/>
      <c r="ERC64" s="39"/>
      <c r="ERF64" s="41"/>
      <c r="ERG64" s="41"/>
      <c r="ERH64" s="41"/>
      <c r="ERI64" s="41"/>
      <c r="ERJ64" s="41"/>
      <c r="ETF64" s="39"/>
      <c r="ETI64" s="41"/>
      <c r="ETJ64" s="41"/>
      <c r="ETK64" s="41"/>
      <c r="ETL64" s="41"/>
      <c r="ETM64" s="41"/>
      <c r="EVI64" s="39"/>
      <c r="EVL64" s="41"/>
      <c r="EVM64" s="41"/>
      <c r="EVN64" s="41"/>
      <c r="EVO64" s="41"/>
      <c r="EVP64" s="41"/>
      <c r="EXL64" s="39"/>
      <c r="EXO64" s="41"/>
      <c r="EXP64" s="41"/>
      <c r="EXQ64" s="41"/>
      <c r="EXR64" s="41"/>
      <c r="EXS64" s="41"/>
      <c r="EZO64" s="39"/>
      <c r="EZR64" s="41"/>
      <c r="EZS64" s="41"/>
      <c r="EZT64" s="41"/>
      <c r="EZU64" s="41"/>
      <c r="EZV64" s="41"/>
      <c r="FBR64" s="39"/>
      <c r="FBU64" s="41"/>
      <c r="FBV64" s="41"/>
      <c r="FBW64" s="41"/>
      <c r="FBX64" s="41"/>
      <c r="FBY64" s="41"/>
      <c r="FDU64" s="39"/>
      <c r="FDX64" s="41"/>
      <c r="FDY64" s="41"/>
      <c r="FDZ64" s="41"/>
      <c r="FEA64" s="41"/>
      <c r="FEB64" s="41"/>
      <c r="FFX64" s="39"/>
      <c r="FGA64" s="41"/>
      <c r="FGB64" s="41"/>
      <c r="FGC64" s="41"/>
      <c r="FGD64" s="41"/>
      <c r="FGE64" s="41"/>
      <c r="FIA64" s="39"/>
      <c r="FID64" s="41"/>
      <c r="FIE64" s="41"/>
      <c r="FIF64" s="41"/>
      <c r="FIG64" s="41"/>
      <c r="FIH64" s="41"/>
      <c r="FKD64" s="39"/>
      <c r="FKG64" s="41"/>
      <c r="FKH64" s="41"/>
      <c r="FKI64" s="41"/>
      <c r="FKJ64" s="41"/>
      <c r="FKK64" s="41"/>
      <c r="FMG64" s="39"/>
      <c r="FMJ64" s="41"/>
      <c r="FMK64" s="41"/>
      <c r="FML64" s="41"/>
      <c r="FMM64" s="41"/>
      <c r="FMN64" s="41"/>
      <c r="FOJ64" s="39"/>
      <c r="FOM64" s="41"/>
      <c r="FON64" s="41"/>
      <c r="FOO64" s="41"/>
      <c r="FOP64" s="41"/>
      <c r="FOQ64" s="41"/>
      <c r="FQM64" s="39"/>
      <c r="FQP64" s="41"/>
      <c r="FQQ64" s="41"/>
      <c r="FQR64" s="41"/>
      <c r="FQS64" s="41"/>
      <c r="FQT64" s="41"/>
      <c r="FSP64" s="39"/>
      <c r="FSS64" s="41"/>
      <c r="FST64" s="41"/>
      <c r="FSU64" s="41"/>
      <c r="FSV64" s="41"/>
      <c r="FSW64" s="41"/>
      <c r="FUS64" s="39"/>
      <c r="FUV64" s="41"/>
      <c r="FUW64" s="41"/>
      <c r="FUX64" s="41"/>
      <c r="FUY64" s="41"/>
      <c r="FUZ64" s="41"/>
      <c r="FWV64" s="39"/>
      <c r="FWY64" s="41"/>
      <c r="FWZ64" s="41"/>
      <c r="FXA64" s="41"/>
      <c r="FXB64" s="41"/>
      <c r="FXC64" s="41"/>
      <c r="FYY64" s="39"/>
      <c r="FZB64" s="41"/>
      <c r="FZC64" s="41"/>
      <c r="FZD64" s="41"/>
      <c r="FZE64" s="41"/>
      <c r="FZF64" s="41"/>
      <c r="GBB64" s="39"/>
      <c r="GBE64" s="41"/>
      <c r="GBF64" s="41"/>
      <c r="GBG64" s="41"/>
      <c r="GBH64" s="41"/>
      <c r="GBI64" s="41"/>
      <c r="GDE64" s="39"/>
      <c r="GDH64" s="41"/>
      <c r="GDI64" s="41"/>
      <c r="GDJ64" s="41"/>
      <c r="GDK64" s="41"/>
      <c r="GDL64" s="41"/>
      <c r="GFH64" s="39"/>
      <c r="GFK64" s="41"/>
      <c r="GFL64" s="41"/>
      <c r="GFM64" s="41"/>
      <c r="GFN64" s="41"/>
      <c r="GFO64" s="41"/>
      <c r="GHK64" s="39"/>
      <c r="GHN64" s="41"/>
      <c r="GHO64" s="41"/>
      <c r="GHP64" s="41"/>
      <c r="GHQ64" s="41"/>
      <c r="GHR64" s="41"/>
      <c r="GJN64" s="39"/>
      <c r="GJQ64" s="41"/>
      <c r="GJR64" s="41"/>
      <c r="GJS64" s="41"/>
      <c r="GJT64" s="41"/>
      <c r="GJU64" s="41"/>
      <c r="GLQ64" s="39"/>
      <c r="GLT64" s="41"/>
      <c r="GLU64" s="41"/>
      <c r="GLV64" s="41"/>
      <c r="GLW64" s="41"/>
      <c r="GLX64" s="41"/>
      <c r="GNT64" s="39"/>
      <c r="GNW64" s="41"/>
      <c r="GNX64" s="41"/>
      <c r="GNY64" s="41"/>
      <c r="GNZ64" s="41"/>
      <c r="GOA64" s="41"/>
      <c r="GPW64" s="39"/>
      <c r="GPZ64" s="41"/>
      <c r="GQA64" s="41"/>
      <c r="GQB64" s="41"/>
      <c r="GQC64" s="41"/>
      <c r="GQD64" s="41"/>
      <c r="GRZ64" s="39"/>
      <c r="GSC64" s="41"/>
      <c r="GSD64" s="41"/>
      <c r="GSE64" s="41"/>
      <c r="GSF64" s="41"/>
      <c r="GSG64" s="41"/>
      <c r="GUC64" s="39"/>
      <c r="GUF64" s="41"/>
      <c r="GUG64" s="41"/>
      <c r="GUH64" s="41"/>
      <c r="GUI64" s="41"/>
      <c r="GUJ64" s="41"/>
      <c r="GWF64" s="39"/>
      <c r="GWI64" s="41"/>
      <c r="GWJ64" s="41"/>
      <c r="GWK64" s="41"/>
      <c r="GWL64" s="41"/>
      <c r="GWM64" s="41"/>
      <c r="GYI64" s="39"/>
      <c r="GYL64" s="41"/>
      <c r="GYM64" s="41"/>
      <c r="GYN64" s="41"/>
      <c r="GYO64" s="41"/>
      <c r="GYP64" s="41"/>
      <c r="HAL64" s="39"/>
      <c r="HAO64" s="41"/>
      <c r="HAP64" s="41"/>
      <c r="HAQ64" s="41"/>
      <c r="HAR64" s="41"/>
      <c r="HAS64" s="41"/>
      <c r="HCO64" s="39"/>
      <c r="HCR64" s="41"/>
      <c r="HCS64" s="41"/>
      <c r="HCT64" s="41"/>
      <c r="HCU64" s="41"/>
      <c r="HCV64" s="41"/>
      <c r="HER64" s="39"/>
      <c r="HEU64" s="41"/>
      <c r="HEV64" s="41"/>
      <c r="HEW64" s="41"/>
      <c r="HEX64" s="41"/>
      <c r="HEY64" s="41"/>
      <c r="HGU64" s="39"/>
      <c r="HGX64" s="41"/>
      <c r="HGY64" s="41"/>
      <c r="HGZ64" s="41"/>
      <c r="HHA64" s="41"/>
      <c r="HHB64" s="41"/>
      <c r="HIX64" s="39"/>
      <c r="HJA64" s="41"/>
      <c r="HJB64" s="41"/>
      <c r="HJC64" s="41"/>
      <c r="HJD64" s="41"/>
      <c r="HJE64" s="41"/>
      <c r="HLA64" s="39"/>
      <c r="HLD64" s="41"/>
      <c r="HLE64" s="41"/>
      <c r="HLF64" s="41"/>
      <c r="HLG64" s="41"/>
      <c r="HLH64" s="41"/>
      <c r="HND64" s="39"/>
      <c r="HNG64" s="41"/>
      <c r="HNH64" s="41"/>
      <c r="HNI64" s="41"/>
      <c r="HNJ64" s="41"/>
      <c r="HNK64" s="41"/>
      <c r="HPG64" s="39"/>
      <c r="HPJ64" s="41"/>
      <c r="HPK64" s="41"/>
      <c r="HPL64" s="41"/>
      <c r="HPM64" s="41"/>
      <c r="HPN64" s="41"/>
      <c r="HRJ64" s="39"/>
      <c r="HRM64" s="41"/>
      <c r="HRN64" s="41"/>
      <c r="HRO64" s="41"/>
      <c r="HRP64" s="41"/>
      <c r="HRQ64" s="41"/>
      <c r="HTM64" s="39"/>
      <c r="HTP64" s="41"/>
      <c r="HTQ64" s="41"/>
      <c r="HTR64" s="41"/>
      <c r="HTS64" s="41"/>
      <c r="HTT64" s="41"/>
      <c r="HVP64" s="39"/>
      <c r="HVS64" s="41"/>
      <c r="HVT64" s="41"/>
      <c r="HVU64" s="41"/>
      <c r="HVV64" s="41"/>
      <c r="HVW64" s="41"/>
      <c r="HXS64" s="39"/>
      <c r="HXV64" s="41"/>
      <c r="HXW64" s="41"/>
      <c r="HXX64" s="41"/>
      <c r="HXY64" s="41"/>
      <c r="HXZ64" s="41"/>
      <c r="HZV64" s="39"/>
      <c r="HZY64" s="41"/>
      <c r="HZZ64" s="41"/>
      <c r="IAA64" s="41"/>
      <c r="IAB64" s="41"/>
      <c r="IAC64" s="41"/>
      <c r="IBY64" s="39"/>
      <c r="ICB64" s="41"/>
      <c r="ICC64" s="41"/>
      <c r="ICD64" s="41"/>
      <c r="ICE64" s="41"/>
      <c r="ICF64" s="41"/>
      <c r="IEB64" s="39"/>
      <c r="IEE64" s="41"/>
      <c r="IEF64" s="41"/>
      <c r="IEG64" s="41"/>
      <c r="IEH64" s="41"/>
      <c r="IEI64" s="41"/>
      <c r="IGE64" s="39"/>
      <c r="IGH64" s="41"/>
      <c r="IGI64" s="41"/>
      <c r="IGJ64" s="41"/>
      <c r="IGK64" s="41"/>
      <c r="IGL64" s="41"/>
      <c r="IIH64" s="39"/>
      <c r="IIK64" s="41"/>
      <c r="IIL64" s="41"/>
      <c r="IIM64" s="41"/>
      <c r="IIN64" s="41"/>
      <c r="IIO64" s="41"/>
      <c r="IKK64" s="39"/>
      <c r="IKN64" s="41"/>
      <c r="IKO64" s="41"/>
      <c r="IKP64" s="41"/>
      <c r="IKQ64" s="41"/>
      <c r="IKR64" s="41"/>
      <c r="IMN64" s="39"/>
      <c r="IMQ64" s="41"/>
      <c r="IMR64" s="41"/>
      <c r="IMS64" s="41"/>
      <c r="IMT64" s="41"/>
      <c r="IMU64" s="41"/>
      <c r="IOQ64" s="39"/>
      <c r="IOT64" s="41"/>
      <c r="IOU64" s="41"/>
      <c r="IOV64" s="41"/>
      <c r="IOW64" s="41"/>
      <c r="IOX64" s="41"/>
      <c r="IQT64" s="39"/>
      <c r="IQW64" s="41"/>
      <c r="IQX64" s="41"/>
      <c r="IQY64" s="41"/>
      <c r="IQZ64" s="41"/>
      <c r="IRA64" s="41"/>
      <c r="ISW64" s="39"/>
      <c r="ISZ64" s="41"/>
      <c r="ITA64" s="41"/>
      <c r="ITB64" s="41"/>
      <c r="ITC64" s="41"/>
      <c r="ITD64" s="41"/>
      <c r="IUZ64" s="39"/>
      <c r="IVC64" s="41"/>
      <c r="IVD64" s="41"/>
      <c r="IVE64" s="41"/>
      <c r="IVF64" s="41"/>
      <c r="IVG64" s="41"/>
      <c r="IXC64" s="39"/>
      <c r="IXF64" s="41"/>
      <c r="IXG64" s="41"/>
      <c r="IXH64" s="41"/>
      <c r="IXI64" s="41"/>
      <c r="IXJ64" s="41"/>
      <c r="IZF64" s="39"/>
      <c r="IZI64" s="41"/>
      <c r="IZJ64" s="41"/>
      <c r="IZK64" s="41"/>
      <c r="IZL64" s="41"/>
      <c r="IZM64" s="41"/>
      <c r="JBI64" s="39"/>
      <c r="JBL64" s="41"/>
      <c r="JBM64" s="41"/>
      <c r="JBN64" s="41"/>
      <c r="JBO64" s="41"/>
      <c r="JBP64" s="41"/>
      <c r="JDL64" s="39"/>
      <c r="JDO64" s="41"/>
      <c r="JDP64" s="41"/>
      <c r="JDQ64" s="41"/>
      <c r="JDR64" s="41"/>
      <c r="JDS64" s="41"/>
      <c r="JFO64" s="39"/>
      <c r="JFR64" s="41"/>
      <c r="JFS64" s="41"/>
      <c r="JFT64" s="41"/>
      <c r="JFU64" s="41"/>
      <c r="JFV64" s="41"/>
      <c r="JHR64" s="39"/>
      <c r="JHU64" s="41"/>
      <c r="JHV64" s="41"/>
      <c r="JHW64" s="41"/>
      <c r="JHX64" s="41"/>
      <c r="JHY64" s="41"/>
      <c r="JJU64" s="39"/>
      <c r="JJX64" s="41"/>
      <c r="JJY64" s="41"/>
      <c r="JJZ64" s="41"/>
      <c r="JKA64" s="41"/>
      <c r="JKB64" s="41"/>
      <c r="JLX64" s="39"/>
      <c r="JMA64" s="41"/>
      <c r="JMB64" s="41"/>
      <c r="JMC64" s="41"/>
      <c r="JMD64" s="41"/>
      <c r="JME64" s="41"/>
      <c r="JOA64" s="39"/>
      <c r="JOD64" s="41"/>
      <c r="JOE64" s="41"/>
      <c r="JOF64" s="41"/>
      <c r="JOG64" s="41"/>
      <c r="JOH64" s="41"/>
      <c r="JQD64" s="39"/>
      <c r="JQG64" s="41"/>
      <c r="JQH64" s="41"/>
      <c r="JQI64" s="41"/>
      <c r="JQJ64" s="41"/>
      <c r="JQK64" s="41"/>
      <c r="JSG64" s="39"/>
      <c r="JSJ64" s="41"/>
      <c r="JSK64" s="41"/>
      <c r="JSL64" s="41"/>
      <c r="JSM64" s="41"/>
      <c r="JSN64" s="41"/>
      <c r="JUJ64" s="39"/>
      <c r="JUM64" s="41"/>
      <c r="JUN64" s="41"/>
      <c r="JUO64" s="41"/>
      <c r="JUP64" s="41"/>
      <c r="JUQ64" s="41"/>
      <c r="JWM64" s="39"/>
      <c r="JWP64" s="41"/>
      <c r="JWQ64" s="41"/>
      <c r="JWR64" s="41"/>
      <c r="JWS64" s="41"/>
      <c r="JWT64" s="41"/>
      <c r="JYP64" s="39"/>
      <c r="JYS64" s="41"/>
      <c r="JYT64" s="41"/>
      <c r="JYU64" s="41"/>
      <c r="JYV64" s="41"/>
      <c r="JYW64" s="41"/>
      <c r="KAS64" s="39"/>
      <c r="KAV64" s="41"/>
      <c r="KAW64" s="41"/>
      <c r="KAX64" s="41"/>
      <c r="KAY64" s="41"/>
      <c r="KAZ64" s="41"/>
      <c r="KCV64" s="39"/>
      <c r="KCY64" s="41"/>
      <c r="KCZ64" s="41"/>
      <c r="KDA64" s="41"/>
      <c r="KDB64" s="41"/>
      <c r="KDC64" s="41"/>
      <c r="KEY64" s="39"/>
      <c r="KFB64" s="41"/>
      <c r="KFC64" s="41"/>
      <c r="KFD64" s="41"/>
      <c r="KFE64" s="41"/>
      <c r="KFF64" s="41"/>
      <c r="KHB64" s="39"/>
      <c r="KHE64" s="41"/>
      <c r="KHF64" s="41"/>
      <c r="KHG64" s="41"/>
      <c r="KHH64" s="41"/>
      <c r="KHI64" s="41"/>
      <c r="KJE64" s="39"/>
      <c r="KJH64" s="41"/>
      <c r="KJI64" s="41"/>
      <c r="KJJ64" s="41"/>
      <c r="KJK64" s="41"/>
      <c r="KJL64" s="41"/>
      <c r="KLH64" s="39"/>
      <c r="KLK64" s="41"/>
      <c r="KLL64" s="41"/>
      <c r="KLM64" s="41"/>
      <c r="KLN64" s="41"/>
      <c r="KLO64" s="41"/>
      <c r="KNK64" s="39"/>
      <c r="KNN64" s="41"/>
      <c r="KNO64" s="41"/>
      <c r="KNP64" s="41"/>
      <c r="KNQ64" s="41"/>
      <c r="KNR64" s="41"/>
      <c r="KPN64" s="39"/>
      <c r="KPQ64" s="41"/>
      <c r="KPR64" s="41"/>
      <c r="KPS64" s="41"/>
      <c r="KPT64" s="41"/>
      <c r="KPU64" s="41"/>
      <c r="KRQ64" s="39"/>
      <c r="KRT64" s="41"/>
      <c r="KRU64" s="41"/>
      <c r="KRV64" s="41"/>
      <c r="KRW64" s="41"/>
      <c r="KRX64" s="41"/>
      <c r="KTT64" s="39"/>
      <c r="KTW64" s="41"/>
      <c r="KTX64" s="41"/>
      <c r="KTY64" s="41"/>
      <c r="KTZ64" s="41"/>
      <c r="KUA64" s="41"/>
      <c r="KVW64" s="39"/>
      <c r="KVZ64" s="41"/>
      <c r="KWA64" s="41"/>
      <c r="KWB64" s="41"/>
      <c r="KWC64" s="41"/>
      <c r="KWD64" s="41"/>
      <c r="KXZ64" s="39"/>
      <c r="KYC64" s="41"/>
      <c r="KYD64" s="41"/>
      <c r="KYE64" s="41"/>
      <c r="KYF64" s="41"/>
      <c r="KYG64" s="41"/>
      <c r="LAC64" s="39"/>
      <c r="LAF64" s="41"/>
      <c r="LAG64" s="41"/>
      <c r="LAH64" s="41"/>
      <c r="LAI64" s="41"/>
      <c r="LAJ64" s="41"/>
      <c r="LCF64" s="39"/>
      <c r="LCI64" s="41"/>
      <c r="LCJ64" s="41"/>
      <c r="LCK64" s="41"/>
      <c r="LCL64" s="41"/>
      <c r="LCM64" s="41"/>
      <c r="LEI64" s="39"/>
      <c r="LEL64" s="41"/>
      <c r="LEM64" s="41"/>
      <c r="LEN64" s="41"/>
      <c r="LEO64" s="41"/>
      <c r="LEP64" s="41"/>
      <c r="LGL64" s="39"/>
      <c r="LGO64" s="41"/>
      <c r="LGP64" s="41"/>
      <c r="LGQ64" s="41"/>
      <c r="LGR64" s="41"/>
      <c r="LGS64" s="41"/>
      <c r="LIO64" s="39"/>
      <c r="LIR64" s="41"/>
      <c r="LIS64" s="41"/>
      <c r="LIT64" s="41"/>
      <c r="LIU64" s="41"/>
      <c r="LIV64" s="41"/>
      <c r="LKR64" s="39"/>
      <c r="LKU64" s="41"/>
      <c r="LKV64" s="41"/>
      <c r="LKW64" s="41"/>
      <c r="LKX64" s="41"/>
      <c r="LKY64" s="41"/>
      <c r="LMU64" s="39"/>
      <c r="LMX64" s="41"/>
      <c r="LMY64" s="41"/>
      <c r="LMZ64" s="41"/>
      <c r="LNA64" s="41"/>
      <c r="LNB64" s="41"/>
      <c r="LOX64" s="39"/>
      <c r="LPA64" s="41"/>
      <c r="LPB64" s="41"/>
      <c r="LPC64" s="41"/>
      <c r="LPD64" s="41"/>
      <c r="LPE64" s="41"/>
      <c r="LRA64" s="39"/>
      <c r="LRD64" s="41"/>
      <c r="LRE64" s="41"/>
      <c r="LRF64" s="41"/>
      <c r="LRG64" s="41"/>
      <c r="LRH64" s="41"/>
      <c r="LTD64" s="39"/>
      <c r="LTG64" s="41"/>
      <c r="LTH64" s="41"/>
      <c r="LTI64" s="41"/>
      <c r="LTJ64" s="41"/>
      <c r="LTK64" s="41"/>
      <c r="LVG64" s="39"/>
      <c r="LVJ64" s="41"/>
      <c r="LVK64" s="41"/>
      <c r="LVL64" s="41"/>
      <c r="LVM64" s="41"/>
      <c r="LVN64" s="41"/>
      <c r="LXJ64" s="39"/>
      <c r="LXM64" s="41"/>
      <c r="LXN64" s="41"/>
      <c r="LXO64" s="41"/>
      <c r="LXP64" s="41"/>
      <c r="LXQ64" s="41"/>
      <c r="LZM64" s="39"/>
      <c r="LZP64" s="41"/>
      <c r="LZQ64" s="41"/>
      <c r="LZR64" s="41"/>
      <c r="LZS64" s="41"/>
      <c r="LZT64" s="41"/>
      <c r="MBP64" s="39"/>
      <c r="MBS64" s="41"/>
      <c r="MBT64" s="41"/>
      <c r="MBU64" s="41"/>
      <c r="MBV64" s="41"/>
      <c r="MBW64" s="41"/>
      <c r="MDS64" s="39"/>
      <c r="MDV64" s="41"/>
      <c r="MDW64" s="41"/>
      <c r="MDX64" s="41"/>
      <c r="MDY64" s="41"/>
      <c r="MDZ64" s="41"/>
      <c r="MFV64" s="39"/>
      <c r="MFY64" s="41"/>
      <c r="MFZ64" s="41"/>
      <c r="MGA64" s="41"/>
      <c r="MGB64" s="41"/>
      <c r="MGC64" s="41"/>
      <c r="MHY64" s="39"/>
      <c r="MIB64" s="41"/>
      <c r="MIC64" s="41"/>
      <c r="MID64" s="41"/>
      <c r="MIE64" s="41"/>
      <c r="MIF64" s="41"/>
      <c r="MKB64" s="39"/>
      <c r="MKE64" s="41"/>
      <c r="MKF64" s="41"/>
      <c r="MKG64" s="41"/>
      <c r="MKH64" s="41"/>
      <c r="MKI64" s="41"/>
      <c r="MME64" s="39"/>
      <c r="MMH64" s="41"/>
      <c r="MMI64" s="41"/>
      <c r="MMJ64" s="41"/>
      <c r="MMK64" s="41"/>
      <c r="MML64" s="41"/>
      <c r="MOH64" s="39"/>
      <c r="MOK64" s="41"/>
      <c r="MOL64" s="41"/>
      <c r="MOM64" s="41"/>
      <c r="MON64" s="41"/>
      <c r="MOO64" s="41"/>
      <c r="MQK64" s="39"/>
      <c r="MQN64" s="41"/>
      <c r="MQO64" s="41"/>
      <c r="MQP64" s="41"/>
      <c r="MQQ64" s="41"/>
      <c r="MQR64" s="41"/>
      <c r="MSN64" s="39"/>
      <c r="MSQ64" s="41"/>
      <c r="MSR64" s="41"/>
      <c r="MSS64" s="41"/>
      <c r="MST64" s="41"/>
      <c r="MSU64" s="41"/>
      <c r="MUQ64" s="39"/>
      <c r="MUT64" s="41"/>
      <c r="MUU64" s="41"/>
      <c r="MUV64" s="41"/>
      <c r="MUW64" s="41"/>
      <c r="MUX64" s="41"/>
      <c r="MWT64" s="39"/>
      <c r="MWW64" s="41"/>
      <c r="MWX64" s="41"/>
      <c r="MWY64" s="41"/>
      <c r="MWZ64" s="41"/>
      <c r="MXA64" s="41"/>
      <c r="MYW64" s="39"/>
      <c r="MYZ64" s="41"/>
      <c r="MZA64" s="41"/>
      <c r="MZB64" s="41"/>
      <c r="MZC64" s="41"/>
      <c r="MZD64" s="41"/>
      <c r="NAZ64" s="39"/>
      <c r="NBC64" s="41"/>
      <c r="NBD64" s="41"/>
      <c r="NBE64" s="41"/>
      <c r="NBF64" s="41"/>
      <c r="NBG64" s="41"/>
      <c r="NDC64" s="39"/>
      <c r="NDF64" s="41"/>
      <c r="NDG64" s="41"/>
      <c r="NDH64" s="41"/>
      <c r="NDI64" s="41"/>
      <c r="NDJ64" s="41"/>
      <c r="NFF64" s="39"/>
      <c r="NFI64" s="41"/>
      <c r="NFJ64" s="41"/>
      <c r="NFK64" s="41"/>
      <c r="NFL64" s="41"/>
      <c r="NFM64" s="41"/>
      <c r="NHI64" s="39"/>
      <c r="NHL64" s="41"/>
      <c r="NHM64" s="41"/>
      <c r="NHN64" s="41"/>
      <c r="NHO64" s="41"/>
      <c r="NHP64" s="41"/>
      <c r="NJL64" s="39"/>
      <c r="NJO64" s="41"/>
      <c r="NJP64" s="41"/>
      <c r="NJQ64" s="41"/>
      <c r="NJR64" s="41"/>
      <c r="NJS64" s="41"/>
      <c r="NLO64" s="39"/>
      <c r="NLR64" s="41"/>
      <c r="NLS64" s="41"/>
      <c r="NLT64" s="41"/>
      <c r="NLU64" s="41"/>
      <c r="NLV64" s="41"/>
      <c r="NNR64" s="39"/>
      <c r="NNU64" s="41"/>
      <c r="NNV64" s="41"/>
      <c r="NNW64" s="41"/>
      <c r="NNX64" s="41"/>
      <c r="NNY64" s="41"/>
      <c r="NPU64" s="39"/>
      <c r="NPX64" s="41"/>
      <c r="NPY64" s="41"/>
      <c r="NPZ64" s="41"/>
      <c r="NQA64" s="41"/>
      <c r="NQB64" s="41"/>
      <c r="NRX64" s="39"/>
      <c r="NSA64" s="41"/>
      <c r="NSB64" s="41"/>
      <c r="NSC64" s="41"/>
      <c r="NSD64" s="41"/>
      <c r="NSE64" s="41"/>
      <c r="NUA64" s="39"/>
      <c r="NUD64" s="41"/>
      <c r="NUE64" s="41"/>
      <c r="NUF64" s="41"/>
      <c r="NUG64" s="41"/>
      <c r="NUH64" s="41"/>
      <c r="NWD64" s="39"/>
      <c r="NWG64" s="41"/>
      <c r="NWH64" s="41"/>
      <c r="NWI64" s="41"/>
      <c r="NWJ64" s="41"/>
      <c r="NWK64" s="41"/>
      <c r="NYG64" s="39"/>
      <c r="NYJ64" s="41"/>
      <c r="NYK64" s="41"/>
      <c r="NYL64" s="41"/>
      <c r="NYM64" s="41"/>
      <c r="NYN64" s="41"/>
      <c r="OAJ64" s="39"/>
      <c r="OAM64" s="41"/>
      <c r="OAN64" s="41"/>
      <c r="OAO64" s="41"/>
      <c r="OAP64" s="41"/>
      <c r="OAQ64" s="41"/>
      <c r="OCM64" s="39"/>
      <c r="OCP64" s="41"/>
      <c r="OCQ64" s="41"/>
      <c r="OCR64" s="41"/>
      <c r="OCS64" s="41"/>
      <c r="OCT64" s="41"/>
      <c r="OEP64" s="39"/>
      <c r="OES64" s="41"/>
      <c r="OET64" s="41"/>
      <c r="OEU64" s="41"/>
      <c r="OEV64" s="41"/>
      <c r="OEW64" s="41"/>
      <c r="OGS64" s="39"/>
      <c r="OGV64" s="41"/>
      <c r="OGW64" s="41"/>
      <c r="OGX64" s="41"/>
      <c r="OGY64" s="41"/>
      <c r="OGZ64" s="41"/>
      <c r="OIV64" s="39"/>
      <c r="OIY64" s="41"/>
      <c r="OIZ64" s="41"/>
      <c r="OJA64" s="41"/>
      <c r="OJB64" s="41"/>
      <c r="OJC64" s="41"/>
      <c r="OKY64" s="39"/>
      <c r="OLB64" s="41"/>
      <c r="OLC64" s="41"/>
      <c r="OLD64" s="41"/>
      <c r="OLE64" s="41"/>
      <c r="OLF64" s="41"/>
      <c r="ONB64" s="39"/>
      <c r="ONE64" s="41"/>
      <c r="ONF64" s="41"/>
      <c r="ONG64" s="41"/>
      <c r="ONH64" s="41"/>
      <c r="ONI64" s="41"/>
      <c r="OPE64" s="39"/>
      <c r="OPH64" s="41"/>
      <c r="OPI64" s="41"/>
      <c r="OPJ64" s="41"/>
      <c r="OPK64" s="41"/>
      <c r="OPL64" s="41"/>
      <c r="ORH64" s="39"/>
      <c r="ORK64" s="41"/>
      <c r="ORL64" s="41"/>
      <c r="ORM64" s="41"/>
      <c r="ORN64" s="41"/>
      <c r="ORO64" s="41"/>
      <c r="OTK64" s="39"/>
      <c r="OTN64" s="41"/>
      <c r="OTO64" s="41"/>
      <c r="OTP64" s="41"/>
      <c r="OTQ64" s="41"/>
      <c r="OTR64" s="41"/>
      <c r="OVN64" s="39"/>
      <c r="OVQ64" s="41"/>
      <c r="OVR64" s="41"/>
      <c r="OVS64" s="41"/>
      <c r="OVT64" s="41"/>
      <c r="OVU64" s="41"/>
      <c r="OXQ64" s="39"/>
      <c r="OXT64" s="41"/>
      <c r="OXU64" s="41"/>
      <c r="OXV64" s="41"/>
      <c r="OXW64" s="41"/>
      <c r="OXX64" s="41"/>
      <c r="OZT64" s="39"/>
      <c r="OZW64" s="41"/>
      <c r="OZX64" s="41"/>
      <c r="OZY64" s="41"/>
      <c r="OZZ64" s="41"/>
      <c r="PAA64" s="41"/>
      <c r="PBW64" s="39"/>
      <c r="PBZ64" s="41"/>
      <c r="PCA64" s="41"/>
      <c r="PCB64" s="41"/>
      <c r="PCC64" s="41"/>
      <c r="PCD64" s="41"/>
      <c r="PDZ64" s="39"/>
      <c r="PEC64" s="41"/>
      <c r="PED64" s="41"/>
      <c r="PEE64" s="41"/>
      <c r="PEF64" s="41"/>
      <c r="PEG64" s="41"/>
      <c r="PGC64" s="39"/>
      <c r="PGF64" s="41"/>
      <c r="PGG64" s="41"/>
      <c r="PGH64" s="41"/>
      <c r="PGI64" s="41"/>
      <c r="PGJ64" s="41"/>
      <c r="PIF64" s="39"/>
      <c r="PII64" s="41"/>
      <c r="PIJ64" s="41"/>
      <c r="PIK64" s="41"/>
      <c r="PIL64" s="41"/>
      <c r="PIM64" s="41"/>
      <c r="PKI64" s="39"/>
      <c r="PKL64" s="41"/>
      <c r="PKM64" s="41"/>
      <c r="PKN64" s="41"/>
      <c r="PKO64" s="41"/>
      <c r="PKP64" s="41"/>
      <c r="PML64" s="39"/>
      <c r="PMO64" s="41"/>
      <c r="PMP64" s="41"/>
      <c r="PMQ64" s="41"/>
      <c r="PMR64" s="41"/>
      <c r="PMS64" s="41"/>
      <c r="POO64" s="39"/>
      <c r="POR64" s="41"/>
      <c r="POS64" s="41"/>
      <c r="POT64" s="41"/>
      <c r="POU64" s="41"/>
      <c r="POV64" s="41"/>
      <c r="PQR64" s="39"/>
      <c r="PQU64" s="41"/>
      <c r="PQV64" s="41"/>
      <c r="PQW64" s="41"/>
      <c r="PQX64" s="41"/>
      <c r="PQY64" s="41"/>
      <c r="PSU64" s="39"/>
      <c r="PSX64" s="41"/>
      <c r="PSY64" s="41"/>
      <c r="PSZ64" s="41"/>
      <c r="PTA64" s="41"/>
      <c r="PTB64" s="41"/>
      <c r="PUX64" s="39"/>
      <c r="PVA64" s="41"/>
      <c r="PVB64" s="41"/>
      <c r="PVC64" s="41"/>
      <c r="PVD64" s="41"/>
      <c r="PVE64" s="41"/>
      <c r="PXA64" s="39"/>
      <c r="PXD64" s="41"/>
      <c r="PXE64" s="41"/>
      <c r="PXF64" s="41"/>
      <c r="PXG64" s="41"/>
      <c r="PXH64" s="41"/>
      <c r="PZD64" s="39"/>
      <c r="PZG64" s="41"/>
      <c r="PZH64" s="41"/>
      <c r="PZI64" s="41"/>
      <c r="PZJ64" s="41"/>
      <c r="PZK64" s="41"/>
      <c r="QBG64" s="39"/>
      <c r="QBJ64" s="41"/>
      <c r="QBK64" s="41"/>
      <c r="QBL64" s="41"/>
      <c r="QBM64" s="41"/>
      <c r="QBN64" s="41"/>
      <c r="QDJ64" s="39"/>
      <c r="QDM64" s="41"/>
      <c r="QDN64" s="41"/>
      <c r="QDO64" s="41"/>
      <c r="QDP64" s="41"/>
      <c r="QDQ64" s="41"/>
      <c r="QFM64" s="39"/>
      <c r="QFP64" s="41"/>
      <c r="QFQ64" s="41"/>
      <c r="QFR64" s="41"/>
      <c r="QFS64" s="41"/>
      <c r="QFT64" s="41"/>
      <c r="QHP64" s="39"/>
      <c r="QHS64" s="41"/>
      <c r="QHT64" s="41"/>
      <c r="QHU64" s="41"/>
      <c r="QHV64" s="41"/>
      <c r="QHW64" s="41"/>
      <c r="QJS64" s="39"/>
      <c r="QJV64" s="41"/>
      <c r="QJW64" s="41"/>
      <c r="QJX64" s="41"/>
      <c r="QJY64" s="41"/>
      <c r="QJZ64" s="41"/>
      <c r="QLV64" s="39"/>
      <c r="QLY64" s="41"/>
      <c r="QLZ64" s="41"/>
      <c r="QMA64" s="41"/>
      <c r="QMB64" s="41"/>
      <c r="QMC64" s="41"/>
      <c r="QNY64" s="39"/>
      <c r="QOB64" s="41"/>
      <c r="QOC64" s="41"/>
      <c r="QOD64" s="41"/>
      <c r="QOE64" s="41"/>
      <c r="QOF64" s="41"/>
      <c r="QQB64" s="39"/>
      <c r="QQE64" s="41"/>
      <c r="QQF64" s="41"/>
      <c r="QQG64" s="41"/>
      <c r="QQH64" s="41"/>
      <c r="QQI64" s="41"/>
      <c r="QSE64" s="39"/>
      <c r="QSH64" s="41"/>
      <c r="QSI64" s="41"/>
      <c r="QSJ64" s="41"/>
      <c r="QSK64" s="41"/>
      <c r="QSL64" s="41"/>
      <c r="QUH64" s="39"/>
      <c r="QUK64" s="41"/>
      <c r="QUL64" s="41"/>
      <c r="QUM64" s="41"/>
      <c r="QUN64" s="41"/>
      <c r="QUO64" s="41"/>
      <c r="QWK64" s="39"/>
      <c r="QWN64" s="41"/>
      <c r="QWO64" s="41"/>
      <c r="QWP64" s="41"/>
      <c r="QWQ64" s="41"/>
      <c r="QWR64" s="41"/>
      <c r="QYN64" s="39"/>
      <c r="QYQ64" s="41"/>
      <c r="QYR64" s="41"/>
      <c r="QYS64" s="41"/>
      <c r="QYT64" s="41"/>
      <c r="QYU64" s="41"/>
      <c r="RAQ64" s="39"/>
      <c r="RAT64" s="41"/>
      <c r="RAU64" s="41"/>
      <c r="RAV64" s="41"/>
      <c r="RAW64" s="41"/>
      <c r="RAX64" s="41"/>
      <c r="RCT64" s="39"/>
      <c r="RCW64" s="41"/>
      <c r="RCX64" s="41"/>
      <c r="RCY64" s="41"/>
      <c r="RCZ64" s="41"/>
      <c r="RDA64" s="41"/>
      <c r="REW64" s="39"/>
      <c r="REZ64" s="41"/>
      <c r="RFA64" s="41"/>
      <c r="RFB64" s="41"/>
      <c r="RFC64" s="41"/>
      <c r="RFD64" s="41"/>
      <c r="RGZ64" s="39"/>
      <c r="RHC64" s="41"/>
      <c r="RHD64" s="41"/>
      <c r="RHE64" s="41"/>
      <c r="RHF64" s="41"/>
      <c r="RHG64" s="41"/>
      <c r="RJC64" s="39"/>
      <c r="RJF64" s="41"/>
      <c r="RJG64" s="41"/>
      <c r="RJH64" s="41"/>
      <c r="RJI64" s="41"/>
      <c r="RJJ64" s="41"/>
      <c r="RLF64" s="39"/>
      <c r="RLI64" s="41"/>
      <c r="RLJ64" s="41"/>
      <c r="RLK64" s="41"/>
      <c r="RLL64" s="41"/>
      <c r="RLM64" s="41"/>
      <c r="RNI64" s="39"/>
      <c r="RNL64" s="41"/>
      <c r="RNM64" s="41"/>
      <c r="RNN64" s="41"/>
      <c r="RNO64" s="41"/>
      <c r="RNP64" s="41"/>
      <c r="RPL64" s="39"/>
      <c r="RPO64" s="41"/>
      <c r="RPP64" s="41"/>
      <c r="RPQ64" s="41"/>
      <c r="RPR64" s="41"/>
      <c r="RPS64" s="41"/>
      <c r="RRO64" s="39"/>
      <c r="RRR64" s="41"/>
      <c r="RRS64" s="41"/>
      <c r="RRT64" s="41"/>
      <c r="RRU64" s="41"/>
      <c r="RRV64" s="41"/>
      <c r="RTR64" s="39"/>
      <c r="RTU64" s="41"/>
      <c r="RTV64" s="41"/>
      <c r="RTW64" s="41"/>
      <c r="RTX64" s="41"/>
      <c r="RTY64" s="41"/>
      <c r="RVU64" s="39"/>
      <c r="RVX64" s="41"/>
      <c r="RVY64" s="41"/>
      <c r="RVZ64" s="41"/>
      <c r="RWA64" s="41"/>
      <c r="RWB64" s="41"/>
      <c r="RXX64" s="39"/>
      <c r="RYA64" s="41"/>
      <c r="RYB64" s="41"/>
      <c r="RYC64" s="41"/>
      <c r="RYD64" s="41"/>
      <c r="RYE64" s="41"/>
      <c r="SAA64" s="39"/>
      <c r="SAD64" s="41"/>
      <c r="SAE64" s="41"/>
      <c r="SAF64" s="41"/>
      <c r="SAG64" s="41"/>
      <c r="SAH64" s="41"/>
      <c r="SCD64" s="39"/>
      <c r="SCG64" s="41"/>
      <c r="SCH64" s="41"/>
      <c r="SCI64" s="41"/>
      <c r="SCJ64" s="41"/>
      <c r="SCK64" s="41"/>
      <c r="SEG64" s="39"/>
      <c r="SEJ64" s="41"/>
      <c r="SEK64" s="41"/>
      <c r="SEL64" s="41"/>
      <c r="SEM64" s="41"/>
      <c r="SEN64" s="41"/>
      <c r="SGJ64" s="39"/>
      <c r="SGM64" s="41"/>
      <c r="SGN64" s="41"/>
      <c r="SGO64" s="41"/>
      <c r="SGP64" s="41"/>
      <c r="SGQ64" s="41"/>
      <c r="SIM64" s="39"/>
      <c r="SIP64" s="41"/>
      <c r="SIQ64" s="41"/>
      <c r="SIR64" s="41"/>
      <c r="SIS64" s="41"/>
      <c r="SIT64" s="41"/>
      <c r="SKP64" s="39"/>
      <c r="SKS64" s="41"/>
      <c r="SKT64" s="41"/>
      <c r="SKU64" s="41"/>
      <c r="SKV64" s="41"/>
      <c r="SKW64" s="41"/>
      <c r="SMS64" s="39"/>
      <c r="SMV64" s="41"/>
      <c r="SMW64" s="41"/>
      <c r="SMX64" s="41"/>
      <c r="SMY64" s="41"/>
      <c r="SMZ64" s="41"/>
      <c r="SOV64" s="39"/>
      <c r="SOY64" s="41"/>
      <c r="SOZ64" s="41"/>
      <c r="SPA64" s="41"/>
      <c r="SPB64" s="41"/>
      <c r="SPC64" s="41"/>
      <c r="SQY64" s="39"/>
      <c r="SRB64" s="41"/>
      <c r="SRC64" s="41"/>
      <c r="SRD64" s="41"/>
      <c r="SRE64" s="41"/>
      <c r="SRF64" s="41"/>
      <c r="STB64" s="39"/>
      <c r="STE64" s="41"/>
      <c r="STF64" s="41"/>
      <c r="STG64" s="41"/>
      <c r="STH64" s="41"/>
      <c r="STI64" s="41"/>
      <c r="SVE64" s="39"/>
      <c r="SVH64" s="41"/>
      <c r="SVI64" s="41"/>
      <c r="SVJ64" s="41"/>
      <c r="SVK64" s="41"/>
      <c r="SVL64" s="41"/>
      <c r="SXH64" s="39"/>
      <c r="SXK64" s="41"/>
      <c r="SXL64" s="41"/>
      <c r="SXM64" s="41"/>
      <c r="SXN64" s="41"/>
      <c r="SXO64" s="41"/>
      <c r="SZK64" s="39"/>
      <c r="SZN64" s="41"/>
      <c r="SZO64" s="41"/>
      <c r="SZP64" s="41"/>
      <c r="SZQ64" s="41"/>
      <c r="SZR64" s="41"/>
      <c r="TBN64" s="39"/>
      <c r="TBQ64" s="41"/>
      <c r="TBR64" s="41"/>
      <c r="TBS64" s="41"/>
      <c r="TBT64" s="41"/>
      <c r="TBU64" s="41"/>
      <c r="TDQ64" s="39"/>
      <c r="TDT64" s="41"/>
      <c r="TDU64" s="41"/>
      <c r="TDV64" s="41"/>
      <c r="TDW64" s="41"/>
      <c r="TDX64" s="41"/>
      <c r="TFT64" s="39"/>
      <c r="TFW64" s="41"/>
      <c r="TFX64" s="41"/>
      <c r="TFY64" s="41"/>
      <c r="TFZ64" s="41"/>
      <c r="TGA64" s="41"/>
      <c r="THW64" s="39"/>
      <c r="THZ64" s="41"/>
      <c r="TIA64" s="41"/>
      <c r="TIB64" s="41"/>
      <c r="TIC64" s="41"/>
      <c r="TID64" s="41"/>
      <c r="TJZ64" s="39"/>
      <c r="TKC64" s="41"/>
      <c r="TKD64" s="41"/>
      <c r="TKE64" s="41"/>
      <c r="TKF64" s="41"/>
      <c r="TKG64" s="41"/>
      <c r="TMC64" s="39"/>
      <c r="TMF64" s="41"/>
      <c r="TMG64" s="41"/>
      <c r="TMH64" s="41"/>
      <c r="TMI64" s="41"/>
      <c r="TMJ64" s="41"/>
      <c r="TOF64" s="39"/>
      <c r="TOI64" s="41"/>
      <c r="TOJ64" s="41"/>
      <c r="TOK64" s="41"/>
      <c r="TOL64" s="41"/>
      <c r="TOM64" s="41"/>
      <c r="TQI64" s="39"/>
      <c r="TQL64" s="41"/>
      <c r="TQM64" s="41"/>
      <c r="TQN64" s="41"/>
      <c r="TQO64" s="41"/>
      <c r="TQP64" s="41"/>
      <c r="TSL64" s="39"/>
      <c r="TSO64" s="41"/>
      <c r="TSP64" s="41"/>
      <c r="TSQ64" s="41"/>
      <c r="TSR64" s="41"/>
      <c r="TSS64" s="41"/>
      <c r="TUO64" s="39"/>
      <c r="TUR64" s="41"/>
      <c r="TUS64" s="41"/>
      <c r="TUT64" s="41"/>
      <c r="TUU64" s="41"/>
      <c r="TUV64" s="41"/>
      <c r="TWR64" s="39"/>
      <c r="TWU64" s="41"/>
      <c r="TWV64" s="41"/>
      <c r="TWW64" s="41"/>
      <c r="TWX64" s="41"/>
      <c r="TWY64" s="41"/>
      <c r="TYU64" s="39"/>
      <c r="TYX64" s="41"/>
      <c r="TYY64" s="41"/>
      <c r="TYZ64" s="41"/>
      <c r="TZA64" s="41"/>
      <c r="TZB64" s="41"/>
      <c r="UAX64" s="39"/>
      <c r="UBA64" s="41"/>
      <c r="UBB64" s="41"/>
      <c r="UBC64" s="41"/>
      <c r="UBD64" s="41"/>
      <c r="UBE64" s="41"/>
      <c r="UDA64" s="39"/>
      <c r="UDD64" s="41"/>
      <c r="UDE64" s="41"/>
      <c r="UDF64" s="41"/>
      <c r="UDG64" s="41"/>
      <c r="UDH64" s="41"/>
      <c r="UFD64" s="39"/>
      <c r="UFG64" s="41"/>
      <c r="UFH64" s="41"/>
      <c r="UFI64" s="41"/>
      <c r="UFJ64" s="41"/>
      <c r="UFK64" s="41"/>
      <c r="UHG64" s="39"/>
      <c r="UHJ64" s="41"/>
      <c r="UHK64" s="41"/>
      <c r="UHL64" s="41"/>
      <c r="UHM64" s="41"/>
      <c r="UHN64" s="41"/>
      <c r="UJJ64" s="39"/>
      <c r="UJM64" s="41"/>
      <c r="UJN64" s="41"/>
      <c r="UJO64" s="41"/>
      <c r="UJP64" s="41"/>
      <c r="UJQ64" s="41"/>
      <c r="ULM64" s="39"/>
      <c r="ULP64" s="41"/>
      <c r="ULQ64" s="41"/>
      <c r="ULR64" s="41"/>
      <c r="ULS64" s="41"/>
      <c r="ULT64" s="41"/>
      <c r="UNP64" s="39"/>
      <c r="UNS64" s="41"/>
      <c r="UNT64" s="41"/>
      <c r="UNU64" s="41"/>
      <c r="UNV64" s="41"/>
      <c r="UNW64" s="41"/>
      <c r="UPS64" s="39"/>
      <c r="UPV64" s="41"/>
      <c r="UPW64" s="41"/>
      <c r="UPX64" s="41"/>
      <c r="UPY64" s="41"/>
      <c r="UPZ64" s="41"/>
      <c r="URV64" s="39"/>
      <c r="URY64" s="41"/>
      <c r="URZ64" s="41"/>
      <c r="USA64" s="41"/>
      <c r="USB64" s="41"/>
      <c r="USC64" s="41"/>
      <c r="UTY64" s="39"/>
      <c r="UUB64" s="41"/>
      <c r="UUC64" s="41"/>
      <c r="UUD64" s="41"/>
      <c r="UUE64" s="41"/>
      <c r="UUF64" s="41"/>
      <c r="UWB64" s="39"/>
      <c r="UWE64" s="41"/>
      <c r="UWF64" s="41"/>
      <c r="UWG64" s="41"/>
      <c r="UWH64" s="41"/>
      <c r="UWI64" s="41"/>
      <c r="UYE64" s="39"/>
      <c r="UYH64" s="41"/>
      <c r="UYI64" s="41"/>
      <c r="UYJ64" s="41"/>
      <c r="UYK64" s="41"/>
      <c r="UYL64" s="41"/>
      <c r="VAH64" s="39"/>
      <c r="VAK64" s="41"/>
      <c r="VAL64" s="41"/>
      <c r="VAM64" s="41"/>
      <c r="VAN64" s="41"/>
      <c r="VAO64" s="41"/>
      <c r="VCK64" s="39"/>
      <c r="VCN64" s="41"/>
      <c r="VCO64" s="41"/>
      <c r="VCP64" s="41"/>
      <c r="VCQ64" s="41"/>
      <c r="VCR64" s="41"/>
      <c r="VEN64" s="39"/>
      <c r="VEQ64" s="41"/>
      <c r="VER64" s="41"/>
      <c r="VES64" s="41"/>
      <c r="VET64" s="41"/>
      <c r="VEU64" s="41"/>
      <c r="VGQ64" s="39"/>
      <c r="VGT64" s="41"/>
      <c r="VGU64" s="41"/>
      <c r="VGV64" s="41"/>
      <c r="VGW64" s="41"/>
      <c r="VGX64" s="41"/>
      <c r="VIT64" s="39"/>
      <c r="VIW64" s="41"/>
      <c r="VIX64" s="41"/>
      <c r="VIY64" s="41"/>
      <c r="VIZ64" s="41"/>
      <c r="VJA64" s="41"/>
      <c r="VKW64" s="39"/>
      <c r="VKZ64" s="41"/>
      <c r="VLA64" s="41"/>
      <c r="VLB64" s="41"/>
      <c r="VLC64" s="41"/>
      <c r="VLD64" s="41"/>
      <c r="VMZ64" s="39"/>
      <c r="VNC64" s="41"/>
      <c r="VND64" s="41"/>
      <c r="VNE64" s="41"/>
      <c r="VNF64" s="41"/>
      <c r="VNG64" s="41"/>
      <c r="VPC64" s="39"/>
      <c r="VPF64" s="41"/>
      <c r="VPG64" s="41"/>
      <c r="VPH64" s="41"/>
      <c r="VPI64" s="41"/>
      <c r="VPJ64" s="41"/>
      <c r="VRF64" s="39"/>
      <c r="VRI64" s="41"/>
      <c r="VRJ64" s="41"/>
      <c r="VRK64" s="41"/>
      <c r="VRL64" s="41"/>
      <c r="VRM64" s="41"/>
      <c r="VTI64" s="39"/>
      <c r="VTL64" s="41"/>
      <c r="VTM64" s="41"/>
      <c r="VTN64" s="41"/>
      <c r="VTO64" s="41"/>
      <c r="VTP64" s="41"/>
      <c r="VVL64" s="39"/>
      <c r="VVO64" s="41"/>
      <c r="VVP64" s="41"/>
      <c r="VVQ64" s="41"/>
      <c r="VVR64" s="41"/>
      <c r="VVS64" s="41"/>
      <c r="VXO64" s="39"/>
      <c r="VXR64" s="41"/>
      <c r="VXS64" s="41"/>
      <c r="VXT64" s="41"/>
      <c r="VXU64" s="41"/>
      <c r="VXV64" s="41"/>
      <c r="VZR64" s="39"/>
      <c r="VZU64" s="41"/>
      <c r="VZV64" s="41"/>
      <c r="VZW64" s="41"/>
      <c r="VZX64" s="41"/>
      <c r="VZY64" s="41"/>
      <c r="WBU64" s="39"/>
      <c r="WBX64" s="41"/>
      <c r="WBY64" s="41"/>
      <c r="WBZ64" s="41"/>
      <c r="WCA64" s="41"/>
      <c r="WCB64" s="41"/>
      <c r="WDX64" s="39"/>
      <c r="WEA64" s="41"/>
      <c r="WEB64" s="41"/>
      <c r="WEC64" s="41"/>
      <c r="WED64" s="41"/>
      <c r="WEE64" s="41"/>
      <c r="WGA64" s="39"/>
      <c r="WGD64" s="41"/>
      <c r="WGE64" s="41"/>
      <c r="WGF64" s="41"/>
      <c r="WGG64" s="41"/>
      <c r="WGH64" s="41"/>
      <c r="WID64" s="39"/>
      <c r="WIG64" s="41"/>
      <c r="WIH64" s="41"/>
      <c r="WII64" s="41"/>
      <c r="WIJ64" s="41"/>
      <c r="WIK64" s="41"/>
      <c r="WKG64" s="39"/>
      <c r="WKJ64" s="41"/>
      <c r="WKK64" s="41"/>
      <c r="WKL64" s="41"/>
      <c r="WKM64" s="41"/>
      <c r="WKN64" s="41"/>
      <c r="WMJ64" s="39"/>
      <c r="WMM64" s="41"/>
      <c r="WMN64" s="41"/>
      <c r="WMO64" s="41"/>
      <c r="WMP64" s="41"/>
      <c r="WMQ64" s="41"/>
      <c r="WOM64" s="39"/>
      <c r="WOP64" s="41"/>
      <c r="WOQ64" s="41"/>
      <c r="WOR64" s="41"/>
      <c r="WOS64" s="41"/>
      <c r="WOT64" s="41"/>
      <c r="WQP64" s="39"/>
      <c r="WQS64" s="41"/>
      <c r="WQT64" s="41"/>
      <c r="WQU64" s="41"/>
      <c r="WQV64" s="41"/>
      <c r="WQW64" s="41"/>
      <c r="WSS64" s="39"/>
      <c r="WSV64" s="41"/>
      <c r="WSW64" s="41"/>
      <c r="WSX64" s="41"/>
      <c r="WSY64" s="41"/>
      <c r="WSZ64" s="41"/>
      <c r="WUV64" s="39"/>
      <c r="WUY64" s="41"/>
      <c r="WUZ64" s="41"/>
      <c r="WVA64" s="41"/>
      <c r="WVB64" s="41"/>
      <c r="WVC64" s="41"/>
      <c r="WWY64" s="39"/>
      <c r="WXB64" s="41"/>
      <c r="WXC64" s="41"/>
      <c r="WXD64" s="41"/>
      <c r="WXE64" s="41"/>
      <c r="WXF64" s="41"/>
      <c r="WZB64" s="39"/>
      <c r="WZE64" s="41"/>
      <c r="WZF64" s="41"/>
      <c r="WZG64" s="41"/>
      <c r="WZH64" s="41"/>
      <c r="WZI64" s="41"/>
      <c r="XBE64" s="39"/>
      <c r="XBH64" s="41"/>
      <c r="XBI64" s="41"/>
      <c r="XBJ64" s="41"/>
      <c r="XBK64" s="41"/>
      <c r="XBL64" s="41"/>
      <c r="XDH64" s="39"/>
      <c r="XDK64" s="41"/>
      <c r="XDL64" s="41"/>
      <c r="XDM64" s="41"/>
      <c r="XDN64" s="41"/>
      <c r="XDO64" s="41"/>
    </row>
    <row r="65" spans="1:998 1046:2043 2091:3033 3081:4078 4126:6113 6161:7158 7206:8148 8196:9193 9241:10238 10286:11228 11276:12273 12321:13311 13314:14308 14356:15353 15401:16343" s="40" customFormat="1" ht="15" customHeight="1" x14ac:dyDescent="0.25">
      <c r="A65" s="22" t="s">
        <v>535</v>
      </c>
      <c r="B65" s="23">
        <v>500</v>
      </c>
      <c r="C65" s="23">
        <v>32</v>
      </c>
      <c r="D65" s="24">
        <v>25</v>
      </c>
      <c r="E65" s="24" t="s">
        <v>469</v>
      </c>
      <c r="F65" s="24">
        <v>0</v>
      </c>
      <c r="G65" s="24">
        <f t="shared" si="9"/>
        <v>384</v>
      </c>
      <c r="H65" s="24">
        <f t="shared" si="10"/>
        <v>199</v>
      </c>
      <c r="I65" s="23">
        <f t="shared" si="11"/>
        <v>187</v>
      </c>
      <c r="J65" s="23">
        <f t="shared" si="12"/>
        <v>30</v>
      </c>
      <c r="K65" s="23">
        <v>1.6875</v>
      </c>
      <c r="L65" s="23">
        <v>12</v>
      </c>
      <c r="M65" s="23">
        <v>20</v>
      </c>
      <c r="N65" s="23">
        <f t="shared" si="13"/>
        <v>9</v>
      </c>
      <c r="O65" s="23">
        <f t="shared" si="14"/>
        <v>20</v>
      </c>
      <c r="P65" s="23">
        <f t="shared" si="15"/>
        <v>40</v>
      </c>
      <c r="Q65" s="23">
        <f t="shared" si="16"/>
        <v>40</v>
      </c>
      <c r="R65" s="23">
        <f t="shared" si="17"/>
        <v>20</v>
      </c>
      <c r="BD65" s="39"/>
      <c r="BG65" s="41"/>
      <c r="BH65" s="41"/>
      <c r="BI65" s="41"/>
      <c r="BJ65" s="41"/>
      <c r="BK65" s="41"/>
      <c r="DG65" s="39"/>
      <c r="DJ65" s="41"/>
      <c r="DK65" s="41"/>
      <c r="DL65" s="41"/>
      <c r="DM65" s="41"/>
      <c r="DN65" s="41"/>
      <c r="FJ65" s="39"/>
      <c r="FM65" s="41"/>
      <c r="FN65" s="41"/>
      <c r="FO65" s="41"/>
      <c r="FP65" s="41"/>
      <c r="FQ65" s="41"/>
      <c r="HM65" s="39"/>
      <c r="HP65" s="41"/>
      <c r="HQ65" s="41"/>
      <c r="HR65" s="41"/>
      <c r="HS65" s="41"/>
      <c r="HT65" s="41"/>
      <c r="JP65" s="39"/>
      <c r="JS65" s="41"/>
      <c r="JT65" s="41"/>
      <c r="JU65" s="41"/>
      <c r="JV65" s="41"/>
      <c r="JW65" s="41"/>
      <c r="LS65" s="39"/>
      <c r="LV65" s="41"/>
      <c r="LW65" s="41"/>
      <c r="LX65" s="41"/>
      <c r="LY65" s="41"/>
      <c r="LZ65" s="41"/>
      <c r="NV65" s="39"/>
      <c r="NY65" s="41"/>
      <c r="NZ65" s="41"/>
      <c r="OA65" s="41"/>
      <c r="OB65" s="41"/>
      <c r="OC65" s="41"/>
      <c r="PY65" s="39"/>
      <c r="QB65" s="41"/>
      <c r="QC65" s="41"/>
      <c r="QD65" s="41"/>
      <c r="QE65" s="41"/>
      <c r="QF65" s="41"/>
      <c r="SB65" s="39"/>
      <c r="SE65" s="41"/>
      <c r="SF65" s="41"/>
      <c r="SG65" s="41"/>
      <c r="SH65" s="41"/>
      <c r="SI65" s="41"/>
      <c r="UE65" s="39"/>
      <c r="UH65" s="41"/>
      <c r="UI65" s="41"/>
      <c r="UJ65" s="41"/>
      <c r="UK65" s="41"/>
      <c r="UL65" s="41"/>
      <c r="WH65" s="39"/>
      <c r="WK65" s="41"/>
      <c r="WL65" s="41"/>
      <c r="WM65" s="41"/>
      <c r="WN65" s="41"/>
      <c r="WO65" s="41"/>
      <c r="YK65" s="39"/>
      <c r="YN65" s="41"/>
      <c r="YO65" s="41"/>
      <c r="YP65" s="41"/>
      <c r="YQ65" s="41"/>
      <c r="YR65" s="41"/>
      <c r="AAN65" s="39"/>
      <c r="AAQ65" s="41"/>
      <c r="AAR65" s="41"/>
      <c r="AAS65" s="41"/>
      <c r="AAT65" s="41"/>
      <c r="AAU65" s="41"/>
      <c r="ACQ65" s="39"/>
      <c r="ACT65" s="41"/>
      <c r="ACU65" s="41"/>
      <c r="ACV65" s="41"/>
      <c r="ACW65" s="41"/>
      <c r="ACX65" s="41"/>
      <c r="AET65" s="39"/>
      <c r="AEW65" s="41"/>
      <c r="AEX65" s="41"/>
      <c r="AEY65" s="41"/>
      <c r="AEZ65" s="41"/>
      <c r="AFA65" s="41"/>
      <c r="AGW65" s="39"/>
      <c r="AGZ65" s="41"/>
      <c r="AHA65" s="41"/>
      <c r="AHB65" s="41"/>
      <c r="AHC65" s="41"/>
      <c r="AHD65" s="41"/>
      <c r="AIZ65" s="39"/>
      <c r="AJC65" s="41"/>
      <c r="AJD65" s="41"/>
      <c r="AJE65" s="41"/>
      <c r="AJF65" s="41"/>
      <c r="AJG65" s="41"/>
      <c r="ALC65" s="39"/>
      <c r="ALF65" s="41"/>
      <c r="ALG65" s="41"/>
      <c r="ALH65" s="41"/>
      <c r="ALI65" s="41"/>
      <c r="ALJ65" s="41"/>
      <c r="ANF65" s="39"/>
      <c r="ANI65" s="41"/>
      <c r="ANJ65" s="41"/>
      <c r="ANK65" s="41"/>
      <c r="ANL65" s="41"/>
      <c r="ANM65" s="41"/>
      <c r="API65" s="39"/>
      <c r="APL65" s="41"/>
      <c r="APM65" s="41"/>
      <c r="APN65" s="41"/>
      <c r="APO65" s="41"/>
      <c r="APP65" s="41"/>
      <c r="ARL65" s="39"/>
      <c r="ARO65" s="41"/>
      <c r="ARP65" s="41"/>
      <c r="ARQ65" s="41"/>
      <c r="ARR65" s="41"/>
      <c r="ARS65" s="41"/>
      <c r="ATO65" s="39"/>
      <c r="ATR65" s="41"/>
      <c r="ATS65" s="41"/>
      <c r="ATT65" s="41"/>
      <c r="ATU65" s="41"/>
      <c r="ATV65" s="41"/>
      <c r="AVR65" s="39"/>
      <c r="AVU65" s="41"/>
      <c r="AVV65" s="41"/>
      <c r="AVW65" s="41"/>
      <c r="AVX65" s="41"/>
      <c r="AVY65" s="41"/>
      <c r="AXU65" s="39"/>
      <c r="AXX65" s="41"/>
      <c r="AXY65" s="41"/>
      <c r="AXZ65" s="41"/>
      <c r="AYA65" s="41"/>
      <c r="AYB65" s="41"/>
      <c r="AZX65" s="39"/>
      <c r="BAA65" s="41"/>
      <c r="BAB65" s="41"/>
      <c r="BAC65" s="41"/>
      <c r="BAD65" s="41"/>
      <c r="BAE65" s="41"/>
      <c r="BCA65" s="39"/>
      <c r="BCD65" s="41"/>
      <c r="BCE65" s="41"/>
      <c r="BCF65" s="41"/>
      <c r="BCG65" s="41"/>
      <c r="BCH65" s="41"/>
      <c r="BED65" s="39"/>
      <c r="BEG65" s="41"/>
      <c r="BEH65" s="41"/>
      <c r="BEI65" s="41"/>
      <c r="BEJ65" s="41"/>
      <c r="BEK65" s="41"/>
      <c r="BGG65" s="39"/>
      <c r="BGJ65" s="41"/>
      <c r="BGK65" s="41"/>
      <c r="BGL65" s="41"/>
      <c r="BGM65" s="41"/>
      <c r="BGN65" s="41"/>
      <c r="BIJ65" s="39"/>
      <c r="BIM65" s="41"/>
      <c r="BIN65" s="41"/>
      <c r="BIO65" s="41"/>
      <c r="BIP65" s="41"/>
      <c r="BIQ65" s="41"/>
      <c r="BKM65" s="39"/>
      <c r="BKP65" s="41"/>
      <c r="BKQ65" s="41"/>
      <c r="BKR65" s="41"/>
      <c r="BKS65" s="41"/>
      <c r="BKT65" s="41"/>
      <c r="BMP65" s="39"/>
      <c r="BMS65" s="41"/>
      <c r="BMT65" s="41"/>
      <c r="BMU65" s="41"/>
      <c r="BMV65" s="41"/>
      <c r="BMW65" s="41"/>
      <c r="BOS65" s="39"/>
      <c r="BOV65" s="41"/>
      <c r="BOW65" s="41"/>
      <c r="BOX65" s="41"/>
      <c r="BOY65" s="41"/>
      <c r="BOZ65" s="41"/>
      <c r="BQV65" s="39"/>
      <c r="BQY65" s="41"/>
      <c r="BQZ65" s="41"/>
      <c r="BRA65" s="41"/>
      <c r="BRB65" s="41"/>
      <c r="BRC65" s="41"/>
      <c r="BSY65" s="39"/>
      <c r="BTB65" s="41"/>
      <c r="BTC65" s="41"/>
      <c r="BTD65" s="41"/>
      <c r="BTE65" s="41"/>
      <c r="BTF65" s="41"/>
      <c r="BVB65" s="39"/>
      <c r="BVE65" s="41"/>
      <c r="BVF65" s="41"/>
      <c r="BVG65" s="41"/>
      <c r="BVH65" s="41"/>
      <c r="BVI65" s="41"/>
      <c r="BXE65" s="39"/>
      <c r="BXH65" s="41"/>
      <c r="BXI65" s="41"/>
      <c r="BXJ65" s="41"/>
      <c r="BXK65" s="41"/>
      <c r="BXL65" s="41"/>
      <c r="BZH65" s="39"/>
      <c r="BZK65" s="41"/>
      <c r="BZL65" s="41"/>
      <c r="BZM65" s="41"/>
      <c r="BZN65" s="41"/>
      <c r="BZO65" s="41"/>
      <c r="CBK65" s="39"/>
      <c r="CBN65" s="41"/>
      <c r="CBO65" s="41"/>
      <c r="CBP65" s="41"/>
      <c r="CBQ65" s="41"/>
      <c r="CBR65" s="41"/>
      <c r="CDN65" s="39"/>
      <c r="CDQ65" s="41"/>
      <c r="CDR65" s="41"/>
      <c r="CDS65" s="41"/>
      <c r="CDT65" s="41"/>
      <c r="CDU65" s="41"/>
      <c r="CFQ65" s="39"/>
      <c r="CFT65" s="41"/>
      <c r="CFU65" s="41"/>
      <c r="CFV65" s="41"/>
      <c r="CFW65" s="41"/>
      <c r="CFX65" s="41"/>
      <c r="CHT65" s="39"/>
      <c r="CHW65" s="41"/>
      <c r="CHX65" s="41"/>
      <c r="CHY65" s="41"/>
      <c r="CHZ65" s="41"/>
      <c r="CIA65" s="41"/>
      <c r="CJW65" s="39"/>
      <c r="CJZ65" s="41"/>
      <c r="CKA65" s="41"/>
      <c r="CKB65" s="41"/>
      <c r="CKC65" s="41"/>
      <c r="CKD65" s="41"/>
      <c r="CLZ65" s="39"/>
      <c r="CMC65" s="41"/>
      <c r="CMD65" s="41"/>
      <c r="CME65" s="41"/>
      <c r="CMF65" s="41"/>
      <c r="CMG65" s="41"/>
      <c r="COC65" s="39"/>
      <c r="COF65" s="41"/>
      <c r="COG65" s="41"/>
      <c r="COH65" s="41"/>
      <c r="COI65" s="41"/>
      <c r="COJ65" s="41"/>
      <c r="CQF65" s="39"/>
      <c r="CQI65" s="41"/>
      <c r="CQJ65" s="41"/>
      <c r="CQK65" s="41"/>
      <c r="CQL65" s="41"/>
      <c r="CQM65" s="41"/>
      <c r="CSI65" s="39"/>
      <c r="CSL65" s="41"/>
      <c r="CSM65" s="41"/>
      <c r="CSN65" s="41"/>
      <c r="CSO65" s="41"/>
      <c r="CSP65" s="41"/>
      <c r="CUL65" s="39"/>
      <c r="CUO65" s="41"/>
      <c r="CUP65" s="41"/>
      <c r="CUQ65" s="41"/>
      <c r="CUR65" s="41"/>
      <c r="CUS65" s="41"/>
      <c r="CWO65" s="39"/>
      <c r="CWR65" s="41"/>
      <c r="CWS65" s="41"/>
      <c r="CWT65" s="41"/>
      <c r="CWU65" s="41"/>
      <c r="CWV65" s="41"/>
      <c r="CYR65" s="39"/>
      <c r="CYU65" s="41"/>
      <c r="CYV65" s="41"/>
      <c r="CYW65" s="41"/>
      <c r="CYX65" s="41"/>
      <c r="CYY65" s="41"/>
      <c r="DAU65" s="39"/>
      <c r="DAX65" s="41"/>
      <c r="DAY65" s="41"/>
      <c r="DAZ65" s="41"/>
      <c r="DBA65" s="41"/>
      <c r="DBB65" s="41"/>
      <c r="DCX65" s="39"/>
      <c r="DDA65" s="41"/>
      <c r="DDB65" s="41"/>
      <c r="DDC65" s="41"/>
      <c r="DDD65" s="41"/>
      <c r="DDE65" s="41"/>
      <c r="DFA65" s="39"/>
      <c r="DFD65" s="41"/>
      <c r="DFE65" s="41"/>
      <c r="DFF65" s="41"/>
      <c r="DFG65" s="41"/>
      <c r="DFH65" s="41"/>
      <c r="DHD65" s="39"/>
      <c r="DHG65" s="41"/>
      <c r="DHH65" s="41"/>
      <c r="DHI65" s="41"/>
      <c r="DHJ65" s="41"/>
      <c r="DHK65" s="41"/>
      <c r="DJG65" s="39"/>
      <c r="DJJ65" s="41"/>
      <c r="DJK65" s="41"/>
      <c r="DJL65" s="41"/>
      <c r="DJM65" s="41"/>
      <c r="DJN65" s="41"/>
      <c r="DLJ65" s="39"/>
      <c r="DLM65" s="41"/>
      <c r="DLN65" s="41"/>
      <c r="DLO65" s="41"/>
      <c r="DLP65" s="41"/>
      <c r="DLQ65" s="41"/>
      <c r="DNM65" s="39"/>
      <c r="DNP65" s="41"/>
      <c r="DNQ65" s="41"/>
      <c r="DNR65" s="41"/>
      <c r="DNS65" s="41"/>
      <c r="DNT65" s="41"/>
      <c r="DPP65" s="39"/>
      <c r="DPS65" s="41"/>
      <c r="DPT65" s="41"/>
      <c r="DPU65" s="41"/>
      <c r="DPV65" s="41"/>
      <c r="DPW65" s="41"/>
      <c r="DRS65" s="39"/>
      <c r="DRV65" s="41"/>
      <c r="DRW65" s="41"/>
      <c r="DRX65" s="41"/>
      <c r="DRY65" s="41"/>
      <c r="DRZ65" s="41"/>
      <c r="DTV65" s="39"/>
      <c r="DTY65" s="41"/>
      <c r="DTZ65" s="41"/>
      <c r="DUA65" s="41"/>
      <c r="DUB65" s="41"/>
      <c r="DUC65" s="41"/>
      <c r="DVY65" s="39"/>
      <c r="DWB65" s="41"/>
      <c r="DWC65" s="41"/>
      <c r="DWD65" s="41"/>
      <c r="DWE65" s="41"/>
      <c r="DWF65" s="41"/>
      <c r="DYB65" s="39"/>
      <c r="DYE65" s="41"/>
      <c r="DYF65" s="41"/>
      <c r="DYG65" s="41"/>
      <c r="DYH65" s="41"/>
      <c r="DYI65" s="41"/>
      <c r="EAE65" s="39"/>
      <c r="EAH65" s="41"/>
      <c r="EAI65" s="41"/>
      <c r="EAJ65" s="41"/>
      <c r="EAK65" s="41"/>
      <c r="EAL65" s="41"/>
      <c r="ECH65" s="39"/>
      <c r="ECK65" s="41"/>
      <c r="ECL65" s="41"/>
      <c r="ECM65" s="41"/>
      <c r="ECN65" s="41"/>
      <c r="ECO65" s="41"/>
      <c r="EEK65" s="39"/>
      <c r="EEN65" s="41"/>
      <c r="EEO65" s="41"/>
      <c r="EEP65" s="41"/>
      <c r="EEQ65" s="41"/>
      <c r="EER65" s="41"/>
      <c r="EGN65" s="39"/>
      <c r="EGQ65" s="41"/>
      <c r="EGR65" s="41"/>
      <c r="EGS65" s="41"/>
      <c r="EGT65" s="41"/>
      <c r="EGU65" s="41"/>
      <c r="EIQ65" s="39"/>
      <c r="EIT65" s="41"/>
      <c r="EIU65" s="41"/>
      <c r="EIV65" s="41"/>
      <c r="EIW65" s="41"/>
      <c r="EIX65" s="41"/>
      <c r="EKT65" s="39"/>
      <c r="EKW65" s="41"/>
      <c r="EKX65" s="41"/>
      <c r="EKY65" s="41"/>
      <c r="EKZ65" s="41"/>
      <c r="ELA65" s="41"/>
      <c r="EMW65" s="39"/>
      <c r="EMZ65" s="41"/>
      <c r="ENA65" s="41"/>
      <c r="ENB65" s="41"/>
      <c r="ENC65" s="41"/>
      <c r="END65" s="41"/>
      <c r="EOZ65" s="39"/>
      <c r="EPC65" s="41"/>
      <c r="EPD65" s="41"/>
      <c r="EPE65" s="41"/>
      <c r="EPF65" s="41"/>
      <c r="EPG65" s="41"/>
      <c r="ERC65" s="39"/>
      <c r="ERF65" s="41"/>
      <c r="ERG65" s="41"/>
      <c r="ERH65" s="41"/>
      <c r="ERI65" s="41"/>
      <c r="ERJ65" s="41"/>
      <c r="ETF65" s="39"/>
      <c r="ETI65" s="41"/>
      <c r="ETJ65" s="41"/>
      <c r="ETK65" s="41"/>
      <c r="ETL65" s="41"/>
      <c r="ETM65" s="41"/>
      <c r="EVI65" s="39"/>
      <c r="EVL65" s="41"/>
      <c r="EVM65" s="41"/>
      <c r="EVN65" s="41"/>
      <c r="EVO65" s="41"/>
      <c r="EVP65" s="41"/>
      <c r="EXL65" s="39"/>
      <c r="EXO65" s="41"/>
      <c r="EXP65" s="41"/>
      <c r="EXQ65" s="41"/>
      <c r="EXR65" s="41"/>
      <c r="EXS65" s="41"/>
      <c r="EZO65" s="39"/>
      <c r="EZR65" s="41"/>
      <c r="EZS65" s="41"/>
      <c r="EZT65" s="41"/>
      <c r="EZU65" s="41"/>
      <c r="EZV65" s="41"/>
      <c r="FBR65" s="39"/>
      <c r="FBU65" s="41"/>
      <c r="FBV65" s="41"/>
      <c r="FBW65" s="41"/>
      <c r="FBX65" s="41"/>
      <c r="FBY65" s="41"/>
      <c r="FDU65" s="39"/>
      <c r="FDX65" s="41"/>
      <c r="FDY65" s="41"/>
      <c r="FDZ65" s="41"/>
      <c r="FEA65" s="41"/>
      <c r="FEB65" s="41"/>
      <c r="FFX65" s="39"/>
      <c r="FGA65" s="41"/>
      <c r="FGB65" s="41"/>
      <c r="FGC65" s="41"/>
      <c r="FGD65" s="41"/>
      <c r="FGE65" s="41"/>
      <c r="FIA65" s="39"/>
      <c r="FID65" s="41"/>
      <c r="FIE65" s="41"/>
      <c r="FIF65" s="41"/>
      <c r="FIG65" s="41"/>
      <c r="FIH65" s="41"/>
      <c r="FKD65" s="39"/>
      <c r="FKG65" s="41"/>
      <c r="FKH65" s="41"/>
      <c r="FKI65" s="41"/>
      <c r="FKJ65" s="41"/>
      <c r="FKK65" s="41"/>
      <c r="FMG65" s="39"/>
      <c r="FMJ65" s="41"/>
      <c r="FMK65" s="41"/>
      <c r="FML65" s="41"/>
      <c r="FMM65" s="41"/>
      <c r="FMN65" s="41"/>
      <c r="FOJ65" s="39"/>
      <c r="FOM65" s="41"/>
      <c r="FON65" s="41"/>
      <c r="FOO65" s="41"/>
      <c r="FOP65" s="41"/>
      <c r="FOQ65" s="41"/>
      <c r="FQM65" s="39"/>
      <c r="FQP65" s="41"/>
      <c r="FQQ65" s="41"/>
      <c r="FQR65" s="41"/>
      <c r="FQS65" s="41"/>
      <c r="FQT65" s="41"/>
      <c r="FSP65" s="39"/>
      <c r="FSS65" s="41"/>
      <c r="FST65" s="41"/>
      <c r="FSU65" s="41"/>
      <c r="FSV65" s="41"/>
      <c r="FSW65" s="41"/>
      <c r="FUS65" s="39"/>
      <c r="FUV65" s="41"/>
      <c r="FUW65" s="41"/>
      <c r="FUX65" s="41"/>
      <c r="FUY65" s="41"/>
      <c r="FUZ65" s="41"/>
      <c r="FWV65" s="39"/>
      <c r="FWY65" s="41"/>
      <c r="FWZ65" s="41"/>
      <c r="FXA65" s="41"/>
      <c r="FXB65" s="41"/>
      <c r="FXC65" s="41"/>
      <c r="FYY65" s="39"/>
      <c r="FZB65" s="41"/>
      <c r="FZC65" s="41"/>
      <c r="FZD65" s="41"/>
      <c r="FZE65" s="41"/>
      <c r="FZF65" s="41"/>
      <c r="GBB65" s="39"/>
      <c r="GBE65" s="41"/>
      <c r="GBF65" s="41"/>
      <c r="GBG65" s="41"/>
      <c r="GBH65" s="41"/>
      <c r="GBI65" s="41"/>
      <c r="GDE65" s="39"/>
      <c r="GDH65" s="41"/>
      <c r="GDI65" s="41"/>
      <c r="GDJ65" s="41"/>
      <c r="GDK65" s="41"/>
      <c r="GDL65" s="41"/>
      <c r="GFH65" s="39"/>
      <c r="GFK65" s="41"/>
      <c r="GFL65" s="41"/>
      <c r="GFM65" s="41"/>
      <c r="GFN65" s="41"/>
      <c r="GFO65" s="41"/>
      <c r="GHK65" s="39"/>
      <c r="GHN65" s="41"/>
      <c r="GHO65" s="41"/>
      <c r="GHP65" s="41"/>
      <c r="GHQ65" s="41"/>
      <c r="GHR65" s="41"/>
      <c r="GJN65" s="39"/>
      <c r="GJQ65" s="41"/>
      <c r="GJR65" s="41"/>
      <c r="GJS65" s="41"/>
      <c r="GJT65" s="41"/>
      <c r="GJU65" s="41"/>
      <c r="GLQ65" s="39"/>
      <c r="GLT65" s="41"/>
      <c r="GLU65" s="41"/>
      <c r="GLV65" s="41"/>
      <c r="GLW65" s="41"/>
      <c r="GLX65" s="41"/>
      <c r="GNT65" s="39"/>
      <c r="GNW65" s="41"/>
      <c r="GNX65" s="41"/>
      <c r="GNY65" s="41"/>
      <c r="GNZ65" s="41"/>
      <c r="GOA65" s="41"/>
      <c r="GPW65" s="39"/>
      <c r="GPZ65" s="41"/>
      <c r="GQA65" s="41"/>
      <c r="GQB65" s="41"/>
      <c r="GQC65" s="41"/>
      <c r="GQD65" s="41"/>
      <c r="GRZ65" s="39"/>
      <c r="GSC65" s="41"/>
      <c r="GSD65" s="41"/>
      <c r="GSE65" s="41"/>
      <c r="GSF65" s="41"/>
      <c r="GSG65" s="41"/>
      <c r="GUC65" s="39"/>
      <c r="GUF65" s="41"/>
      <c r="GUG65" s="41"/>
      <c r="GUH65" s="41"/>
      <c r="GUI65" s="41"/>
      <c r="GUJ65" s="41"/>
      <c r="GWF65" s="39"/>
      <c r="GWI65" s="41"/>
      <c r="GWJ65" s="41"/>
      <c r="GWK65" s="41"/>
      <c r="GWL65" s="41"/>
      <c r="GWM65" s="41"/>
      <c r="GYI65" s="39"/>
      <c r="GYL65" s="41"/>
      <c r="GYM65" s="41"/>
      <c r="GYN65" s="41"/>
      <c r="GYO65" s="41"/>
      <c r="GYP65" s="41"/>
      <c r="HAL65" s="39"/>
      <c r="HAO65" s="41"/>
      <c r="HAP65" s="41"/>
      <c r="HAQ65" s="41"/>
      <c r="HAR65" s="41"/>
      <c r="HAS65" s="41"/>
      <c r="HCO65" s="39"/>
      <c r="HCR65" s="41"/>
      <c r="HCS65" s="41"/>
      <c r="HCT65" s="41"/>
      <c r="HCU65" s="41"/>
      <c r="HCV65" s="41"/>
      <c r="HER65" s="39"/>
      <c r="HEU65" s="41"/>
      <c r="HEV65" s="41"/>
      <c r="HEW65" s="41"/>
      <c r="HEX65" s="41"/>
      <c r="HEY65" s="41"/>
      <c r="HGU65" s="39"/>
      <c r="HGX65" s="41"/>
      <c r="HGY65" s="41"/>
      <c r="HGZ65" s="41"/>
      <c r="HHA65" s="41"/>
      <c r="HHB65" s="41"/>
      <c r="HIX65" s="39"/>
      <c r="HJA65" s="41"/>
      <c r="HJB65" s="41"/>
      <c r="HJC65" s="41"/>
      <c r="HJD65" s="41"/>
      <c r="HJE65" s="41"/>
      <c r="HLA65" s="39"/>
      <c r="HLD65" s="41"/>
      <c r="HLE65" s="41"/>
      <c r="HLF65" s="41"/>
      <c r="HLG65" s="41"/>
      <c r="HLH65" s="41"/>
      <c r="HND65" s="39"/>
      <c r="HNG65" s="41"/>
      <c r="HNH65" s="41"/>
      <c r="HNI65" s="41"/>
      <c r="HNJ65" s="41"/>
      <c r="HNK65" s="41"/>
      <c r="HPG65" s="39"/>
      <c r="HPJ65" s="41"/>
      <c r="HPK65" s="41"/>
      <c r="HPL65" s="41"/>
      <c r="HPM65" s="41"/>
      <c r="HPN65" s="41"/>
      <c r="HRJ65" s="39"/>
      <c r="HRM65" s="41"/>
      <c r="HRN65" s="41"/>
      <c r="HRO65" s="41"/>
      <c r="HRP65" s="41"/>
      <c r="HRQ65" s="41"/>
      <c r="HTM65" s="39"/>
      <c r="HTP65" s="41"/>
      <c r="HTQ65" s="41"/>
      <c r="HTR65" s="41"/>
      <c r="HTS65" s="41"/>
      <c r="HTT65" s="41"/>
      <c r="HVP65" s="39"/>
      <c r="HVS65" s="41"/>
      <c r="HVT65" s="41"/>
      <c r="HVU65" s="41"/>
      <c r="HVV65" s="41"/>
      <c r="HVW65" s="41"/>
      <c r="HXS65" s="39"/>
      <c r="HXV65" s="41"/>
      <c r="HXW65" s="41"/>
      <c r="HXX65" s="41"/>
      <c r="HXY65" s="41"/>
      <c r="HXZ65" s="41"/>
      <c r="HZV65" s="39"/>
      <c r="HZY65" s="41"/>
      <c r="HZZ65" s="41"/>
      <c r="IAA65" s="41"/>
      <c r="IAB65" s="41"/>
      <c r="IAC65" s="41"/>
      <c r="IBY65" s="39"/>
      <c r="ICB65" s="41"/>
      <c r="ICC65" s="41"/>
      <c r="ICD65" s="41"/>
      <c r="ICE65" s="41"/>
      <c r="ICF65" s="41"/>
      <c r="IEB65" s="39"/>
      <c r="IEE65" s="41"/>
      <c r="IEF65" s="41"/>
      <c r="IEG65" s="41"/>
      <c r="IEH65" s="41"/>
      <c r="IEI65" s="41"/>
      <c r="IGE65" s="39"/>
      <c r="IGH65" s="41"/>
      <c r="IGI65" s="41"/>
      <c r="IGJ65" s="41"/>
      <c r="IGK65" s="41"/>
      <c r="IGL65" s="41"/>
      <c r="IIH65" s="39"/>
      <c r="IIK65" s="41"/>
      <c r="IIL65" s="41"/>
      <c r="IIM65" s="41"/>
      <c r="IIN65" s="41"/>
      <c r="IIO65" s="41"/>
      <c r="IKK65" s="39"/>
      <c r="IKN65" s="41"/>
      <c r="IKO65" s="41"/>
      <c r="IKP65" s="41"/>
      <c r="IKQ65" s="41"/>
      <c r="IKR65" s="41"/>
      <c r="IMN65" s="39"/>
      <c r="IMQ65" s="41"/>
      <c r="IMR65" s="41"/>
      <c r="IMS65" s="41"/>
      <c r="IMT65" s="41"/>
      <c r="IMU65" s="41"/>
      <c r="IOQ65" s="39"/>
      <c r="IOT65" s="41"/>
      <c r="IOU65" s="41"/>
      <c r="IOV65" s="41"/>
      <c r="IOW65" s="41"/>
      <c r="IOX65" s="41"/>
      <c r="IQT65" s="39"/>
      <c r="IQW65" s="41"/>
      <c r="IQX65" s="41"/>
      <c r="IQY65" s="41"/>
      <c r="IQZ65" s="41"/>
      <c r="IRA65" s="41"/>
      <c r="ISW65" s="39"/>
      <c r="ISZ65" s="41"/>
      <c r="ITA65" s="41"/>
      <c r="ITB65" s="41"/>
      <c r="ITC65" s="41"/>
      <c r="ITD65" s="41"/>
      <c r="IUZ65" s="39"/>
      <c r="IVC65" s="41"/>
      <c r="IVD65" s="41"/>
      <c r="IVE65" s="41"/>
      <c r="IVF65" s="41"/>
      <c r="IVG65" s="41"/>
      <c r="IXC65" s="39"/>
      <c r="IXF65" s="41"/>
      <c r="IXG65" s="41"/>
      <c r="IXH65" s="41"/>
      <c r="IXI65" s="41"/>
      <c r="IXJ65" s="41"/>
      <c r="IZF65" s="39"/>
      <c r="IZI65" s="41"/>
      <c r="IZJ65" s="41"/>
      <c r="IZK65" s="41"/>
      <c r="IZL65" s="41"/>
      <c r="IZM65" s="41"/>
      <c r="JBI65" s="39"/>
      <c r="JBL65" s="41"/>
      <c r="JBM65" s="41"/>
      <c r="JBN65" s="41"/>
      <c r="JBO65" s="41"/>
      <c r="JBP65" s="41"/>
      <c r="JDL65" s="39"/>
      <c r="JDO65" s="41"/>
      <c r="JDP65" s="41"/>
      <c r="JDQ65" s="41"/>
      <c r="JDR65" s="41"/>
      <c r="JDS65" s="41"/>
      <c r="JFO65" s="39"/>
      <c r="JFR65" s="41"/>
      <c r="JFS65" s="41"/>
      <c r="JFT65" s="41"/>
      <c r="JFU65" s="41"/>
      <c r="JFV65" s="41"/>
      <c r="JHR65" s="39"/>
      <c r="JHU65" s="41"/>
      <c r="JHV65" s="41"/>
      <c r="JHW65" s="41"/>
      <c r="JHX65" s="41"/>
      <c r="JHY65" s="41"/>
      <c r="JJU65" s="39"/>
      <c r="JJX65" s="41"/>
      <c r="JJY65" s="41"/>
      <c r="JJZ65" s="41"/>
      <c r="JKA65" s="41"/>
      <c r="JKB65" s="41"/>
      <c r="JLX65" s="39"/>
      <c r="JMA65" s="41"/>
      <c r="JMB65" s="41"/>
      <c r="JMC65" s="41"/>
      <c r="JMD65" s="41"/>
      <c r="JME65" s="41"/>
      <c r="JOA65" s="39"/>
      <c r="JOD65" s="41"/>
      <c r="JOE65" s="41"/>
      <c r="JOF65" s="41"/>
      <c r="JOG65" s="41"/>
      <c r="JOH65" s="41"/>
      <c r="JQD65" s="39"/>
      <c r="JQG65" s="41"/>
      <c r="JQH65" s="41"/>
      <c r="JQI65" s="41"/>
      <c r="JQJ65" s="41"/>
      <c r="JQK65" s="41"/>
      <c r="JSG65" s="39"/>
      <c r="JSJ65" s="41"/>
      <c r="JSK65" s="41"/>
      <c r="JSL65" s="41"/>
      <c r="JSM65" s="41"/>
      <c r="JSN65" s="41"/>
      <c r="JUJ65" s="39"/>
      <c r="JUM65" s="41"/>
      <c r="JUN65" s="41"/>
      <c r="JUO65" s="41"/>
      <c r="JUP65" s="41"/>
      <c r="JUQ65" s="41"/>
      <c r="JWM65" s="39"/>
      <c r="JWP65" s="41"/>
      <c r="JWQ65" s="41"/>
      <c r="JWR65" s="41"/>
      <c r="JWS65" s="41"/>
      <c r="JWT65" s="41"/>
      <c r="JYP65" s="39"/>
      <c r="JYS65" s="41"/>
      <c r="JYT65" s="41"/>
      <c r="JYU65" s="41"/>
      <c r="JYV65" s="41"/>
      <c r="JYW65" s="41"/>
      <c r="KAS65" s="39"/>
      <c r="KAV65" s="41"/>
      <c r="KAW65" s="41"/>
      <c r="KAX65" s="41"/>
      <c r="KAY65" s="41"/>
      <c r="KAZ65" s="41"/>
      <c r="KCV65" s="39"/>
      <c r="KCY65" s="41"/>
      <c r="KCZ65" s="41"/>
      <c r="KDA65" s="41"/>
      <c r="KDB65" s="41"/>
      <c r="KDC65" s="41"/>
      <c r="KEY65" s="39"/>
      <c r="KFB65" s="41"/>
      <c r="KFC65" s="41"/>
      <c r="KFD65" s="41"/>
      <c r="KFE65" s="41"/>
      <c r="KFF65" s="41"/>
      <c r="KHB65" s="39"/>
      <c r="KHE65" s="41"/>
      <c r="KHF65" s="41"/>
      <c r="KHG65" s="41"/>
      <c r="KHH65" s="41"/>
      <c r="KHI65" s="41"/>
      <c r="KJE65" s="39"/>
      <c r="KJH65" s="41"/>
      <c r="KJI65" s="41"/>
      <c r="KJJ65" s="41"/>
      <c r="KJK65" s="41"/>
      <c r="KJL65" s="41"/>
      <c r="KLH65" s="39"/>
      <c r="KLK65" s="41"/>
      <c r="KLL65" s="41"/>
      <c r="KLM65" s="41"/>
      <c r="KLN65" s="41"/>
      <c r="KLO65" s="41"/>
      <c r="KNK65" s="39"/>
      <c r="KNN65" s="41"/>
      <c r="KNO65" s="41"/>
      <c r="KNP65" s="41"/>
      <c r="KNQ65" s="41"/>
      <c r="KNR65" s="41"/>
      <c r="KPN65" s="39"/>
      <c r="KPQ65" s="41"/>
      <c r="KPR65" s="41"/>
      <c r="KPS65" s="41"/>
      <c r="KPT65" s="41"/>
      <c r="KPU65" s="41"/>
      <c r="KRQ65" s="39"/>
      <c r="KRT65" s="41"/>
      <c r="KRU65" s="41"/>
      <c r="KRV65" s="41"/>
      <c r="KRW65" s="41"/>
      <c r="KRX65" s="41"/>
      <c r="KTT65" s="39"/>
      <c r="KTW65" s="41"/>
      <c r="KTX65" s="41"/>
      <c r="KTY65" s="41"/>
      <c r="KTZ65" s="41"/>
      <c r="KUA65" s="41"/>
      <c r="KVW65" s="39"/>
      <c r="KVZ65" s="41"/>
      <c r="KWA65" s="41"/>
      <c r="KWB65" s="41"/>
      <c r="KWC65" s="41"/>
      <c r="KWD65" s="41"/>
      <c r="KXZ65" s="39"/>
      <c r="KYC65" s="41"/>
      <c r="KYD65" s="41"/>
      <c r="KYE65" s="41"/>
      <c r="KYF65" s="41"/>
      <c r="KYG65" s="41"/>
      <c r="LAC65" s="39"/>
      <c r="LAF65" s="41"/>
      <c r="LAG65" s="41"/>
      <c r="LAH65" s="41"/>
      <c r="LAI65" s="41"/>
      <c r="LAJ65" s="41"/>
      <c r="LCF65" s="39"/>
      <c r="LCI65" s="41"/>
      <c r="LCJ65" s="41"/>
      <c r="LCK65" s="41"/>
      <c r="LCL65" s="41"/>
      <c r="LCM65" s="41"/>
      <c r="LEI65" s="39"/>
      <c r="LEL65" s="41"/>
      <c r="LEM65" s="41"/>
      <c r="LEN65" s="41"/>
      <c r="LEO65" s="41"/>
      <c r="LEP65" s="41"/>
      <c r="LGL65" s="39"/>
      <c r="LGO65" s="41"/>
      <c r="LGP65" s="41"/>
      <c r="LGQ65" s="41"/>
      <c r="LGR65" s="41"/>
      <c r="LGS65" s="41"/>
      <c r="LIO65" s="39"/>
      <c r="LIR65" s="41"/>
      <c r="LIS65" s="41"/>
      <c r="LIT65" s="41"/>
      <c r="LIU65" s="41"/>
      <c r="LIV65" s="41"/>
      <c r="LKR65" s="39"/>
      <c r="LKU65" s="41"/>
      <c r="LKV65" s="41"/>
      <c r="LKW65" s="41"/>
      <c r="LKX65" s="41"/>
      <c r="LKY65" s="41"/>
      <c r="LMU65" s="39"/>
      <c r="LMX65" s="41"/>
      <c r="LMY65" s="41"/>
      <c r="LMZ65" s="41"/>
      <c r="LNA65" s="41"/>
      <c r="LNB65" s="41"/>
      <c r="LOX65" s="39"/>
      <c r="LPA65" s="41"/>
      <c r="LPB65" s="41"/>
      <c r="LPC65" s="41"/>
      <c r="LPD65" s="41"/>
      <c r="LPE65" s="41"/>
      <c r="LRA65" s="39"/>
      <c r="LRD65" s="41"/>
      <c r="LRE65" s="41"/>
      <c r="LRF65" s="41"/>
      <c r="LRG65" s="41"/>
      <c r="LRH65" s="41"/>
      <c r="LTD65" s="39"/>
      <c r="LTG65" s="41"/>
      <c r="LTH65" s="41"/>
      <c r="LTI65" s="41"/>
      <c r="LTJ65" s="41"/>
      <c r="LTK65" s="41"/>
      <c r="LVG65" s="39"/>
      <c r="LVJ65" s="41"/>
      <c r="LVK65" s="41"/>
      <c r="LVL65" s="41"/>
      <c r="LVM65" s="41"/>
      <c r="LVN65" s="41"/>
      <c r="LXJ65" s="39"/>
      <c r="LXM65" s="41"/>
      <c r="LXN65" s="41"/>
      <c r="LXO65" s="41"/>
      <c r="LXP65" s="41"/>
      <c r="LXQ65" s="41"/>
      <c r="LZM65" s="39"/>
      <c r="LZP65" s="41"/>
      <c r="LZQ65" s="41"/>
      <c r="LZR65" s="41"/>
      <c r="LZS65" s="41"/>
      <c r="LZT65" s="41"/>
      <c r="MBP65" s="39"/>
      <c r="MBS65" s="41"/>
      <c r="MBT65" s="41"/>
      <c r="MBU65" s="41"/>
      <c r="MBV65" s="41"/>
      <c r="MBW65" s="41"/>
      <c r="MDS65" s="39"/>
      <c r="MDV65" s="41"/>
      <c r="MDW65" s="41"/>
      <c r="MDX65" s="41"/>
      <c r="MDY65" s="41"/>
      <c r="MDZ65" s="41"/>
      <c r="MFV65" s="39"/>
      <c r="MFY65" s="41"/>
      <c r="MFZ65" s="41"/>
      <c r="MGA65" s="41"/>
      <c r="MGB65" s="41"/>
      <c r="MGC65" s="41"/>
      <c r="MHY65" s="39"/>
      <c r="MIB65" s="41"/>
      <c r="MIC65" s="41"/>
      <c r="MID65" s="41"/>
      <c r="MIE65" s="41"/>
      <c r="MIF65" s="41"/>
      <c r="MKB65" s="39"/>
      <c r="MKE65" s="41"/>
      <c r="MKF65" s="41"/>
      <c r="MKG65" s="41"/>
      <c r="MKH65" s="41"/>
      <c r="MKI65" s="41"/>
      <c r="MME65" s="39"/>
      <c r="MMH65" s="41"/>
      <c r="MMI65" s="41"/>
      <c r="MMJ65" s="41"/>
      <c r="MMK65" s="41"/>
      <c r="MML65" s="41"/>
      <c r="MOH65" s="39"/>
      <c r="MOK65" s="41"/>
      <c r="MOL65" s="41"/>
      <c r="MOM65" s="41"/>
      <c r="MON65" s="41"/>
      <c r="MOO65" s="41"/>
      <c r="MQK65" s="39"/>
      <c r="MQN65" s="41"/>
      <c r="MQO65" s="41"/>
      <c r="MQP65" s="41"/>
      <c r="MQQ65" s="41"/>
      <c r="MQR65" s="41"/>
      <c r="MSN65" s="39"/>
      <c r="MSQ65" s="41"/>
      <c r="MSR65" s="41"/>
      <c r="MSS65" s="41"/>
      <c r="MST65" s="41"/>
      <c r="MSU65" s="41"/>
      <c r="MUQ65" s="39"/>
      <c r="MUT65" s="41"/>
      <c r="MUU65" s="41"/>
      <c r="MUV65" s="41"/>
      <c r="MUW65" s="41"/>
      <c r="MUX65" s="41"/>
      <c r="MWT65" s="39"/>
      <c r="MWW65" s="41"/>
      <c r="MWX65" s="41"/>
      <c r="MWY65" s="41"/>
      <c r="MWZ65" s="41"/>
      <c r="MXA65" s="41"/>
      <c r="MYW65" s="39"/>
      <c r="MYZ65" s="41"/>
      <c r="MZA65" s="41"/>
      <c r="MZB65" s="41"/>
      <c r="MZC65" s="41"/>
      <c r="MZD65" s="41"/>
      <c r="NAZ65" s="39"/>
      <c r="NBC65" s="41"/>
      <c r="NBD65" s="41"/>
      <c r="NBE65" s="41"/>
      <c r="NBF65" s="41"/>
      <c r="NBG65" s="41"/>
      <c r="NDC65" s="39"/>
      <c r="NDF65" s="41"/>
      <c r="NDG65" s="41"/>
      <c r="NDH65" s="41"/>
      <c r="NDI65" s="41"/>
      <c r="NDJ65" s="41"/>
      <c r="NFF65" s="39"/>
      <c r="NFI65" s="41"/>
      <c r="NFJ65" s="41"/>
      <c r="NFK65" s="41"/>
      <c r="NFL65" s="41"/>
      <c r="NFM65" s="41"/>
      <c r="NHI65" s="39"/>
      <c r="NHL65" s="41"/>
      <c r="NHM65" s="41"/>
      <c r="NHN65" s="41"/>
      <c r="NHO65" s="41"/>
      <c r="NHP65" s="41"/>
      <c r="NJL65" s="39"/>
      <c r="NJO65" s="41"/>
      <c r="NJP65" s="41"/>
      <c r="NJQ65" s="41"/>
      <c r="NJR65" s="41"/>
      <c r="NJS65" s="41"/>
      <c r="NLO65" s="39"/>
      <c r="NLR65" s="41"/>
      <c r="NLS65" s="41"/>
      <c r="NLT65" s="41"/>
      <c r="NLU65" s="41"/>
      <c r="NLV65" s="41"/>
      <c r="NNR65" s="39"/>
      <c r="NNU65" s="41"/>
      <c r="NNV65" s="41"/>
      <c r="NNW65" s="41"/>
      <c r="NNX65" s="41"/>
      <c r="NNY65" s="41"/>
      <c r="NPU65" s="39"/>
      <c r="NPX65" s="41"/>
      <c r="NPY65" s="41"/>
      <c r="NPZ65" s="41"/>
      <c r="NQA65" s="41"/>
      <c r="NQB65" s="41"/>
      <c r="NRX65" s="39"/>
      <c r="NSA65" s="41"/>
      <c r="NSB65" s="41"/>
      <c r="NSC65" s="41"/>
      <c r="NSD65" s="41"/>
      <c r="NSE65" s="41"/>
      <c r="NUA65" s="39"/>
      <c r="NUD65" s="41"/>
      <c r="NUE65" s="41"/>
      <c r="NUF65" s="41"/>
      <c r="NUG65" s="41"/>
      <c r="NUH65" s="41"/>
      <c r="NWD65" s="39"/>
      <c r="NWG65" s="41"/>
      <c r="NWH65" s="41"/>
      <c r="NWI65" s="41"/>
      <c r="NWJ65" s="41"/>
      <c r="NWK65" s="41"/>
      <c r="NYG65" s="39"/>
      <c r="NYJ65" s="41"/>
      <c r="NYK65" s="41"/>
      <c r="NYL65" s="41"/>
      <c r="NYM65" s="41"/>
      <c r="NYN65" s="41"/>
      <c r="OAJ65" s="39"/>
      <c r="OAM65" s="41"/>
      <c r="OAN65" s="41"/>
      <c r="OAO65" s="41"/>
      <c r="OAP65" s="41"/>
      <c r="OAQ65" s="41"/>
      <c r="OCM65" s="39"/>
      <c r="OCP65" s="41"/>
      <c r="OCQ65" s="41"/>
      <c r="OCR65" s="41"/>
      <c r="OCS65" s="41"/>
      <c r="OCT65" s="41"/>
      <c r="OEP65" s="39"/>
      <c r="OES65" s="41"/>
      <c r="OET65" s="41"/>
      <c r="OEU65" s="41"/>
      <c r="OEV65" s="41"/>
      <c r="OEW65" s="41"/>
      <c r="OGS65" s="39"/>
      <c r="OGV65" s="41"/>
      <c r="OGW65" s="41"/>
      <c r="OGX65" s="41"/>
      <c r="OGY65" s="41"/>
      <c r="OGZ65" s="41"/>
      <c r="OIV65" s="39"/>
      <c r="OIY65" s="41"/>
      <c r="OIZ65" s="41"/>
      <c r="OJA65" s="41"/>
      <c r="OJB65" s="41"/>
      <c r="OJC65" s="41"/>
      <c r="OKY65" s="39"/>
      <c r="OLB65" s="41"/>
      <c r="OLC65" s="41"/>
      <c r="OLD65" s="41"/>
      <c r="OLE65" s="41"/>
      <c r="OLF65" s="41"/>
      <c r="ONB65" s="39"/>
      <c r="ONE65" s="41"/>
      <c r="ONF65" s="41"/>
      <c r="ONG65" s="41"/>
      <c r="ONH65" s="41"/>
      <c r="ONI65" s="41"/>
      <c r="OPE65" s="39"/>
      <c r="OPH65" s="41"/>
      <c r="OPI65" s="41"/>
      <c r="OPJ65" s="41"/>
      <c r="OPK65" s="41"/>
      <c r="OPL65" s="41"/>
      <c r="ORH65" s="39"/>
      <c r="ORK65" s="41"/>
      <c r="ORL65" s="41"/>
      <c r="ORM65" s="41"/>
      <c r="ORN65" s="41"/>
      <c r="ORO65" s="41"/>
      <c r="OTK65" s="39"/>
      <c r="OTN65" s="41"/>
      <c r="OTO65" s="41"/>
      <c r="OTP65" s="41"/>
      <c r="OTQ65" s="41"/>
      <c r="OTR65" s="41"/>
      <c r="OVN65" s="39"/>
      <c r="OVQ65" s="41"/>
      <c r="OVR65" s="41"/>
      <c r="OVS65" s="41"/>
      <c r="OVT65" s="41"/>
      <c r="OVU65" s="41"/>
      <c r="OXQ65" s="39"/>
      <c r="OXT65" s="41"/>
      <c r="OXU65" s="41"/>
      <c r="OXV65" s="41"/>
      <c r="OXW65" s="41"/>
      <c r="OXX65" s="41"/>
      <c r="OZT65" s="39"/>
      <c r="OZW65" s="41"/>
      <c r="OZX65" s="41"/>
      <c r="OZY65" s="41"/>
      <c r="OZZ65" s="41"/>
      <c r="PAA65" s="41"/>
      <c r="PBW65" s="39"/>
      <c r="PBZ65" s="41"/>
      <c r="PCA65" s="41"/>
      <c r="PCB65" s="41"/>
      <c r="PCC65" s="41"/>
      <c r="PCD65" s="41"/>
      <c r="PDZ65" s="39"/>
      <c r="PEC65" s="41"/>
      <c r="PED65" s="41"/>
      <c r="PEE65" s="41"/>
      <c r="PEF65" s="41"/>
      <c r="PEG65" s="41"/>
      <c r="PGC65" s="39"/>
      <c r="PGF65" s="41"/>
      <c r="PGG65" s="41"/>
      <c r="PGH65" s="41"/>
      <c r="PGI65" s="41"/>
      <c r="PGJ65" s="41"/>
      <c r="PIF65" s="39"/>
      <c r="PII65" s="41"/>
      <c r="PIJ65" s="41"/>
      <c r="PIK65" s="41"/>
      <c r="PIL65" s="41"/>
      <c r="PIM65" s="41"/>
      <c r="PKI65" s="39"/>
      <c r="PKL65" s="41"/>
      <c r="PKM65" s="41"/>
      <c r="PKN65" s="41"/>
      <c r="PKO65" s="41"/>
      <c r="PKP65" s="41"/>
      <c r="PML65" s="39"/>
      <c r="PMO65" s="41"/>
      <c r="PMP65" s="41"/>
      <c r="PMQ65" s="41"/>
      <c r="PMR65" s="41"/>
      <c r="PMS65" s="41"/>
      <c r="POO65" s="39"/>
      <c r="POR65" s="41"/>
      <c r="POS65" s="41"/>
      <c r="POT65" s="41"/>
      <c r="POU65" s="41"/>
      <c r="POV65" s="41"/>
      <c r="PQR65" s="39"/>
      <c r="PQU65" s="41"/>
      <c r="PQV65" s="41"/>
      <c r="PQW65" s="41"/>
      <c r="PQX65" s="41"/>
      <c r="PQY65" s="41"/>
      <c r="PSU65" s="39"/>
      <c r="PSX65" s="41"/>
      <c r="PSY65" s="41"/>
      <c r="PSZ65" s="41"/>
      <c r="PTA65" s="41"/>
      <c r="PTB65" s="41"/>
      <c r="PUX65" s="39"/>
      <c r="PVA65" s="41"/>
      <c r="PVB65" s="41"/>
      <c r="PVC65" s="41"/>
      <c r="PVD65" s="41"/>
      <c r="PVE65" s="41"/>
      <c r="PXA65" s="39"/>
      <c r="PXD65" s="41"/>
      <c r="PXE65" s="41"/>
      <c r="PXF65" s="41"/>
      <c r="PXG65" s="41"/>
      <c r="PXH65" s="41"/>
      <c r="PZD65" s="39"/>
      <c r="PZG65" s="41"/>
      <c r="PZH65" s="41"/>
      <c r="PZI65" s="41"/>
      <c r="PZJ65" s="41"/>
      <c r="PZK65" s="41"/>
      <c r="QBG65" s="39"/>
      <c r="QBJ65" s="41"/>
      <c r="QBK65" s="41"/>
      <c r="QBL65" s="41"/>
      <c r="QBM65" s="41"/>
      <c r="QBN65" s="41"/>
      <c r="QDJ65" s="39"/>
      <c r="QDM65" s="41"/>
      <c r="QDN65" s="41"/>
      <c r="QDO65" s="41"/>
      <c r="QDP65" s="41"/>
      <c r="QDQ65" s="41"/>
      <c r="QFM65" s="39"/>
      <c r="QFP65" s="41"/>
      <c r="QFQ65" s="41"/>
      <c r="QFR65" s="41"/>
      <c r="QFS65" s="41"/>
      <c r="QFT65" s="41"/>
      <c r="QHP65" s="39"/>
      <c r="QHS65" s="41"/>
      <c r="QHT65" s="41"/>
      <c r="QHU65" s="41"/>
      <c r="QHV65" s="41"/>
      <c r="QHW65" s="41"/>
      <c r="QJS65" s="39"/>
      <c r="QJV65" s="41"/>
      <c r="QJW65" s="41"/>
      <c r="QJX65" s="41"/>
      <c r="QJY65" s="41"/>
      <c r="QJZ65" s="41"/>
      <c r="QLV65" s="39"/>
      <c r="QLY65" s="41"/>
      <c r="QLZ65" s="41"/>
      <c r="QMA65" s="41"/>
      <c r="QMB65" s="41"/>
      <c r="QMC65" s="41"/>
      <c r="QNY65" s="39"/>
      <c r="QOB65" s="41"/>
      <c r="QOC65" s="41"/>
      <c r="QOD65" s="41"/>
      <c r="QOE65" s="41"/>
      <c r="QOF65" s="41"/>
      <c r="QQB65" s="39"/>
      <c r="QQE65" s="41"/>
      <c r="QQF65" s="41"/>
      <c r="QQG65" s="41"/>
      <c r="QQH65" s="41"/>
      <c r="QQI65" s="41"/>
      <c r="QSE65" s="39"/>
      <c r="QSH65" s="41"/>
      <c r="QSI65" s="41"/>
      <c r="QSJ65" s="41"/>
      <c r="QSK65" s="41"/>
      <c r="QSL65" s="41"/>
      <c r="QUH65" s="39"/>
      <c r="QUK65" s="41"/>
      <c r="QUL65" s="41"/>
      <c r="QUM65" s="41"/>
      <c r="QUN65" s="41"/>
      <c r="QUO65" s="41"/>
      <c r="QWK65" s="39"/>
      <c r="QWN65" s="41"/>
      <c r="QWO65" s="41"/>
      <c r="QWP65" s="41"/>
      <c r="QWQ65" s="41"/>
      <c r="QWR65" s="41"/>
      <c r="QYN65" s="39"/>
      <c r="QYQ65" s="41"/>
      <c r="QYR65" s="41"/>
      <c r="QYS65" s="41"/>
      <c r="QYT65" s="41"/>
      <c r="QYU65" s="41"/>
      <c r="RAQ65" s="39"/>
      <c r="RAT65" s="41"/>
      <c r="RAU65" s="41"/>
      <c r="RAV65" s="41"/>
      <c r="RAW65" s="41"/>
      <c r="RAX65" s="41"/>
      <c r="RCT65" s="39"/>
      <c r="RCW65" s="41"/>
      <c r="RCX65" s="41"/>
      <c r="RCY65" s="41"/>
      <c r="RCZ65" s="41"/>
      <c r="RDA65" s="41"/>
      <c r="REW65" s="39"/>
      <c r="REZ65" s="41"/>
      <c r="RFA65" s="41"/>
      <c r="RFB65" s="41"/>
      <c r="RFC65" s="41"/>
      <c r="RFD65" s="41"/>
      <c r="RGZ65" s="39"/>
      <c r="RHC65" s="41"/>
      <c r="RHD65" s="41"/>
      <c r="RHE65" s="41"/>
      <c r="RHF65" s="41"/>
      <c r="RHG65" s="41"/>
      <c r="RJC65" s="39"/>
      <c r="RJF65" s="41"/>
      <c r="RJG65" s="41"/>
      <c r="RJH65" s="41"/>
      <c r="RJI65" s="41"/>
      <c r="RJJ65" s="41"/>
      <c r="RLF65" s="39"/>
      <c r="RLI65" s="41"/>
      <c r="RLJ65" s="41"/>
      <c r="RLK65" s="41"/>
      <c r="RLL65" s="41"/>
      <c r="RLM65" s="41"/>
      <c r="RNI65" s="39"/>
      <c r="RNL65" s="41"/>
      <c r="RNM65" s="41"/>
      <c r="RNN65" s="41"/>
      <c r="RNO65" s="41"/>
      <c r="RNP65" s="41"/>
      <c r="RPL65" s="39"/>
      <c r="RPO65" s="41"/>
      <c r="RPP65" s="41"/>
      <c r="RPQ65" s="41"/>
      <c r="RPR65" s="41"/>
      <c r="RPS65" s="41"/>
      <c r="RRO65" s="39"/>
      <c r="RRR65" s="41"/>
      <c r="RRS65" s="41"/>
      <c r="RRT65" s="41"/>
      <c r="RRU65" s="41"/>
      <c r="RRV65" s="41"/>
      <c r="RTR65" s="39"/>
      <c r="RTU65" s="41"/>
      <c r="RTV65" s="41"/>
      <c r="RTW65" s="41"/>
      <c r="RTX65" s="41"/>
      <c r="RTY65" s="41"/>
      <c r="RVU65" s="39"/>
      <c r="RVX65" s="41"/>
      <c r="RVY65" s="41"/>
      <c r="RVZ65" s="41"/>
      <c r="RWA65" s="41"/>
      <c r="RWB65" s="41"/>
      <c r="RXX65" s="39"/>
      <c r="RYA65" s="41"/>
      <c r="RYB65" s="41"/>
      <c r="RYC65" s="41"/>
      <c r="RYD65" s="41"/>
      <c r="RYE65" s="41"/>
      <c r="SAA65" s="39"/>
      <c r="SAD65" s="41"/>
      <c r="SAE65" s="41"/>
      <c r="SAF65" s="41"/>
      <c r="SAG65" s="41"/>
      <c r="SAH65" s="41"/>
      <c r="SCD65" s="39"/>
      <c r="SCG65" s="41"/>
      <c r="SCH65" s="41"/>
      <c r="SCI65" s="41"/>
      <c r="SCJ65" s="41"/>
      <c r="SCK65" s="41"/>
      <c r="SEG65" s="39"/>
      <c r="SEJ65" s="41"/>
      <c r="SEK65" s="41"/>
      <c r="SEL65" s="41"/>
      <c r="SEM65" s="41"/>
      <c r="SEN65" s="41"/>
      <c r="SGJ65" s="39"/>
      <c r="SGM65" s="41"/>
      <c r="SGN65" s="41"/>
      <c r="SGO65" s="41"/>
      <c r="SGP65" s="41"/>
      <c r="SGQ65" s="41"/>
      <c r="SIM65" s="39"/>
      <c r="SIP65" s="41"/>
      <c r="SIQ65" s="41"/>
      <c r="SIR65" s="41"/>
      <c r="SIS65" s="41"/>
      <c r="SIT65" s="41"/>
      <c r="SKP65" s="39"/>
      <c r="SKS65" s="41"/>
      <c r="SKT65" s="41"/>
      <c r="SKU65" s="41"/>
      <c r="SKV65" s="41"/>
      <c r="SKW65" s="41"/>
      <c r="SMS65" s="39"/>
      <c r="SMV65" s="41"/>
      <c r="SMW65" s="41"/>
      <c r="SMX65" s="41"/>
      <c r="SMY65" s="41"/>
      <c r="SMZ65" s="41"/>
      <c r="SOV65" s="39"/>
      <c r="SOY65" s="41"/>
      <c r="SOZ65" s="41"/>
      <c r="SPA65" s="41"/>
      <c r="SPB65" s="41"/>
      <c r="SPC65" s="41"/>
      <c r="SQY65" s="39"/>
      <c r="SRB65" s="41"/>
      <c r="SRC65" s="41"/>
      <c r="SRD65" s="41"/>
      <c r="SRE65" s="41"/>
      <c r="SRF65" s="41"/>
      <c r="STB65" s="39"/>
      <c r="STE65" s="41"/>
      <c r="STF65" s="41"/>
      <c r="STG65" s="41"/>
      <c r="STH65" s="41"/>
      <c r="STI65" s="41"/>
      <c r="SVE65" s="39"/>
      <c r="SVH65" s="41"/>
      <c r="SVI65" s="41"/>
      <c r="SVJ65" s="41"/>
      <c r="SVK65" s="41"/>
      <c r="SVL65" s="41"/>
      <c r="SXH65" s="39"/>
      <c r="SXK65" s="41"/>
      <c r="SXL65" s="41"/>
      <c r="SXM65" s="41"/>
      <c r="SXN65" s="41"/>
      <c r="SXO65" s="41"/>
      <c r="SZK65" s="39"/>
      <c r="SZN65" s="41"/>
      <c r="SZO65" s="41"/>
      <c r="SZP65" s="41"/>
      <c r="SZQ65" s="41"/>
      <c r="SZR65" s="41"/>
      <c r="TBN65" s="39"/>
      <c r="TBQ65" s="41"/>
      <c r="TBR65" s="41"/>
      <c r="TBS65" s="41"/>
      <c r="TBT65" s="41"/>
      <c r="TBU65" s="41"/>
      <c r="TDQ65" s="39"/>
      <c r="TDT65" s="41"/>
      <c r="TDU65" s="41"/>
      <c r="TDV65" s="41"/>
      <c r="TDW65" s="41"/>
      <c r="TDX65" s="41"/>
      <c r="TFT65" s="39"/>
      <c r="TFW65" s="41"/>
      <c r="TFX65" s="41"/>
      <c r="TFY65" s="41"/>
      <c r="TFZ65" s="41"/>
      <c r="TGA65" s="41"/>
      <c r="THW65" s="39"/>
      <c r="THZ65" s="41"/>
      <c r="TIA65" s="41"/>
      <c r="TIB65" s="41"/>
      <c r="TIC65" s="41"/>
      <c r="TID65" s="41"/>
      <c r="TJZ65" s="39"/>
      <c r="TKC65" s="41"/>
      <c r="TKD65" s="41"/>
      <c r="TKE65" s="41"/>
      <c r="TKF65" s="41"/>
      <c r="TKG65" s="41"/>
      <c r="TMC65" s="39"/>
      <c r="TMF65" s="41"/>
      <c r="TMG65" s="41"/>
      <c r="TMH65" s="41"/>
      <c r="TMI65" s="41"/>
      <c r="TMJ65" s="41"/>
      <c r="TOF65" s="39"/>
      <c r="TOI65" s="41"/>
      <c r="TOJ65" s="41"/>
      <c r="TOK65" s="41"/>
      <c r="TOL65" s="41"/>
      <c r="TOM65" s="41"/>
      <c r="TQI65" s="39"/>
      <c r="TQL65" s="41"/>
      <c r="TQM65" s="41"/>
      <c r="TQN65" s="41"/>
      <c r="TQO65" s="41"/>
      <c r="TQP65" s="41"/>
      <c r="TSL65" s="39"/>
      <c r="TSO65" s="41"/>
      <c r="TSP65" s="41"/>
      <c r="TSQ65" s="41"/>
      <c r="TSR65" s="41"/>
      <c r="TSS65" s="41"/>
      <c r="TUO65" s="39"/>
      <c r="TUR65" s="41"/>
      <c r="TUS65" s="41"/>
      <c r="TUT65" s="41"/>
      <c r="TUU65" s="41"/>
      <c r="TUV65" s="41"/>
      <c r="TWR65" s="39"/>
      <c r="TWU65" s="41"/>
      <c r="TWV65" s="41"/>
      <c r="TWW65" s="41"/>
      <c r="TWX65" s="41"/>
      <c r="TWY65" s="41"/>
      <c r="TYU65" s="39"/>
      <c r="TYX65" s="41"/>
      <c r="TYY65" s="41"/>
      <c r="TYZ65" s="41"/>
      <c r="TZA65" s="41"/>
      <c r="TZB65" s="41"/>
      <c r="UAX65" s="39"/>
      <c r="UBA65" s="41"/>
      <c r="UBB65" s="41"/>
      <c r="UBC65" s="41"/>
      <c r="UBD65" s="41"/>
      <c r="UBE65" s="41"/>
      <c r="UDA65" s="39"/>
      <c r="UDD65" s="41"/>
      <c r="UDE65" s="41"/>
      <c r="UDF65" s="41"/>
      <c r="UDG65" s="41"/>
      <c r="UDH65" s="41"/>
      <c r="UFD65" s="39"/>
      <c r="UFG65" s="41"/>
      <c r="UFH65" s="41"/>
      <c r="UFI65" s="41"/>
      <c r="UFJ65" s="41"/>
      <c r="UFK65" s="41"/>
      <c r="UHG65" s="39"/>
      <c r="UHJ65" s="41"/>
      <c r="UHK65" s="41"/>
      <c r="UHL65" s="41"/>
      <c r="UHM65" s="41"/>
      <c r="UHN65" s="41"/>
      <c r="UJJ65" s="39"/>
      <c r="UJM65" s="41"/>
      <c r="UJN65" s="41"/>
      <c r="UJO65" s="41"/>
      <c r="UJP65" s="41"/>
      <c r="UJQ65" s="41"/>
      <c r="ULM65" s="39"/>
      <c r="ULP65" s="41"/>
      <c r="ULQ65" s="41"/>
      <c r="ULR65" s="41"/>
      <c r="ULS65" s="41"/>
      <c r="ULT65" s="41"/>
      <c r="UNP65" s="39"/>
      <c r="UNS65" s="41"/>
      <c r="UNT65" s="41"/>
      <c r="UNU65" s="41"/>
      <c r="UNV65" s="41"/>
      <c r="UNW65" s="41"/>
      <c r="UPS65" s="39"/>
      <c r="UPV65" s="41"/>
      <c r="UPW65" s="41"/>
      <c r="UPX65" s="41"/>
      <c r="UPY65" s="41"/>
      <c r="UPZ65" s="41"/>
      <c r="URV65" s="39"/>
      <c r="URY65" s="41"/>
      <c r="URZ65" s="41"/>
      <c r="USA65" s="41"/>
      <c r="USB65" s="41"/>
      <c r="USC65" s="41"/>
      <c r="UTY65" s="39"/>
      <c r="UUB65" s="41"/>
      <c r="UUC65" s="41"/>
      <c r="UUD65" s="41"/>
      <c r="UUE65" s="41"/>
      <c r="UUF65" s="41"/>
      <c r="UWB65" s="39"/>
      <c r="UWE65" s="41"/>
      <c r="UWF65" s="41"/>
      <c r="UWG65" s="41"/>
      <c r="UWH65" s="41"/>
      <c r="UWI65" s="41"/>
      <c r="UYE65" s="39"/>
      <c r="UYH65" s="41"/>
      <c r="UYI65" s="41"/>
      <c r="UYJ65" s="41"/>
      <c r="UYK65" s="41"/>
      <c r="UYL65" s="41"/>
      <c r="VAH65" s="39"/>
      <c r="VAK65" s="41"/>
      <c r="VAL65" s="41"/>
      <c r="VAM65" s="41"/>
      <c r="VAN65" s="41"/>
      <c r="VAO65" s="41"/>
      <c r="VCK65" s="39"/>
      <c r="VCN65" s="41"/>
      <c r="VCO65" s="41"/>
      <c r="VCP65" s="41"/>
      <c r="VCQ65" s="41"/>
      <c r="VCR65" s="41"/>
      <c r="VEN65" s="39"/>
      <c r="VEQ65" s="41"/>
      <c r="VER65" s="41"/>
      <c r="VES65" s="41"/>
      <c r="VET65" s="41"/>
      <c r="VEU65" s="41"/>
      <c r="VGQ65" s="39"/>
      <c r="VGT65" s="41"/>
      <c r="VGU65" s="41"/>
      <c r="VGV65" s="41"/>
      <c r="VGW65" s="41"/>
      <c r="VGX65" s="41"/>
      <c r="VIT65" s="39"/>
      <c r="VIW65" s="41"/>
      <c r="VIX65" s="41"/>
      <c r="VIY65" s="41"/>
      <c r="VIZ65" s="41"/>
      <c r="VJA65" s="41"/>
      <c r="VKW65" s="39"/>
      <c r="VKZ65" s="41"/>
      <c r="VLA65" s="41"/>
      <c r="VLB65" s="41"/>
      <c r="VLC65" s="41"/>
      <c r="VLD65" s="41"/>
      <c r="VMZ65" s="39"/>
      <c r="VNC65" s="41"/>
      <c r="VND65" s="41"/>
      <c r="VNE65" s="41"/>
      <c r="VNF65" s="41"/>
      <c r="VNG65" s="41"/>
      <c r="VPC65" s="39"/>
      <c r="VPF65" s="41"/>
      <c r="VPG65" s="41"/>
      <c r="VPH65" s="41"/>
      <c r="VPI65" s="41"/>
      <c r="VPJ65" s="41"/>
      <c r="VRF65" s="39"/>
      <c r="VRI65" s="41"/>
      <c r="VRJ65" s="41"/>
      <c r="VRK65" s="41"/>
      <c r="VRL65" s="41"/>
      <c r="VRM65" s="41"/>
      <c r="VTI65" s="39"/>
      <c r="VTL65" s="41"/>
      <c r="VTM65" s="41"/>
      <c r="VTN65" s="41"/>
      <c r="VTO65" s="41"/>
      <c r="VTP65" s="41"/>
      <c r="VVL65" s="39"/>
      <c r="VVO65" s="41"/>
      <c r="VVP65" s="41"/>
      <c r="VVQ65" s="41"/>
      <c r="VVR65" s="41"/>
      <c r="VVS65" s="41"/>
      <c r="VXO65" s="39"/>
      <c r="VXR65" s="41"/>
      <c r="VXS65" s="41"/>
      <c r="VXT65" s="41"/>
      <c r="VXU65" s="41"/>
      <c r="VXV65" s="41"/>
      <c r="VZR65" s="39"/>
      <c r="VZU65" s="41"/>
      <c r="VZV65" s="41"/>
      <c r="VZW65" s="41"/>
      <c r="VZX65" s="41"/>
      <c r="VZY65" s="41"/>
      <c r="WBU65" s="39"/>
      <c r="WBX65" s="41"/>
      <c r="WBY65" s="41"/>
      <c r="WBZ65" s="41"/>
      <c r="WCA65" s="41"/>
      <c r="WCB65" s="41"/>
      <c r="WDX65" s="39"/>
      <c r="WEA65" s="41"/>
      <c r="WEB65" s="41"/>
      <c r="WEC65" s="41"/>
      <c r="WED65" s="41"/>
      <c r="WEE65" s="41"/>
      <c r="WGA65" s="39"/>
      <c r="WGD65" s="41"/>
      <c r="WGE65" s="41"/>
      <c r="WGF65" s="41"/>
      <c r="WGG65" s="41"/>
      <c r="WGH65" s="41"/>
      <c r="WID65" s="39"/>
      <c r="WIG65" s="41"/>
      <c r="WIH65" s="41"/>
      <c r="WII65" s="41"/>
      <c r="WIJ65" s="41"/>
      <c r="WIK65" s="41"/>
      <c r="WKG65" s="39"/>
      <c r="WKJ65" s="41"/>
      <c r="WKK65" s="41"/>
      <c r="WKL65" s="41"/>
      <c r="WKM65" s="41"/>
      <c r="WKN65" s="41"/>
      <c r="WMJ65" s="39"/>
      <c r="WMM65" s="41"/>
      <c r="WMN65" s="41"/>
      <c r="WMO65" s="41"/>
      <c r="WMP65" s="41"/>
      <c r="WMQ65" s="41"/>
      <c r="WOM65" s="39"/>
      <c r="WOP65" s="41"/>
      <c r="WOQ65" s="41"/>
      <c r="WOR65" s="41"/>
      <c r="WOS65" s="41"/>
      <c r="WOT65" s="41"/>
      <c r="WQP65" s="39"/>
      <c r="WQS65" s="41"/>
      <c r="WQT65" s="41"/>
      <c r="WQU65" s="41"/>
      <c r="WQV65" s="41"/>
      <c r="WQW65" s="41"/>
      <c r="WSS65" s="39"/>
      <c r="WSV65" s="41"/>
      <c r="WSW65" s="41"/>
      <c r="WSX65" s="41"/>
      <c r="WSY65" s="41"/>
      <c r="WSZ65" s="41"/>
      <c r="WUV65" s="39"/>
      <c r="WUY65" s="41"/>
      <c r="WUZ65" s="41"/>
      <c r="WVA65" s="41"/>
      <c r="WVB65" s="41"/>
      <c r="WVC65" s="41"/>
      <c r="WWY65" s="39"/>
      <c r="WXB65" s="41"/>
      <c r="WXC65" s="41"/>
      <c r="WXD65" s="41"/>
      <c r="WXE65" s="41"/>
      <c r="WXF65" s="41"/>
      <c r="WZB65" s="39"/>
      <c r="WZE65" s="41"/>
      <c r="WZF65" s="41"/>
      <c r="WZG65" s="41"/>
      <c r="WZH65" s="41"/>
      <c r="WZI65" s="41"/>
      <c r="XBE65" s="39"/>
      <c r="XBH65" s="41"/>
      <c r="XBI65" s="41"/>
      <c r="XBJ65" s="41"/>
      <c r="XBK65" s="41"/>
      <c r="XBL65" s="41"/>
      <c r="XDH65" s="39"/>
      <c r="XDK65" s="41"/>
      <c r="XDL65" s="41"/>
      <c r="XDM65" s="41"/>
      <c r="XDN65" s="41"/>
      <c r="XDO65" s="41"/>
    </row>
    <row r="66" spans="1:998 1046:2043 2091:3033 3081:4078 4126:6113 6161:7158 7206:8148 8196:9193 9241:10238 10286:11228 11276:12273 12321:13311 13314:14308 14356:15353 15401:16343" s="40" customFormat="1" ht="15" customHeight="1" x14ac:dyDescent="0.25">
      <c r="A66" s="22" t="s">
        <v>536</v>
      </c>
      <c r="B66" s="23">
        <v>500</v>
      </c>
      <c r="C66" s="23">
        <v>32</v>
      </c>
      <c r="D66" s="24">
        <v>28</v>
      </c>
      <c r="E66" s="24" t="s">
        <v>469</v>
      </c>
      <c r="F66" s="24">
        <v>0</v>
      </c>
      <c r="G66" s="24">
        <f t="shared" si="9"/>
        <v>384</v>
      </c>
      <c r="H66" s="24">
        <f t="shared" si="10"/>
        <v>199</v>
      </c>
      <c r="I66" s="23">
        <f t="shared" si="11"/>
        <v>187</v>
      </c>
      <c r="J66" s="23">
        <f t="shared" si="12"/>
        <v>30</v>
      </c>
      <c r="K66" s="23">
        <v>2.875</v>
      </c>
      <c r="L66" s="23">
        <v>12</v>
      </c>
      <c r="M66" s="23">
        <v>20</v>
      </c>
      <c r="N66" s="23">
        <f t="shared" si="13"/>
        <v>9</v>
      </c>
      <c r="O66" s="23">
        <f t="shared" si="14"/>
        <v>20</v>
      </c>
      <c r="P66" s="23">
        <f t="shared" si="15"/>
        <v>40</v>
      </c>
      <c r="Q66" s="23">
        <f t="shared" si="16"/>
        <v>40</v>
      </c>
      <c r="R66" s="23">
        <f t="shared" si="17"/>
        <v>20</v>
      </c>
      <c r="BD66" s="39"/>
      <c r="BG66" s="41"/>
      <c r="BH66" s="41"/>
      <c r="BI66" s="41"/>
      <c r="BJ66" s="41"/>
      <c r="BK66" s="41"/>
      <c r="DG66" s="39"/>
      <c r="DJ66" s="41"/>
      <c r="DK66" s="41"/>
      <c r="DL66" s="41"/>
      <c r="DM66" s="41"/>
      <c r="DN66" s="41"/>
      <c r="FJ66" s="39"/>
      <c r="FM66" s="41"/>
      <c r="FN66" s="41"/>
      <c r="FO66" s="41"/>
      <c r="FP66" s="41"/>
      <c r="FQ66" s="41"/>
      <c r="HM66" s="39"/>
      <c r="HP66" s="41"/>
      <c r="HQ66" s="41"/>
      <c r="HR66" s="41"/>
      <c r="HS66" s="41"/>
      <c r="HT66" s="41"/>
      <c r="JP66" s="39"/>
      <c r="JS66" s="41"/>
      <c r="JT66" s="41"/>
      <c r="JU66" s="41"/>
      <c r="JV66" s="41"/>
      <c r="JW66" s="41"/>
      <c r="LS66" s="39"/>
      <c r="LV66" s="41"/>
      <c r="LW66" s="41"/>
      <c r="LX66" s="41"/>
      <c r="LY66" s="41"/>
      <c r="LZ66" s="41"/>
      <c r="NV66" s="39"/>
      <c r="NY66" s="41"/>
      <c r="NZ66" s="41"/>
      <c r="OA66" s="41"/>
      <c r="OB66" s="41"/>
      <c r="OC66" s="41"/>
      <c r="PY66" s="39"/>
      <c r="QB66" s="41"/>
      <c r="QC66" s="41"/>
      <c r="QD66" s="41"/>
      <c r="QE66" s="41"/>
      <c r="QF66" s="41"/>
      <c r="SB66" s="39"/>
      <c r="SE66" s="41"/>
      <c r="SF66" s="41"/>
      <c r="SG66" s="41"/>
      <c r="SH66" s="41"/>
      <c r="SI66" s="41"/>
      <c r="UE66" s="39"/>
      <c r="UH66" s="41"/>
      <c r="UI66" s="41"/>
      <c r="UJ66" s="41"/>
      <c r="UK66" s="41"/>
      <c r="UL66" s="41"/>
      <c r="WH66" s="39"/>
      <c r="WK66" s="41"/>
      <c r="WL66" s="41"/>
      <c r="WM66" s="41"/>
      <c r="WN66" s="41"/>
      <c r="WO66" s="41"/>
      <c r="YK66" s="39"/>
      <c r="YN66" s="41"/>
      <c r="YO66" s="41"/>
      <c r="YP66" s="41"/>
      <c r="YQ66" s="41"/>
      <c r="YR66" s="41"/>
      <c r="AAN66" s="39"/>
      <c r="AAQ66" s="41"/>
      <c r="AAR66" s="41"/>
      <c r="AAS66" s="41"/>
      <c r="AAT66" s="41"/>
      <c r="AAU66" s="41"/>
      <c r="ACQ66" s="39"/>
      <c r="ACT66" s="41"/>
      <c r="ACU66" s="41"/>
      <c r="ACV66" s="41"/>
      <c r="ACW66" s="41"/>
      <c r="ACX66" s="41"/>
      <c r="AET66" s="39"/>
      <c r="AEW66" s="41"/>
      <c r="AEX66" s="41"/>
      <c r="AEY66" s="41"/>
      <c r="AEZ66" s="41"/>
      <c r="AFA66" s="41"/>
      <c r="AGW66" s="39"/>
      <c r="AGZ66" s="41"/>
      <c r="AHA66" s="41"/>
      <c r="AHB66" s="41"/>
      <c r="AHC66" s="41"/>
      <c r="AHD66" s="41"/>
      <c r="AIZ66" s="39"/>
      <c r="AJC66" s="41"/>
      <c r="AJD66" s="41"/>
      <c r="AJE66" s="41"/>
      <c r="AJF66" s="41"/>
      <c r="AJG66" s="41"/>
      <c r="ALC66" s="39"/>
      <c r="ALF66" s="41"/>
      <c r="ALG66" s="41"/>
      <c r="ALH66" s="41"/>
      <c r="ALI66" s="41"/>
      <c r="ALJ66" s="41"/>
      <c r="ANF66" s="39"/>
      <c r="ANI66" s="41"/>
      <c r="ANJ66" s="41"/>
      <c r="ANK66" s="41"/>
      <c r="ANL66" s="41"/>
      <c r="ANM66" s="41"/>
      <c r="API66" s="39"/>
      <c r="APL66" s="41"/>
      <c r="APM66" s="41"/>
      <c r="APN66" s="41"/>
      <c r="APO66" s="41"/>
      <c r="APP66" s="41"/>
      <c r="ARL66" s="39"/>
      <c r="ARO66" s="41"/>
      <c r="ARP66" s="41"/>
      <c r="ARQ66" s="41"/>
      <c r="ARR66" s="41"/>
      <c r="ARS66" s="41"/>
      <c r="ATO66" s="39"/>
      <c r="ATR66" s="41"/>
      <c r="ATS66" s="41"/>
      <c r="ATT66" s="41"/>
      <c r="ATU66" s="41"/>
      <c r="ATV66" s="41"/>
      <c r="AVR66" s="39"/>
      <c r="AVU66" s="41"/>
      <c r="AVV66" s="41"/>
      <c r="AVW66" s="41"/>
      <c r="AVX66" s="41"/>
      <c r="AVY66" s="41"/>
      <c r="AXU66" s="39"/>
      <c r="AXX66" s="41"/>
      <c r="AXY66" s="41"/>
      <c r="AXZ66" s="41"/>
      <c r="AYA66" s="41"/>
      <c r="AYB66" s="41"/>
      <c r="AZX66" s="39"/>
      <c r="BAA66" s="41"/>
      <c r="BAB66" s="41"/>
      <c r="BAC66" s="41"/>
      <c r="BAD66" s="41"/>
      <c r="BAE66" s="41"/>
      <c r="BCA66" s="39"/>
      <c r="BCD66" s="41"/>
      <c r="BCE66" s="41"/>
      <c r="BCF66" s="41"/>
      <c r="BCG66" s="41"/>
      <c r="BCH66" s="41"/>
      <c r="BED66" s="39"/>
      <c r="BEG66" s="41"/>
      <c r="BEH66" s="41"/>
      <c r="BEI66" s="41"/>
      <c r="BEJ66" s="41"/>
      <c r="BEK66" s="41"/>
      <c r="BGG66" s="39"/>
      <c r="BGJ66" s="41"/>
      <c r="BGK66" s="41"/>
      <c r="BGL66" s="41"/>
      <c r="BGM66" s="41"/>
      <c r="BGN66" s="41"/>
      <c r="BIJ66" s="39"/>
      <c r="BIM66" s="41"/>
      <c r="BIN66" s="41"/>
      <c r="BIO66" s="41"/>
      <c r="BIP66" s="41"/>
      <c r="BIQ66" s="41"/>
      <c r="BKM66" s="39"/>
      <c r="BKP66" s="41"/>
      <c r="BKQ66" s="41"/>
      <c r="BKR66" s="41"/>
      <c r="BKS66" s="41"/>
      <c r="BKT66" s="41"/>
      <c r="BMP66" s="39"/>
      <c r="BMS66" s="41"/>
      <c r="BMT66" s="41"/>
      <c r="BMU66" s="41"/>
      <c r="BMV66" s="41"/>
      <c r="BMW66" s="41"/>
      <c r="BOS66" s="39"/>
      <c r="BOV66" s="41"/>
      <c r="BOW66" s="41"/>
      <c r="BOX66" s="41"/>
      <c r="BOY66" s="41"/>
      <c r="BOZ66" s="41"/>
      <c r="BQV66" s="39"/>
      <c r="BQY66" s="41"/>
      <c r="BQZ66" s="41"/>
      <c r="BRA66" s="41"/>
      <c r="BRB66" s="41"/>
      <c r="BRC66" s="41"/>
      <c r="BSY66" s="39"/>
      <c r="BTB66" s="41"/>
      <c r="BTC66" s="41"/>
      <c r="BTD66" s="41"/>
      <c r="BTE66" s="41"/>
      <c r="BTF66" s="41"/>
      <c r="BVB66" s="39"/>
      <c r="BVE66" s="41"/>
      <c r="BVF66" s="41"/>
      <c r="BVG66" s="41"/>
      <c r="BVH66" s="41"/>
      <c r="BVI66" s="41"/>
      <c r="BXE66" s="39"/>
      <c r="BXH66" s="41"/>
      <c r="BXI66" s="41"/>
      <c r="BXJ66" s="41"/>
      <c r="BXK66" s="41"/>
      <c r="BXL66" s="41"/>
      <c r="BZH66" s="39"/>
      <c r="BZK66" s="41"/>
      <c r="BZL66" s="41"/>
      <c r="BZM66" s="41"/>
      <c r="BZN66" s="41"/>
      <c r="BZO66" s="41"/>
      <c r="CBK66" s="39"/>
      <c r="CBN66" s="41"/>
      <c r="CBO66" s="41"/>
      <c r="CBP66" s="41"/>
      <c r="CBQ66" s="41"/>
      <c r="CBR66" s="41"/>
      <c r="CDN66" s="39"/>
      <c r="CDQ66" s="41"/>
      <c r="CDR66" s="41"/>
      <c r="CDS66" s="41"/>
      <c r="CDT66" s="41"/>
      <c r="CDU66" s="41"/>
      <c r="CFQ66" s="39"/>
      <c r="CFT66" s="41"/>
      <c r="CFU66" s="41"/>
      <c r="CFV66" s="41"/>
      <c r="CFW66" s="41"/>
      <c r="CFX66" s="41"/>
      <c r="CHT66" s="39"/>
      <c r="CHW66" s="41"/>
      <c r="CHX66" s="41"/>
      <c r="CHY66" s="41"/>
      <c r="CHZ66" s="41"/>
      <c r="CIA66" s="41"/>
      <c r="CJW66" s="39"/>
      <c r="CJZ66" s="41"/>
      <c r="CKA66" s="41"/>
      <c r="CKB66" s="41"/>
      <c r="CKC66" s="41"/>
      <c r="CKD66" s="41"/>
      <c r="CLZ66" s="39"/>
      <c r="CMC66" s="41"/>
      <c r="CMD66" s="41"/>
      <c r="CME66" s="41"/>
      <c r="CMF66" s="41"/>
      <c r="CMG66" s="41"/>
      <c r="COC66" s="39"/>
      <c r="COF66" s="41"/>
      <c r="COG66" s="41"/>
      <c r="COH66" s="41"/>
      <c r="COI66" s="41"/>
      <c r="COJ66" s="41"/>
      <c r="CQF66" s="39"/>
      <c r="CQI66" s="41"/>
      <c r="CQJ66" s="41"/>
      <c r="CQK66" s="41"/>
      <c r="CQL66" s="41"/>
      <c r="CQM66" s="41"/>
      <c r="CSI66" s="39"/>
      <c r="CSL66" s="41"/>
      <c r="CSM66" s="41"/>
      <c r="CSN66" s="41"/>
      <c r="CSO66" s="41"/>
      <c r="CSP66" s="41"/>
      <c r="CUL66" s="39"/>
      <c r="CUO66" s="41"/>
      <c r="CUP66" s="41"/>
      <c r="CUQ66" s="41"/>
      <c r="CUR66" s="41"/>
      <c r="CUS66" s="41"/>
      <c r="CWO66" s="39"/>
      <c r="CWR66" s="41"/>
      <c r="CWS66" s="41"/>
      <c r="CWT66" s="41"/>
      <c r="CWU66" s="41"/>
      <c r="CWV66" s="41"/>
      <c r="CYR66" s="39"/>
      <c r="CYU66" s="41"/>
      <c r="CYV66" s="41"/>
      <c r="CYW66" s="41"/>
      <c r="CYX66" s="41"/>
      <c r="CYY66" s="41"/>
      <c r="DAU66" s="39"/>
      <c r="DAX66" s="41"/>
      <c r="DAY66" s="41"/>
      <c r="DAZ66" s="41"/>
      <c r="DBA66" s="41"/>
      <c r="DBB66" s="41"/>
      <c r="DCX66" s="39"/>
      <c r="DDA66" s="41"/>
      <c r="DDB66" s="41"/>
      <c r="DDC66" s="41"/>
      <c r="DDD66" s="41"/>
      <c r="DDE66" s="41"/>
      <c r="DFA66" s="39"/>
      <c r="DFD66" s="41"/>
      <c r="DFE66" s="41"/>
      <c r="DFF66" s="41"/>
      <c r="DFG66" s="41"/>
      <c r="DFH66" s="41"/>
      <c r="DHD66" s="39"/>
      <c r="DHG66" s="41"/>
      <c r="DHH66" s="41"/>
      <c r="DHI66" s="41"/>
      <c r="DHJ66" s="41"/>
      <c r="DHK66" s="41"/>
      <c r="DJG66" s="39"/>
      <c r="DJJ66" s="41"/>
      <c r="DJK66" s="41"/>
      <c r="DJL66" s="41"/>
      <c r="DJM66" s="41"/>
      <c r="DJN66" s="41"/>
      <c r="DLJ66" s="39"/>
      <c r="DLM66" s="41"/>
      <c r="DLN66" s="41"/>
      <c r="DLO66" s="41"/>
      <c r="DLP66" s="41"/>
      <c r="DLQ66" s="41"/>
      <c r="DNM66" s="39"/>
      <c r="DNP66" s="41"/>
      <c r="DNQ66" s="41"/>
      <c r="DNR66" s="41"/>
      <c r="DNS66" s="41"/>
      <c r="DNT66" s="41"/>
      <c r="DPP66" s="39"/>
      <c r="DPS66" s="41"/>
      <c r="DPT66" s="41"/>
      <c r="DPU66" s="41"/>
      <c r="DPV66" s="41"/>
      <c r="DPW66" s="41"/>
      <c r="DRS66" s="39"/>
      <c r="DRV66" s="41"/>
      <c r="DRW66" s="41"/>
      <c r="DRX66" s="41"/>
      <c r="DRY66" s="41"/>
      <c r="DRZ66" s="41"/>
      <c r="DTV66" s="39"/>
      <c r="DTY66" s="41"/>
      <c r="DTZ66" s="41"/>
      <c r="DUA66" s="41"/>
      <c r="DUB66" s="41"/>
      <c r="DUC66" s="41"/>
      <c r="DVY66" s="39"/>
      <c r="DWB66" s="41"/>
      <c r="DWC66" s="41"/>
      <c r="DWD66" s="41"/>
      <c r="DWE66" s="41"/>
      <c r="DWF66" s="41"/>
      <c r="DYB66" s="39"/>
      <c r="DYE66" s="41"/>
      <c r="DYF66" s="41"/>
      <c r="DYG66" s="41"/>
      <c r="DYH66" s="41"/>
      <c r="DYI66" s="41"/>
      <c r="EAE66" s="39"/>
      <c r="EAH66" s="41"/>
      <c r="EAI66" s="41"/>
      <c r="EAJ66" s="41"/>
      <c r="EAK66" s="41"/>
      <c r="EAL66" s="41"/>
      <c r="ECH66" s="39"/>
      <c r="ECK66" s="41"/>
      <c r="ECL66" s="41"/>
      <c r="ECM66" s="41"/>
      <c r="ECN66" s="41"/>
      <c r="ECO66" s="41"/>
      <c r="EEK66" s="39"/>
      <c r="EEN66" s="41"/>
      <c r="EEO66" s="41"/>
      <c r="EEP66" s="41"/>
      <c r="EEQ66" s="41"/>
      <c r="EER66" s="41"/>
      <c r="EGN66" s="39"/>
      <c r="EGQ66" s="41"/>
      <c r="EGR66" s="41"/>
      <c r="EGS66" s="41"/>
      <c r="EGT66" s="41"/>
      <c r="EGU66" s="41"/>
      <c r="EIQ66" s="39"/>
      <c r="EIT66" s="41"/>
      <c r="EIU66" s="41"/>
      <c r="EIV66" s="41"/>
      <c r="EIW66" s="41"/>
      <c r="EIX66" s="41"/>
      <c r="EKT66" s="39"/>
      <c r="EKW66" s="41"/>
      <c r="EKX66" s="41"/>
      <c r="EKY66" s="41"/>
      <c r="EKZ66" s="41"/>
      <c r="ELA66" s="41"/>
      <c r="EMW66" s="39"/>
      <c r="EMZ66" s="41"/>
      <c r="ENA66" s="41"/>
      <c r="ENB66" s="41"/>
      <c r="ENC66" s="41"/>
      <c r="END66" s="41"/>
      <c r="EOZ66" s="39"/>
      <c r="EPC66" s="41"/>
      <c r="EPD66" s="41"/>
      <c r="EPE66" s="41"/>
      <c r="EPF66" s="41"/>
      <c r="EPG66" s="41"/>
      <c r="ERC66" s="39"/>
      <c r="ERF66" s="41"/>
      <c r="ERG66" s="41"/>
      <c r="ERH66" s="41"/>
      <c r="ERI66" s="41"/>
      <c r="ERJ66" s="41"/>
      <c r="ETF66" s="39"/>
      <c r="ETI66" s="41"/>
      <c r="ETJ66" s="41"/>
      <c r="ETK66" s="41"/>
      <c r="ETL66" s="41"/>
      <c r="ETM66" s="41"/>
      <c r="EVI66" s="39"/>
      <c r="EVL66" s="41"/>
      <c r="EVM66" s="41"/>
      <c r="EVN66" s="41"/>
      <c r="EVO66" s="41"/>
      <c r="EVP66" s="41"/>
      <c r="EXL66" s="39"/>
      <c r="EXO66" s="41"/>
      <c r="EXP66" s="41"/>
      <c r="EXQ66" s="41"/>
      <c r="EXR66" s="41"/>
      <c r="EXS66" s="41"/>
      <c r="EZO66" s="39"/>
      <c r="EZR66" s="41"/>
      <c r="EZS66" s="41"/>
      <c r="EZT66" s="41"/>
      <c r="EZU66" s="41"/>
      <c r="EZV66" s="41"/>
      <c r="FBR66" s="39"/>
      <c r="FBU66" s="41"/>
      <c r="FBV66" s="41"/>
      <c r="FBW66" s="41"/>
      <c r="FBX66" s="41"/>
      <c r="FBY66" s="41"/>
      <c r="FDU66" s="39"/>
      <c r="FDX66" s="41"/>
      <c r="FDY66" s="41"/>
      <c r="FDZ66" s="41"/>
      <c r="FEA66" s="41"/>
      <c r="FEB66" s="41"/>
      <c r="FFX66" s="39"/>
      <c r="FGA66" s="41"/>
      <c r="FGB66" s="41"/>
      <c r="FGC66" s="41"/>
      <c r="FGD66" s="41"/>
      <c r="FGE66" s="41"/>
      <c r="FIA66" s="39"/>
      <c r="FID66" s="41"/>
      <c r="FIE66" s="41"/>
      <c r="FIF66" s="41"/>
      <c r="FIG66" s="41"/>
      <c r="FIH66" s="41"/>
      <c r="FKD66" s="39"/>
      <c r="FKG66" s="41"/>
      <c r="FKH66" s="41"/>
      <c r="FKI66" s="41"/>
      <c r="FKJ66" s="41"/>
      <c r="FKK66" s="41"/>
      <c r="FMG66" s="39"/>
      <c r="FMJ66" s="41"/>
      <c r="FMK66" s="41"/>
      <c r="FML66" s="41"/>
      <c r="FMM66" s="41"/>
      <c r="FMN66" s="41"/>
      <c r="FOJ66" s="39"/>
      <c r="FOM66" s="41"/>
      <c r="FON66" s="41"/>
      <c r="FOO66" s="41"/>
      <c r="FOP66" s="41"/>
      <c r="FOQ66" s="41"/>
      <c r="FQM66" s="39"/>
      <c r="FQP66" s="41"/>
      <c r="FQQ66" s="41"/>
      <c r="FQR66" s="41"/>
      <c r="FQS66" s="41"/>
      <c r="FQT66" s="41"/>
      <c r="FSP66" s="39"/>
      <c r="FSS66" s="41"/>
      <c r="FST66" s="41"/>
      <c r="FSU66" s="41"/>
      <c r="FSV66" s="41"/>
      <c r="FSW66" s="41"/>
      <c r="FUS66" s="39"/>
      <c r="FUV66" s="41"/>
      <c r="FUW66" s="41"/>
      <c r="FUX66" s="41"/>
      <c r="FUY66" s="41"/>
      <c r="FUZ66" s="41"/>
      <c r="FWV66" s="39"/>
      <c r="FWY66" s="41"/>
      <c r="FWZ66" s="41"/>
      <c r="FXA66" s="41"/>
      <c r="FXB66" s="41"/>
      <c r="FXC66" s="41"/>
      <c r="FYY66" s="39"/>
      <c r="FZB66" s="41"/>
      <c r="FZC66" s="41"/>
      <c r="FZD66" s="41"/>
      <c r="FZE66" s="41"/>
      <c r="FZF66" s="41"/>
      <c r="GBB66" s="39"/>
      <c r="GBE66" s="41"/>
      <c r="GBF66" s="41"/>
      <c r="GBG66" s="41"/>
      <c r="GBH66" s="41"/>
      <c r="GBI66" s="41"/>
      <c r="GDE66" s="39"/>
      <c r="GDH66" s="41"/>
      <c r="GDI66" s="41"/>
      <c r="GDJ66" s="41"/>
      <c r="GDK66" s="41"/>
      <c r="GDL66" s="41"/>
      <c r="GFH66" s="39"/>
      <c r="GFK66" s="41"/>
      <c r="GFL66" s="41"/>
      <c r="GFM66" s="41"/>
      <c r="GFN66" s="41"/>
      <c r="GFO66" s="41"/>
      <c r="GHK66" s="39"/>
      <c r="GHN66" s="41"/>
      <c r="GHO66" s="41"/>
      <c r="GHP66" s="41"/>
      <c r="GHQ66" s="41"/>
      <c r="GHR66" s="41"/>
      <c r="GJN66" s="39"/>
      <c r="GJQ66" s="41"/>
      <c r="GJR66" s="41"/>
      <c r="GJS66" s="41"/>
      <c r="GJT66" s="41"/>
      <c r="GJU66" s="41"/>
      <c r="GLQ66" s="39"/>
      <c r="GLT66" s="41"/>
      <c r="GLU66" s="41"/>
      <c r="GLV66" s="41"/>
      <c r="GLW66" s="41"/>
      <c r="GLX66" s="41"/>
      <c r="GNT66" s="39"/>
      <c r="GNW66" s="41"/>
      <c r="GNX66" s="41"/>
      <c r="GNY66" s="41"/>
      <c r="GNZ66" s="41"/>
      <c r="GOA66" s="41"/>
      <c r="GPW66" s="39"/>
      <c r="GPZ66" s="41"/>
      <c r="GQA66" s="41"/>
      <c r="GQB66" s="41"/>
      <c r="GQC66" s="41"/>
      <c r="GQD66" s="41"/>
      <c r="GRZ66" s="39"/>
      <c r="GSC66" s="41"/>
      <c r="GSD66" s="41"/>
      <c r="GSE66" s="41"/>
      <c r="GSF66" s="41"/>
      <c r="GSG66" s="41"/>
      <c r="GUC66" s="39"/>
      <c r="GUF66" s="41"/>
      <c r="GUG66" s="41"/>
      <c r="GUH66" s="41"/>
      <c r="GUI66" s="41"/>
      <c r="GUJ66" s="41"/>
      <c r="GWF66" s="39"/>
      <c r="GWI66" s="41"/>
      <c r="GWJ66" s="41"/>
      <c r="GWK66" s="41"/>
      <c r="GWL66" s="41"/>
      <c r="GWM66" s="41"/>
      <c r="GYI66" s="39"/>
      <c r="GYL66" s="41"/>
      <c r="GYM66" s="41"/>
      <c r="GYN66" s="41"/>
      <c r="GYO66" s="41"/>
      <c r="GYP66" s="41"/>
      <c r="HAL66" s="39"/>
      <c r="HAO66" s="41"/>
      <c r="HAP66" s="41"/>
      <c r="HAQ66" s="41"/>
      <c r="HAR66" s="41"/>
      <c r="HAS66" s="41"/>
      <c r="HCO66" s="39"/>
      <c r="HCR66" s="41"/>
      <c r="HCS66" s="41"/>
      <c r="HCT66" s="41"/>
      <c r="HCU66" s="41"/>
      <c r="HCV66" s="41"/>
      <c r="HER66" s="39"/>
      <c r="HEU66" s="41"/>
      <c r="HEV66" s="41"/>
      <c r="HEW66" s="41"/>
      <c r="HEX66" s="41"/>
      <c r="HEY66" s="41"/>
      <c r="HGU66" s="39"/>
      <c r="HGX66" s="41"/>
      <c r="HGY66" s="41"/>
      <c r="HGZ66" s="41"/>
      <c r="HHA66" s="41"/>
      <c r="HHB66" s="41"/>
      <c r="HIX66" s="39"/>
      <c r="HJA66" s="41"/>
      <c r="HJB66" s="41"/>
      <c r="HJC66" s="41"/>
      <c r="HJD66" s="41"/>
      <c r="HJE66" s="41"/>
      <c r="HLA66" s="39"/>
      <c r="HLD66" s="41"/>
      <c r="HLE66" s="41"/>
      <c r="HLF66" s="41"/>
      <c r="HLG66" s="41"/>
      <c r="HLH66" s="41"/>
      <c r="HND66" s="39"/>
      <c r="HNG66" s="41"/>
      <c r="HNH66" s="41"/>
      <c r="HNI66" s="41"/>
      <c r="HNJ66" s="41"/>
      <c r="HNK66" s="41"/>
      <c r="HPG66" s="39"/>
      <c r="HPJ66" s="41"/>
      <c r="HPK66" s="41"/>
      <c r="HPL66" s="41"/>
      <c r="HPM66" s="41"/>
      <c r="HPN66" s="41"/>
      <c r="HRJ66" s="39"/>
      <c r="HRM66" s="41"/>
      <c r="HRN66" s="41"/>
      <c r="HRO66" s="41"/>
      <c r="HRP66" s="41"/>
      <c r="HRQ66" s="41"/>
      <c r="HTM66" s="39"/>
      <c r="HTP66" s="41"/>
      <c r="HTQ66" s="41"/>
      <c r="HTR66" s="41"/>
      <c r="HTS66" s="41"/>
      <c r="HTT66" s="41"/>
      <c r="HVP66" s="39"/>
      <c r="HVS66" s="41"/>
      <c r="HVT66" s="41"/>
      <c r="HVU66" s="41"/>
      <c r="HVV66" s="41"/>
      <c r="HVW66" s="41"/>
      <c r="HXS66" s="39"/>
      <c r="HXV66" s="41"/>
      <c r="HXW66" s="41"/>
      <c r="HXX66" s="41"/>
      <c r="HXY66" s="41"/>
      <c r="HXZ66" s="41"/>
      <c r="HZV66" s="39"/>
      <c r="HZY66" s="41"/>
      <c r="HZZ66" s="41"/>
      <c r="IAA66" s="41"/>
      <c r="IAB66" s="41"/>
      <c r="IAC66" s="41"/>
      <c r="IBY66" s="39"/>
      <c r="ICB66" s="41"/>
      <c r="ICC66" s="41"/>
      <c r="ICD66" s="41"/>
      <c r="ICE66" s="41"/>
      <c r="ICF66" s="41"/>
      <c r="IEB66" s="39"/>
      <c r="IEE66" s="41"/>
      <c r="IEF66" s="41"/>
      <c r="IEG66" s="41"/>
      <c r="IEH66" s="41"/>
      <c r="IEI66" s="41"/>
      <c r="IGE66" s="39"/>
      <c r="IGH66" s="41"/>
      <c r="IGI66" s="41"/>
      <c r="IGJ66" s="41"/>
      <c r="IGK66" s="41"/>
      <c r="IGL66" s="41"/>
      <c r="IIH66" s="39"/>
      <c r="IIK66" s="41"/>
      <c r="IIL66" s="41"/>
      <c r="IIM66" s="41"/>
      <c r="IIN66" s="41"/>
      <c r="IIO66" s="41"/>
      <c r="IKK66" s="39"/>
      <c r="IKN66" s="41"/>
      <c r="IKO66" s="41"/>
      <c r="IKP66" s="41"/>
      <c r="IKQ66" s="41"/>
      <c r="IKR66" s="41"/>
      <c r="IMN66" s="39"/>
      <c r="IMQ66" s="41"/>
      <c r="IMR66" s="41"/>
      <c r="IMS66" s="41"/>
      <c r="IMT66" s="41"/>
      <c r="IMU66" s="41"/>
      <c r="IOQ66" s="39"/>
      <c r="IOT66" s="41"/>
      <c r="IOU66" s="41"/>
      <c r="IOV66" s="41"/>
      <c r="IOW66" s="41"/>
      <c r="IOX66" s="41"/>
      <c r="IQT66" s="39"/>
      <c r="IQW66" s="41"/>
      <c r="IQX66" s="41"/>
      <c r="IQY66" s="41"/>
      <c r="IQZ66" s="41"/>
      <c r="IRA66" s="41"/>
      <c r="ISW66" s="39"/>
      <c r="ISZ66" s="41"/>
      <c r="ITA66" s="41"/>
      <c r="ITB66" s="41"/>
      <c r="ITC66" s="41"/>
      <c r="ITD66" s="41"/>
      <c r="IUZ66" s="39"/>
      <c r="IVC66" s="41"/>
      <c r="IVD66" s="41"/>
      <c r="IVE66" s="41"/>
      <c r="IVF66" s="41"/>
      <c r="IVG66" s="41"/>
      <c r="IXC66" s="39"/>
      <c r="IXF66" s="41"/>
      <c r="IXG66" s="41"/>
      <c r="IXH66" s="41"/>
      <c r="IXI66" s="41"/>
      <c r="IXJ66" s="41"/>
      <c r="IZF66" s="39"/>
      <c r="IZI66" s="41"/>
      <c r="IZJ66" s="41"/>
      <c r="IZK66" s="41"/>
      <c r="IZL66" s="41"/>
      <c r="IZM66" s="41"/>
      <c r="JBI66" s="39"/>
      <c r="JBL66" s="41"/>
      <c r="JBM66" s="41"/>
      <c r="JBN66" s="41"/>
      <c r="JBO66" s="41"/>
      <c r="JBP66" s="41"/>
      <c r="JDL66" s="39"/>
      <c r="JDO66" s="41"/>
      <c r="JDP66" s="41"/>
      <c r="JDQ66" s="41"/>
      <c r="JDR66" s="41"/>
      <c r="JDS66" s="41"/>
      <c r="JFO66" s="39"/>
      <c r="JFR66" s="41"/>
      <c r="JFS66" s="41"/>
      <c r="JFT66" s="41"/>
      <c r="JFU66" s="41"/>
      <c r="JFV66" s="41"/>
      <c r="JHR66" s="39"/>
      <c r="JHU66" s="41"/>
      <c r="JHV66" s="41"/>
      <c r="JHW66" s="41"/>
      <c r="JHX66" s="41"/>
      <c r="JHY66" s="41"/>
      <c r="JJU66" s="39"/>
      <c r="JJX66" s="41"/>
      <c r="JJY66" s="41"/>
      <c r="JJZ66" s="41"/>
      <c r="JKA66" s="41"/>
      <c r="JKB66" s="41"/>
      <c r="JLX66" s="39"/>
      <c r="JMA66" s="41"/>
      <c r="JMB66" s="41"/>
      <c r="JMC66" s="41"/>
      <c r="JMD66" s="41"/>
      <c r="JME66" s="41"/>
      <c r="JOA66" s="39"/>
      <c r="JOD66" s="41"/>
      <c r="JOE66" s="41"/>
      <c r="JOF66" s="41"/>
      <c r="JOG66" s="41"/>
      <c r="JOH66" s="41"/>
      <c r="JQD66" s="39"/>
      <c r="JQG66" s="41"/>
      <c r="JQH66" s="41"/>
      <c r="JQI66" s="41"/>
      <c r="JQJ66" s="41"/>
      <c r="JQK66" s="41"/>
      <c r="JSG66" s="39"/>
      <c r="JSJ66" s="41"/>
      <c r="JSK66" s="41"/>
      <c r="JSL66" s="41"/>
      <c r="JSM66" s="41"/>
      <c r="JSN66" s="41"/>
      <c r="JUJ66" s="39"/>
      <c r="JUM66" s="41"/>
      <c r="JUN66" s="41"/>
      <c r="JUO66" s="41"/>
      <c r="JUP66" s="41"/>
      <c r="JUQ66" s="41"/>
      <c r="JWM66" s="39"/>
      <c r="JWP66" s="41"/>
      <c r="JWQ66" s="41"/>
      <c r="JWR66" s="41"/>
      <c r="JWS66" s="41"/>
      <c r="JWT66" s="41"/>
      <c r="JYP66" s="39"/>
      <c r="JYS66" s="41"/>
      <c r="JYT66" s="41"/>
      <c r="JYU66" s="41"/>
      <c r="JYV66" s="41"/>
      <c r="JYW66" s="41"/>
      <c r="KAS66" s="39"/>
      <c r="KAV66" s="41"/>
      <c r="KAW66" s="41"/>
      <c r="KAX66" s="41"/>
      <c r="KAY66" s="41"/>
      <c r="KAZ66" s="41"/>
      <c r="KCV66" s="39"/>
      <c r="KCY66" s="41"/>
      <c r="KCZ66" s="41"/>
      <c r="KDA66" s="41"/>
      <c r="KDB66" s="41"/>
      <c r="KDC66" s="41"/>
      <c r="KEY66" s="39"/>
      <c r="KFB66" s="41"/>
      <c r="KFC66" s="41"/>
      <c r="KFD66" s="41"/>
      <c r="KFE66" s="41"/>
      <c r="KFF66" s="41"/>
      <c r="KHB66" s="39"/>
      <c r="KHE66" s="41"/>
      <c r="KHF66" s="41"/>
      <c r="KHG66" s="41"/>
      <c r="KHH66" s="41"/>
      <c r="KHI66" s="41"/>
      <c r="KJE66" s="39"/>
      <c r="KJH66" s="41"/>
      <c r="KJI66" s="41"/>
      <c r="KJJ66" s="41"/>
      <c r="KJK66" s="41"/>
      <c r="KJL66" s="41"/>
      <c r="KLH66" s="39"/>
      <c r="KLK66" s="41"/>
      <c r="KLL66" s="41"/>
      <c r="KLM66" s="41"/>
      <c r="KLN66" s="41"/>
      <c r="KLO66" s="41"/>
      <c r="KNK66" s="39"/>
      <c r="KNN66" s="41"/>
      <c r="KNO66" s="41"/>
      <c r="KNP66" s="41"/>
      <c r="KNQ66" s="41"/>
      <c r="KNR66" s="41"/>
      <c r="KPN66" s="39"/>
      <c r="KPQ66" s="41"/>
      <c r="KPR66" s="41"/>
      <c r="KPS66" s="41"/>
      <c r="KPT66" s="41"/>
      <c r="KPU66" s="41"/>
      <c r="KRQ66" s="39"/>
      <c r="KRT66" s="41"/>
      <c r="KRU66" s="41"/>
      <c r="KRV66" s="41"/>
      <c r="KRW66" s="41"/>
      <c r="KRX66" s="41"/>
      <c r="KTT66" s="39"/>
      <c r="KTW66" s="41"/>
      <c r="KTX66" s="41"/>
      <c r="KTY66" s="41"/>
      <c r="KTZ66" s="41"/>
      <c r="KUA66" s="41"/>
      <c r="KVW66" s="39"/>
      <c r="KVZ66" s="41"/>
      <c r="KWA66" s="41"/>
      <c r="KWB66" s="41"/>
      <c r="KWC66" s="41"/>
      <c r="KWD66" s="41"/>
      <c r="KXZ66" s="39"/>
      <c r="KYC66" s="41"/>
      <c r="KYD66" s="41"/>
      <c r="KYE66" s="41"/>
      <c r="KYF66" s="41"/>
      <c r="KYG66" s="41"/>
      <c r="LAC66" s="39"/>
      <c r="LAF66" s="41"/>
      <c r="LAG66" s="41"/>
      <c r="LAH66" s="41"/>
      <c r="LAI66" s="41"/>
      <c r="LAJ66" s="41"/>
      <c r="LCF66" s="39"/>
      <c r="LCI66" s="41"/>
      <c r="LCJ66" s="41"/>
      <c r="LCK66" s="41"/>
      <c r="LCL66" s="41"/>
      <c r="LCM66" s="41"/>
      <c r="LEI66" s="39"/>
      <c r="LEL66" s="41"/>
      <c r="LEM66" s="41"/>
      <c r="LEN66" s="41"/>
      <c r="LEO66" s="41"/>
      <c r="LEP66" s="41"/>
      <c r="LGL66" s="39"/>
      <c r="LGO66" s="41"/>
      <c r="LGP66" s="41"/>
      <c r="LGQ66" s="41"/>
      <c r="LGR66" s="41"/>
      <c r="LGS66" s="41"/>
      <c r="LIO66" s="39"/>
      <c r="LIR66" s="41"/>
      <c r="LIS66" s="41"/>
      <c r="LIT66" s="41"/>
      <c r="LIU66" s="41"/>
      <c r="LIV66" s="41"/>
      <c r="LKR66" s="39"/>
      <c r="LKU66" s="41"/>
      <c r="LKV66" s="41"/>
      <c r="LKW66" s="41"/>
      <c r="LKX66" s="41"/>
      <c r="LKY66" s="41"/>
      <c r="LMU66" s="39"/>
      <c r="LMX66" s="41"/>
      <c r="LMY66" s="41"/>
      <c r="LMZ66" s="41"/>
      <c r="LNA66" s="41"/>
      <c r="LNB66" s="41"/>
      <c r="LOX66" s="39"/>
      <c r="LPA66" s="41"/>
      <c r="LPB66" s="41"/>
      <c r="LPC66" s="41"/>
      <c r="LPD66" s="41"/>
      <c r="LPE66" s="41"/>
      <c r="LRA66" s="39"/>
      <c r="LRD66" s="41"/>
      <c r="LRE66" s="41"/>
      <c r="LRF66" s="41"/>
      <c r="LRG66" s="41"/>
      <c r="LRH66" s="41"/>
      <c r="LTD66" s="39"/>
      <c r="LTG66" s="41"/>
      <c r="LTH66" s="41"/>
      <c r="LTI66" s="41"/>
      <c r="LTJ66" s="41"/>
      <c r="LTK66" s="41"/>
      <c r="LVG66" s="39"/>
      <c r="LVJ66" s="41"/>
      <c r="LVK66" s="41"/>
      <c r="LVL66" s="41"/>
      <c r="LVM66" s="41"/>
      <c r="LVN66" s="41"/>
      <c r="LXJ66" s="39"/>
      <c r="LXM66" s="41"/>
      <c r="LXN66" s="41"/>
      <c r="LXO66" s="41"/>
      <c r="LXP66" s="41"/>
      <c r="LXQ66" s="41"/>
      <c r="LZM66" s="39"/>
      <c r="LZP66" s="41"/>
      <c r="LZQ66" s="41"/>
      <c r="LZR66" s="41"/>
      <c r="LZS66" s="41"/>
      <c r="LZT66" s="41"/>
      <c r="MBP66" s="39"/>
      <c r="MBS66" s="41"/>
      <c r="MBT66" s="41"/>
      <c r="MBU66" s="41"/>
      <c r="MBV66" s="41"/>
      <c r="MBW66" s="41"/>
      <c r="MDS66" s="39"/>
      <c r="MDV66" s="41"/>
      <c r="MDW66" s="41"/>
      <c r="MDX66" s="41"/>
      <c r="MDY66" s="41"/>
      <c r="MDZ66" s="41"/>
      <c r="MFV66" s="39"/>
      <c r="MFY66" s="41"/>
      <c r="MFZ66" s="41"/>
      <c r="MGA66" s="41"/>
      <c r="MGB66" s="41"/>
      <c r="MGC66" s="41"/>
      <c r="MHY66" s="39"/>
      <c r="MIB66" s="41"/>
      <c r="MIC66" s="41"/>
      <c r="MID66" s="41"/>
      <c r="MIE66" s="41"/>
      <c r="MIF66" s="41"/>
      <c r="MKB66" s="39"/>
      <c r="MKE66" s="41"/>
      <c r="MKF66" s="41"/>
      <c r="MKG66" s="41"/>
      <c r="MKH66" s="41"/>
      <c r="MKI66" s="41"/>
      <c r="MME66" s="39"/>
      <c r="MMH66" s="41"/>
      <c r="MMI66" s="41"/>
      <c r="MMJ66" s="41"/>
      <c r="MMK66" s="41"/>
      <c r="MML66" s="41"/>
      <c r="MOH66" s="39"/>
      <c r="MOK66" s="41"/>
      <c r="MOL66" s="41"/>
      <c r="MOM66" s="41"/>
      <c r="MON66" s="41"/>
      <c r="MOO66" s="41"/>
      <c r="MQK66" s="39"/>
      <c r="MQN66" s="41"/>
      <c r="MQO66" s="41"/>
      <c r="MQP66" s="41"/>
      <c r="MQQ66" s="41"/>
      <c r="MQR66" s="41"/>
      <c r="MSN66" s="39"/>
      <c r="MSQ66" s="41"/>
      <c r="MSR66" s="41"/>
      <c r="MSS66" s="41"/>
      <c r="MST66" s="41"/>
      <c r="MSU66" s="41"/>
      <c r="MUQ66" s="39"/>
      <c r="MUT66" s="41"/>
      <c r="MUU66" s="41"/>
      <c r="MUV66" s="41"/>
      <c r="MUW66" s="41"/>
      <c r="MUX66" s="41"/>
      <c r="MWT66" s="39"/>
      <c r="MWW66" s="41"/>
      <c r="MWX66" s="41"/>
      <c r="MWY66" s="41"/>
      <c r="MWZ66" s="41"/>
      <c r="MXA66" s="41"/>
      <c r="MYW66" s="39"/>
      <c r="MYZ66" s="41"/>
      <c r="MZA66" s="41"/>
      <c r="MZB66" s="41"/>
      <c r="MZC66" s="41"/>
      <c r="MZD66" s="41"/>
      <c r="NAZ66" s="39"/>
      <c r="NBC66" s="41"/>
      <c r="NBD66" s="41"/>
      <c r="NBE66" s="41"/>
      <c r="NBF66" s="41"/>
      <c r="NBG66" s="41"/>
      <c r="NDC66" s="39"/>
      <c r="NDF66" s="41"/>
      <c r="NDG66" s="41"/>
      <c r="NDH66" s="41"/>
      <c r="NDI66" s="41"/>
      <c r="NDJ66" s="41"/>
      <c r="NFF66" s="39"/>
      <c r="NFI66" s="41"/>
      <c r="NFJ66" s="41"/>
      <c r="NFK66" s="41"/>
      <c r="NFL66" s="41"/>
      <c r="NFM66" s="41"/>
      <c r="NHI66" s="39"/>
      <c r="NHL66" s="41"/>
      <c r="NHM66" s="41"/>
      <c r="NHN66" s="41"/>
      <c r="NHO66" s="41"/>
      <c r="NHP66" s="41"/>
      <c r="NJL66" s="39"/>
      <c r="NJO66" s="41"/>
      <c r="NJP66" s="41"/>
      <c r="NJQ66" s="41"/>
      <c r="NJR66" s="41"/>
      <c r="NJS66" s="41"/>
      <c r="NLO66" s="39"/>
      <c r="NLR66" s="41"/>
      <c r="NLS66" s="41"/>
      <c r="NLT66" s="41"/>
      <c r="NLU66" s="41"/>
      <c r="NLV66" s="41"/>
      <c r="NNR66" s="39"/>
      <c r="NNU66" s="41"/>
      <c r="NNV66" s="41"/>
      <c r="NNW66" s="41"/>
      <c r="NNX66" s="41"/>
      <c r="NNY66" s="41"/>
      <c r="NPU66" s="39"/>
      <c r="NPX66" s="41"/>
      <c r="NPY66" s="41"/>
      <c r="NPZ66" s="41"/>
      <c r="NQA66" s="41"/>
      <c r="NQB66" s="41"/>
      <c r="NRX66" s="39"/>
      <c r="NSA66" s="41"/>
      <c r="NSB66" s="41"/>
      <c r="NSC66" s="41"/>
      <c r="NSD66" s="41"/>
      <c r="NSE66" s="41"/>
      <c r="NUA66" s="39"/>
      <c r="NUD66" s="41"/>
      <c r="NUE66" s="41"/>
      <c r="NUF66" s="41"/>
      <c r="NUG66" s="41"/>
      <c r="NUH66" s="41"/>
      <c r="NWD66" s="39"/>
      <c r="NWG66" s="41"/>
      <c r="NWH66" s="41"/>
      <c r="NWI66" s="41"/>
      <c r="NWJ66" s="41"/>
      <c r="NWK66" s="41"/>
      <c r="NYG66" s="39"/>
      <c r="NYJ66" s="41"/>
      <c r="NYK66" s="41"/>
      <c r="NYL66" s="41"/>
      <c r="NYM66" s="41"/>
      <c r="NYN66" s="41"/>
      <c r="OAJ66" s="39"/>
      <c r="OAM66" s="41"/>
      <c r="OAN66" s="41"/>
      <c r="OAO66" s="41"/>
      <c r="OAP66" s="41"/>
      <c r="OAQ66" s="41"/>
      <c r="OCM66" s="39"/>
      <c r="OCP66" s="41"/>
      <c r="OCQ66" s="41"/>
      <c r="OCR66" s="41"/>
      <c r="OCS66" s="41"/>
      <c r="OCT66" s="41"/>
      <c r="OEP66" s="39"/>
      <c r="OES66" s="41"/>
      <c r="OET66" s="41"/>
      <c r="OEU66" s="41"/>
      <c r="OEV66" s="41"/>
      <c r="OEW66" s="41"/>
      <c r="OGS66" s="39"/>
      <c r="OGV66" s="41"/>
      <c r="OGW66" s="41"/>
      <c r="OGX66" s="41"/>
      <c r="OGY66" s="41"/>
      <c r="OGZ66" s="41"/>
      <c r="OIV66" s="39"/>
      <c r="OIY66" s="41"/>
      <c r="OIZ66" s="41"/>
      <c r="OJA66" s="41"/>
      <c r="OJB66" s="41"/>
      <c r="OJC66" s="41"/>
      <c r="OKY66" s="39"/>
      <c r="OLB66" s="41"/>
      <c r="OLC66" s="41"/>
      <c r="OLD66" s="41"/>
      <c r="OLE66" s="41"/>
      <c r="OLF66" s="41"/>
      <c r="ONB66" s="39"/>
      <c r="ONE66" s="41"/>
      <c r="ONF66" s="41"/>
      <c r="ONG66" s="41"/>
      <c r="ONH66" s="41"/>
      <c r="ONI66" s="41"/>
      <c r="OPE66" s="39"/>
      <c r="OPH66" s="41"/>
      <c r="OPI66" s="41"/>
      <c r="OPJ66" s="41"/>
      <c r="OPK66" s="41"/>
      <c r="OPL66" s="41"/>
      <c r="ORH66" s="39"/>
      <c r="ORK66" s="41"/>
      <c r="ORL66" s="41"/>
      <c r="ORM66" s="41"/>
      <c r="ORN66" s="41"/>
      <c r="ORO66" s="41"/>
      <c r="OTK66" s="39"/>
      <c r="OTN66" s="41"/>
      <c r="OTO66" s="41"/>
      <c r="OTP66" s="41"/>
      <c r="OTQ66" s="41"/>
      <c r="OTR66" s="41"/>
      <c r="OVN66" s="39"/>
      <c r="OVQ66" s="41"/>
      <c r="OVR66" s="41"/>
      <c r="OVS66" s="41"/>
      <c r="OVT66" s="41"/>
      <c r="OVU66" s="41"/>
      <c r="OXQ66" s="39"/>
      <c r="OXT66" s="41"/>
      <c r="OXU66" s="41"/>
      <c r="OXV66" s="41"/>
      <c r="OXW66" s="41"/>
      <c r="OXX66" s="41"/>
      <c r="OZT66" s="39"/>
      <c r="OZW66" s="41"/>
      <c r="OZX66" s="41"/>
      <c r="OZY66" s="41"/>
      <c r="OZZ66" s="41"/>
      <c r="PAA66" s="41"/>
      <c r="PBW66" s="39"/>
      <c r="PBZ66" s="41"/>
      <c r="PCA66" s="41"/>
      <c r="PCB66" s="41"/>
      <c r="PCC66" s="41"/>
      <c r="PCD66" s="41"/>
      <c r="PDZ66" s="39"/>
      <c r="PEC66" s="41"/>
      <c r="PED66" s="41"/>
      <c r="PEE66" s="41"/>
      <c r="PEF66" s="41"/>
      <c r="PEG66" s="41"/>
      <c r="PGC66" s="39"/>
      <c r="PGF66" s="41"/>
      <c r="PGG66" s="41"/>
      <c r="PGH66" s="41"/>
      <c r="PGI66" s="41"/>
      <c r="PGJ66" s="41"/>
      <c r="PIF66" s="39"/>
      <c r="PII66" s="41"/>
      <c r="PIJ66" s="41"/>
      <c r="PIK66" s="41"/>
      <c r="PIL66" s="41"/>
      <c r="PIM66" s="41"/>
      <c r="PKI66" s="39"/>
      <c r="PKL66" s="41"/>
      <c r="PKM66" s="41"/>
      <c r="PKN66" s="41"/>
      <c r="PKO66" s="41"/>
      <c r="PKP66" s="41"/>
      <c r="PML66" s="39"/>
      <c r="PMO66" s="41"/>
      <c r="PMP66" s="41"/>
      <c r="PMQ66" s="41"/>
      <c r="PMR66" s="41"/>
      <c r="PMS66" s="41"/>
      <c r="POO66" s="39"/>
      <c r="POR66" s="41"/>
      <c r="POS66" s="41"/>
      <c r="POT66" s="41"/>
      <c r="POU66" s="41"/>
      <c r="POV66" s="41"/>
      <c r="PQR66" s="39"/>
      <c r="PQU66" s="41"/>
      <c r="PQV66" s="41"/>
      <c r="PQW66" s="41"/>
      <c r="PQX66" s="41"/>
      <c r="PQY66" s="41"/>
      <c r="PSU66" s="39"/>
      <c r="PSX66" s="41"/>
      <c r="PSY66" s="41"/>
      <c r="PSZ66" s="41"/>
      <c r="PTA66" s="41"/>
      <c r="PTB66" s="41"/>
      <c r="PUX66" s="39"/>
      <c r="PVA66" s="41"/>
      <c r="PVB66" s="41"/>
      <c r="PVC66" s="41"/>
      <c r="PVD66" s="41"/>
      <c r="PVE66" s="41"/>
      <c r="PXA66" s="39"/>
      <c r="PXD66" s="41"/>
      <c r="PXE66" s="41"/>
      <c r="PXF66" s="41"/>
      <c r="PXG66" s="41"/>
      <c r="PXH66" s="41"/>
      <c r="PZD66" s="39"/>
      <c r="PZG66" s="41"/>
      <c r="PZH66" s="41"/>
      <c r="PZI66" s="41"/>
      <c r="PZJ66" s="41"/>
      <c r="PZK66" s="41"/>
      <c r="QBG66" s="39"/>
      <c r="QBJ66" s="41"/>
      <c r="QBK66" s="41"/>
      <c r="QBL66" s="41"/>
      <c r="QBM66" s="41"/>
      <c r="QBN66" s="41"/>
      <c r="QDJ66" s="39"/>
      <c r="QDM66" s="41"/>
      <c r="QDN66" s="41"/>
      <c r="QDO66" s="41"/>
      <c r="QDP66" s="41"/>
      <c r="QDQ66" s="41"/>
      <c r="QFM66" s="39"/>
      <c r="QFP66" s="41"/>
      <c r="QFQ66" s="41"/>
      <c r="QFR66" s="41"/>
      <c r="QFS66" s="41"/>
      <c r="QFT66" s="41"/>
      <c r="QHP66" s="39"/>
      <c r="QHS66" s="41"/>
      <c r="QHT66" s="41"/>
      <c r="QHU66" s="41"/>
      <c r="QHV66" s="41"/>
      <c r="QHW66" s="41"/>
      <c r="QJS66" s="39"/>
      <c r="QJV66" s="41"/>
      <c r="QJW66" s="41"/>
      <c r="QJX66" s="41"/>
      <c r="QJY66" s="41"/>
      <c r="QJZ66" s="41"/>
      <c r="QLV66" s="39"/>
      <c r="QLY66" s="41"/>
      <c r="QLZ66" s="41"/>
      <c r="QMA66" s="41"/>
      <c r="QMB66" s="41"/>
      <c r="QMC66" s="41"/>
      <c r="QNY66" s="39"/>
      <c r="QOB66" s="41"/>
      <c r="QOC66" s="41"/>
      <c r="QOD66" s="41"/>
      <c r="QOE66" s="41"/>
      <c r="QOF66" s="41"/>
      <c r="QQB66" s="39"/>
      <c r="QQE66" s="41"/>
      <c r="QQF66" s="41"/>
      <c r="QQG66" s="41"/>
      <c r="QQH66" s="41"/>
      <c r="QQI66" s="41"/>
      <c r="QSE66" s="39"/>
      <c r="QSH66" s="41"/>
      <c r="QSI66" s="41"/>
      <c r="QSJ66" s="41"/>
      <c r="QSK66" s="41"/>
      <c r="QSL66" s="41"/>
      <c r="QUH66" s="39"/>
      <c r="QUK66" s="41"/>
      <c r="QUL66" s="41"/>
      <c r="QUM66" s="41"/>
      <c r="QUN66" s="41"/>
      <c r="QUO66" s="41"/>
      <c r="QWK66" s="39"/>
      <c r="QWN66" s="41"/>
      <c r="QWO66" s="41"/>
      <c r="QWP66" s="41"/>
      <c r="QWQ66" s="41"/>
      <c r="QWR66" s="41"/>
      <c r="QYN66" s="39"/>
      <c r="QYQ66" s="41"/>
      <c r="QYR66" s="41"/>
      <c r="QYS66" s="41"/>
      <c r="QYT66" s="41"/>
      <c r="QYU66" s="41"/>
      <c r="RAQ66" s="39"/>
      <c r="RAT66" s="41"/>
      <c r="RAU66" s="41"/>
      <c r="RAV66" s="41"/>
      <c r="RAW66" s="41"/>
      <c r="RAX66" s="41"/>
      <c r="RCT66" s="39"/>
      <c r="RCW66" s="41"/>
      <c r="RCX66" s="41"/>
      <c r="RCY66" s="41"/>
      <c r="RCZ66" s="41"/>
      <c r="RDA66" s="41"/>
      <c r="REW66" s="39"/>
      <c r="REZ66" s="41"/>
      <c r="RFA66" s="41"/>
      <c r="RFB66" s="41"/>
      <c r="RFC66" s="41"/>
      <c r="RFD66" s="41"/>
      <c r="RGZ66" s="39"/>
      <c r="RHC66" s="41"/>
      <c r="RHD66" s="41"/>
      <c r="RHE66" s="41"/>
      <c r="RHF66" s="41"/>
      <c r="RHG66" s="41"/>
      <c r="RJC66" s="39"/>
      <c r="RJF66" s="41"/>
      <c r="RJG66" s="41"/>
      <c r="RJH66" s="41"/>
      <c r="RJI66" s="41"/>
      <c r="RJJ66" s="41"/>
      <c r="RLF66" s="39"/>
      <c r="RLI66" s="41"/>
      <c r="RLJ66" s="41"/>
      <c r="RLK66" s="41"/>
      <c r="RLL66" s="41"/>
      <c r="RLM66" s="41"/>
      <c r="RNI66" s="39"/>
      <c r="RNL66" s="41"/>
      <c r="RNM66" s="41"/>
      <c r="RNN66" s="41"/>
      <c r="RNO66" s="41"/>
      <c r="RNP66" s="41"/>
      <c r="RPL66" s="39"/>
      <c r="RPO66" s="41"/>
      <c r="RPP66" s="41"/>
      <c r="RPQ66" s="41"/>
      <c r="RPR66" s="41"/>
      <c r="RPS66" s="41"/>
      <c r="RRO66" s="39"/>
      <c r="RRR66" s="41"/>
      <c r="RRS66" s="41"/>
      <c r="RRT66" s="41"/>
      <c r="RRU66" s="41"/>
      <c r="RRV66" s="41"/>
      <c r="RTR66" s="39"/>
      <c r="RTU66" s="41"/>
      <c r="RTV66" s="41"/>
      <c r="RTW66" s="41"/>
      <c r="RTX66" s="41"/>
      <c r="RTY66" s="41"/>
      <c r="RVU66" s="39"/>
      <c r="RVX66" s="41"/>
      <c r="RVY66" s="41"/>
      <c r="RVZ66" s="41"/>
      <c r="RWA66" s="41"/>
      <c r="RWB66" s="41"/>
      <c r="RXX66" s="39"/>
      <c r="RYA66" s="41"/>
      <c r="RYB66" s="41"/>
      <c r="RYC66" s="41"/>
      <c r="RYD66" s="41"/>
      <c r="RYE66" s="41"/>
      <c r="SAA66" s="39"/>
      <c r="SAD66" s="41"/>
      <c r="SAE66" s="41"/>
      <c r="SAF66" s="41"/>
      <c r="SAG66" s="41"/>
      <c r="SAH66" s="41"/>
      <c r="SCD66" s="39"/>
      <c r="SCG66" s="41"/>
      <c r="SCH66" s="41"/>
      <c r="SCI66" s="41"/>
      <c r="SCJ66" s="41"/>
      <c r="SCK66" s="41"/>
      <c r="SEG66" s="39"/>
      <c r="SEJ66" s="41"/>
      <c r="SEK66" s="41"/>
      <c r="SEL66" s="41"/>
      <c r="SEM66" s="41"/>
      <c r="SEN66" s="41"/>
      <c r="SGJ66" s="39"/>
      <c r="SGM66" s="41"/>
      <c r="SGN66" s="41"/>
      <c r="SGO66" s="41"/>
      <c r="SGP66" s="41"/>
      <c r="SGQ66" s="41"/>
      <c r="SIM66" s="39"/>
      <c r="SIP66" s="41"/>
      <c r="SIQ66" s="41"/>
      <c r="SIR66" s="41"/>
      <c r="SIS66" s="41"/>
      <c r="SIT66" s="41"/>
      <c r="SKP66" s="39"/>
      <c r="SKS66" s="41"/>
      <c r="SKT66" s="41"/>
      <c r="SKU66" s="41"/>
      <c r="SKV66" s="41"/>
      <c r="SKW66" s="41"/>
      <c r="SMS66" s="39"/>
      <c r="SMV66" s="41"/>
      <c r="SMW66" s="41"/>
      <c r="SMX66" s="41"/>
      <c r="SMY66" s="41"/>
      <c r="SMZ66" s="41"/>
      <c r="SOV66" s="39"/>
      <c r="SOY66" s="41"/>
      <c r="SOZ66" s="41"/>
      <c r="SPA66" s="41"/>
      <c r="SPB66" s="41"/>
      <c r="SPC66" s="41"/>
      <c r="SQY66" s="39"/>
      <c r="SRB66" s="41"/>
      <c r="SRC66" s="41"/>
      <c r="SRD66" s="41"/>
      <c r="SRE66" s="41"/>
      <c r="SRF66" s="41"/>
      <c r="STB66" s="39"/>
      <c r="STE66" s="41"/>
      <c r="STF66" s="41"/>
      <c r="STG66" s="41"/>
      <c r="STH66" s="41"/>
      <c r="STI66" s="41"/>
      <c r="SVE66" s="39"/>
      <c r="SVH66" s="41"/>
      <c r="SVI66" s="41"/>
      <c r="SVJ66" s="41"/>
      <c r="SVK66" s="41"/>
      <c r="SVL66" s="41"/>
      <c r="SXH66" s="39"/>
      <c r="SXK66" s="41"/>
      <c r="SXL66" s="41"/>
      <c r="SXM66" s="41"/>
      <c r="SXN66" s="41"/>
      <c r="SXO66" s="41"/>
      <c r="SZK66" s="39"/>
      <c r="SZN66" s="41"/>
      <c r="SZO66" s="41"/>
      <c r="SZP66" s="41"/>
      <c r="SZQ66" s="41"/>
      <c r="SZR66" s="41"/>
      <c r="TBN66" s="39"/>
      <c r="TBQ66" s="41"/>
      <c r="TBR66" s="41"/>
      <c r="TBS66" s="41"/>
      <c r="TBT66" s="41"/>
      <c r="TBU66" s="41"/>
      <c r="TDQ66" s="39"/>
      <c r="TDT66" s="41"/>
      <c r="TDU66" s="41"/>
      <c r="TDV66" s="41"/>
      <c r="TDW66" s="41"/>
      <c r="TDX66" s="41"/>
      <c r="TFT66" s="39"/>
      <c r="TFW66" s="41"/>
      <c r="TFX66" s="41"/>
      <c r="TFY66" s="41"/>
      <c r="TFZ66" s="41"/>
      <c r="TGA66" s="41"/>
      <c r="THW66" s="39"/>
      <c r="THZ66" s="41"/>
      <c r="TIA66" s="41"/>
      <c r="TIB66" s="41"/>
      <c r="TIC66" s="41"/>
      <c r="TID66" s="41"/>
      <c r="TJZ66" s="39"/>
      <c r="TKC66" s="41"/>
      <c r="TKD66" s="41"/>
      <c r="TKE66" s="41"/>
      <c r="TKF66" s="41"/>
      <c r="TKG66" s="41"/>
      <c r="TMC66" s="39"/>
      <c r="TMF66" s="41"/>
      <c r="TMG66" s="41"/>
      <c r="TMH66" s="41"/>
      <c r="TMI66" s="41"/>
      <c r="TMJ66" s="41"/>
      <c r="TOF66" s="39"/>
      <c r="TOI66" s="41"/>
      <c r="TOJ66" s="41"/>
      <c r="TOK66" s="41"/>
      <c r="TOL66" s="41"/>
      <c r="TOM66" s="41"/>
      <c r="TQI66" s="39"/>
      <c r="TQL66" s="41"/>
      <c r="TQM66" s="41"/>
      <c r="TQN66" s="41"/>
      <c r="TQO66" s="41"/>
      <c r="TQP66" s="41"/>
      <c r="TSL66" s="39"/>
      <c r="TSO66" s="41"/>
      <c r="TSP66" s="41"/>
      <c r="TSQ66" s="41"/>
      <c r="TSR66" s="41"/>
      <c r="TSS66" s="41"/>
      <c r="TUO66" s="39"/>
      <c r="TUR66" s="41"/>
      <c r="TUS66" s="41"/>
      <c r="TUT66" s="41"/>
      <c r="TUU66" s="41"/>
      <c r="TUV66" s="41"/>
      <c r="TWR66" s="39"/>
      <c r="TWU66" s="41"/>
      <c r="TWV66" s="41"/>
      <c r="TWW66" s="41"/>
      <c r="TWX66" s="41"/>
      <c r="TWY66" s="41"/>
      <c r="TYU66" s="39"/>
      <c r="TYX66" s="41"/>
      <c r="TYY66" s="41"/>
      <c r="TYZ66" s="41"/>
      <c r="TZA66" s="41"/>
      <c r="TZB66" s="41"/>
      <c r="UAX66" s="39"/>
      <c r="UBA66" s="41"/>
      <c r="UBB66" s="41"/>
      <c r="UBC66" s="41"/>
      <c r="UBD66" s="41"/>
      <c r="UBE66" s="41"/>
      <c r="UDA66" s="39"/>
      <c r="UDD66" s="41"/>
      <c r="UDE66" s="41"/>
      <c r="UDF66" s="41"/>
      <c r="UDG66" s="41"/>
      <c r="UDH66" s="41"/>
      <c r="UFD66" s="39"/>
      <c r="UFG66" s="41"/>
      <c r="UFH66" s="41"/>
      <c r="UFI66" s="41"/>
      <c r="UFJ66" s="41"/>
      <c r="UFK66" s="41"/>
      <c r="UHG66" s="39"/>
      <c r="UHJ66" s="41"/>
      <c r="UHK66" s="41"/>
      <c r="UHL66" s="41"/>
      <c r="UHM66" s="41"/>
      <c r="UHN66" s="41"/>
      <c r="UJJ66" s="39"/>
      <c r="UJM66" s="41"/>
      <c r="UJN66" s="41"/>
      <c r="UJO66" s="41"/>
      <c r="UJP66" s="41"/>
      <c r="UJQ66" s="41"/>
      <c r="ULM66" s="39"/>
      <c r="ULP66" s="41"/>
      <c r="ULQ66" s="41"/>
      <c r="ULR66" s="41"/>
      <c r="ULS66" s="41"/>
      <c r="ULT66" s="41"/>
      <c r="UNP66" s="39"/>
      <c r="UNS66" s="41"/>
      <c r="UNT66" s="41"/>
      <c r="UNU66" s="41"/>
      <c r="UNV66" s="41"/>
      <c r="UNW66" s="41"/>
      <c r="UPS66" s="39"/>
      <c r="UPV66" s="41"/>
      <c r="UPW66" s="41"/>
      <c r="UPX66" s="41"/>
      <c r="UPY66" s="41"/>
      <c r="UPZ66" s="41"/>
      <c r="URV66" s="39"/>
      <c r="URY66" s="41"/>
      <c r="URZ66" s="41"/>
      <c r="USA66" s="41"/>
      <c r="USB66" s="41"/>
      <c r="USC66" s="41"/>
      <c r="UTY66" s="39"/>
      <c r="UUB66" s="41"/>
      <c r="UUC66" s="41"/>
      <c r="UUD66" s="41"/>
      <c r="UUE66" s="41"/>
      <c r="UUF66" s="41"/>
      <c r="UWB66" s="39"/>
      <c r="UWE66" s="41"/>
      <c r="UWF66" s="41"/>
      <c r="UWG66" s="41"/>
      <c r="UWH66" s="41"/>
      <c r="UWI66" s="41"/>
      <c r="UYE66" s="39"/>
      <c r="UYH66" s="41"/>
      <c r="UYI66" s="41"/>
      <c r="UYJ66" s="41"/>
      <c r="UYK66" s="41"/>
      <c r="UYL66" s="41"/>
      <c r="VAH66" s="39"/>
      <c r="VAK66" s="41"/>
      <c r="VAL66" s="41"/>
      <c r="VAM66" s="41"/>
      <c r="VAN66" s="41"/>
      <c r="VAO66" s="41"/>
      <c r="VCK66" s="39"/>
      <c r="VCN66" s="41"/>
      <c r="VCO66" s="41"/>
      <c r="VCP66" s="41"/>
      <c r="VCQ66" s="41"/>
      <c r="VCR66" s="41"/>
      <c r="VEN66" s="39"/>
      <c r="VEQ66" s="41"/>
      <c r="VER66" s="41"/>
      <c r="VES66" s="41"/>
      <c r="VET66" s="41"/>
      <c r="VEU66" s="41"/>
      <c r="VGQ66" s="39"/>
      <c r="VGT66" s="41"/>
      <c r="VGU66" s="41"/>
      <c r="VGV66" s="41"/>
      <c r="VGW66" s="41"/>
      <c r="VGX66" s="41"/>
      <c r="VIT66" s="39"/>
      <c r="VIW66" s="41"/>
      <c r="VIX66" s="41"/>
      <c r="VIY66" s="41"/>
      <c r="VIZ66" s="41"/>
      <c r="VJA66" s="41"/>
      <c r="VKW66" s="39"/>
      <c r="VKZ66" s="41"/>
      <c r="VLA66" s="41"/>
      <c r="VLB66" s="41"/>
      <c r="VLC66" s="41"/>
      <c r="VLD66" s="41"/>
      <c r="VMZ66" s="39"/>
      <c r="VNC66" s="41"/>
      <c r="VND66" s="41"/>
      <c r="VNE66" s="41"/>
      <c r="VNF66" s="41"/>
      <c r="VNG66" s="41"/>
      <c r="VPC66" s="39"/>
      <c r="VPF66" s="41"/>
      <c r="VPG66" s="41"/>
      <c r="VPH66" s="41"/>
      <c r="VPI66" s="41"/>
      <c r="VPJ66" s="41"/>
      <c r="VRF66" s="39"/>
      <c r="VRI66" s="41"/>
      <c r="VRJ66" s="41"/>
      <c r="VRK66" s="41"/>
      <c r="VRL66" s="41"/>
      <c r="VRM66" s="41"/>
      <c r="VTI66" s="39"/>
      <c r="VTL66" s="41"/>
      <c r="VTM66" s="41"/>
      <c r="VTN66" s="41"/>
      <c r="VTO66" s="41"/>
      <c r="VTP66" s="41"/>
      <c r="VVL66" s="39"/>
      <c r="VVO66" s="41"/>
      <c r="VVP66" s="41"/>
      <c r="VVQ66" s="41"/>
      <c r="VVR66" s="41"/>
      <c r="VVS66" s="41"/>
      <c r="VXO66" s="39"/>
      <c r="VXR66" s="41"/>
      <c r="VXS66" s="41"/>
      <c r="VXT66" s="41"/>
      <c r="VXU66" s="41"/>
      <c r="VXV66" s="41"/>
      <c r="VZR66" s="39"/>
      <c r="VZU66" s="41"/>
      <c r="VZV66" s="41"/>
      <c r="VZW66" s="41"/>
      <c r="VZX66" s="41"/>
      <c r="VZY66" s="41"/>
      <c r="WBU66" s="39"/>
      <c r="WBX66" s="41"/>
      <c r="WBY66" s="41"/>
      <c r="WBZ66" s="41"/>
      <c r="WCA66" s="41"/>
      <c r="WCB66" s="41"/>
      <c r="WDX66" s="39"/>
      <c r="WEA66" s="41"/>
      <c r="WEB66" s="41"/>
      <c r="WEC66" s="41"/>
      <c r="WED66" s="41"/>
      <c r="WEE66" s="41"/>
      <c r="WGA66" s="39"/>
      <c r="WGD66" s="41"/>
      <c r="WGE66" s="41"/>
      <c r="WGF66" s="41"/>
      <c r="WGG66" s="41"/>
      <c r="WGH66" s="41"/>
      <c r="WID66" s="39"/>
      <c r="WIG66" s="41"/>
      <c r="WIH66" s="41"/>
      <c r="WII66" s="41"/>
      <c r="WIJ66" s="41"/>
      <c r="WIK66" s="41"/>
      <c r="WKG66" s="39"/>
      <c r="WKJ66" s="41"/>
      <c r="WKK66" s="41"/>
      <c r="WKL66" s="41"/>
      <c r="WKM66" s="41"/>
      <c r="WKN66" s="41"/>
      <c r="WMJ66" s="39"/>
      <c r="WMM66" s="41"/>
      <c r="WMN66" s="41"/>
      <c r="WMO66" s="41"/>
      <c r="WMP66" s="41"/>
      <c r="WMQ66" s="41"/>
      <c r="WOM66" s="39"/>
      <c r="WOP66" s="41"/>
      <c r="WOQ66" s="41"/>
      <c r="WOR66" s="41"/>
      <c r="WOS66" s="41"/>
      <c r="WOT66" s="41"/>
      <c r="WQP66" s="39"/>
      <c r="WQS66" s="41"/>
      <c r="WQT66" s="41"/>
      <c r="WQU66" s="41"/>
      <c r="WQV66" s="41"/>
      <c r="WQW66" s="41"/>
      <c r="WSS66" s="39"/>
      <c r="WSV66" s="41"/>
      <c r="WSW66" s="41"/>
      <c r="WSX66" s="41"/>
      <c r="WSY66" s="41"/>
      <c r="WSZ66" s="41"/>
      <c r="WUV66" s="39"/>
      <c r="WUY66" s="41"/>
      <c r="WUZ66" s="41"/>
      <c r="WVA66" s="41"/>
      <c r="WVB66" s="41"/>
      <c r="WVC66" s="41"/>
      <c r="WWY66" s="39"/>
      <c r="WXB66" s="41"/>
      <c r="WXC66" s="41"/>
      <c r="WXD66" s="41"/>
      <c r="WXE66" s="41"/>
      <c r="WXF66" s="41"/>
      <c r="WZB66" s="39"/>
      <c r="WZE66" s="41"/>
      <c r="WZF66" s="41"/>
      <c r="WZG66" s="41"/>
      <c r="WZH66" s="41"/>
      <c r="WZI66" s="41"/>
      <c r="XBE66" s="39"/>
      <c r="XBH66" s="41"/>
      <c r="XBI66" s="41"/>
      <c r="XBJ66" s="41"/>
      <c r="XBK66" s="41"/>
      <c r="XBL66" s="41"/>
      <c r="XDH66" s="39"/>
      <c r="XDK66" s="41"/>
      <c r="XDL66" s="41"/>
      <c r="XDM66" s="41"/>
      <c r="XDN66" s="41"/>
      <c r="XDO66" s="41"/>
    </row>
    <row r="67" spans="1:998 1046:2043 2091:3033 3081:4078 4126:6113 6161:7158 7206:8148 8196:9193 9241:10238 10286:11228 11276:12273 12321:13311 13314:14308 14356:15353 15401:16343" s="40" customFormat="1" ht="15" customHeight="1" x14ac:dyDescent="0.25">
      <c r="A67" s="22" t="s">
        <v>537</v>
      </c>
      <c r="B67" s="23">
        <v>500</v>
      </c>
      <c r="C67" s="23">
        <v>32</v>
      </c>
      <c r="D67" s="24">
        <v>30</v>
      </c>
      <c r="E67" s="24" t="s">
        <v>469</v>
      </c>
      <c r="F67" s="24">
        <v>0</v>
      </c>
      <c r="G67" s="24">
        <f t="shared" ref="G67:G76" si="18">C67*12</f>
        <v>384</v>
      </c>
      <c r="H67" s="24">
        <f t="shared" ref="H67:H76" si="19">C67*12/2+7</f>
        <v>199</v>
      </c>
      <c r="I67" s="23">
        <f t="shared" ref="I67:I76" si="20">H67-12</f>
        <v>187</v>
      </c>
      <c r="J67" s="23">
        <f t="shared" ref="J67:J76" si="21">360/L67</f>
        <v>30</v>
      </c>
      <c r="K67" s="23">
        <v>1.25</v>
      </c>
      <c r="L67" s="23">
        <v>12</v>
      </c>
      <c r="M67" s="23">
        <v>20</v>
      </c>
      <c r="N67" s="23">
        <f t="shared" ref="N67:N76" si="22">360/M67/2</f>
        <v>9</v>
      </c>
      <c r="O67" s="23">
        <f t="shared" ref="O67:O76" si="23">M67</f>
        <v>20</v>
      </c>
      <c r="P67" s="23">
        <f t="shared" ref="P67:P76" si="24">O67*2</f>
        <v>40</v>
      </c>
      <c r="Q67" s="23">
        <f t="shared" ref="Q67:Q76" si="25">P67</f>
        <v>40</v>
      </c>
      <c r="R67" s="23">
        <f t="shared" ref="R67:R76" si="26">O67</f>
        <v>20</v>
      </c>
      <c r="BD67" s="39"/>
      <c r="BG67" s="41"/>
      <c r="BH67" s="41"/>
      <c r="BI67" s="41"/>
      <c r="BJ67" s="41"/>
      <c r="BK67" s="41"/>
      <c r="DG67" s="39"/>
      <c r="DJ67" s="41"/>
      <c r="DK67" s="41"/>
      <c r="DL67" s="41"/>
      <c r="DM67" s="41"/>
      <c r="DN67" s="41"/>
      <c r="FJ67" s="39"/>
      <c r="FM67" s="41"/>
      <c r="FN67" s="41"/>
      <c r="FO67" s="41"/>
      <c r="FP67" s="41"/>
      <c r="FQ67" s="41"/>
      <c r="HM67" s="39"/>
      <c r="HP67" s="41"/>
      <c r="HQ67" s="41"/>
      <c r="HR67" s="41"/>
      <c r="HS67" s="41"/>
      <c r="HT67" s="41"/>
      <c r="JP67" s="39"/>
      <c r="JS67" s="41"/>
      <c r="JT67" s="41"/>
      <c r="JU67" s="41"/>
      <c r="JV67" s="41"/>
      <c r="JW67" s="41"/>
      <c r="LS67" s="39"/>
      <c r="LV67" s="41"/>
      <c r="LW67" s="41"/>
      <c r="LX67" s="41"/>
      <c r="LY67" s="41"/>
      <c r="LZ67" s="41"/>
      <c r="NV67" s="39"/>
      <c r="NY67" s="41"/>
      <c r="NZ67" s="41"/>
      <c r="OA67" s="41"/>
      <c r="OB67" s="41"/>
      <c r="OC67" s="41"/>
      <c r="PY67" s="39"/>
      <c r="QB67" s="41"/>
      <c r="QC67" s="41"/>
      <c r="QD67" s="41"/>
      <c r="QE67" s="41"/>
      <c r="QF67" s="41"/>
      <c r="SB67" s="39"/>
      <c r="SE67" s="41"/>
      <c r="SF67" s="41"/>
      <c r="SG67" s="41"/>
      <c r="SH67" s="41"/>
      <c r="SI67" s="41"/>
      <c r="UE67" s="39"/>
      <c r="UH67" s="41"/>
      <c r="UI67" s="41"/>
      <c r="UJ67" s="41"/>
      <c r="UK67" s="41"/>
      <c r="UL67" s="41"/>
      <c r="WH67" s="39"/>
      <c r="WK67" s="41"/>
      <c r="WL67" s="41"/>
      <c r="WM67" s="41"/>
      <c r="WN67" s="41"/>
      <c r="WO67" s="41"/>
      <c r="YK67" s="39"/>
      <c r="YN67" s="41"/>
      <c r="YO67" s="41"/>
      <c r="YP67" s="41"/>
      <c r="YQ67" s="41"/>
      <c r="YR67" s="41"/>
      <c r="AAN67" s="39"/>
      <c r="AAQ67" s="41"/>
      <c r="AAR67" s="41"/>
      <c r="AAS67" s="41"/>
      <c r="AAT67" s="41"/>
      <c r="AAU67" s="41"/>
      <c r="ACQ67" s="39"/>
      <c r="ACT67" s="41"/>
      <c r="ACU67" s="41"/>
      <c r="ACV67" s="41"/>
      <c r="ACW67" s="41"/>
      <c r="ACX67" s="41"/>
      <c r="AET67" s="39"/>
      <c r="AEW67" s="41"/>
      <c r="AEX67" s="41"/>
      <c r="AEY67" s="41"/>
      <c r="AEZ67" s="41"/>
      <c r="AFA67" s="41"/>
      <c r="AGW67" s="39"/>
      <c r="AGZ67" s="41"/>
      <c r="AHA67" s="41"/>
      <c r="AHB67" s="41"/>
      <c r="AHC67" s="41"/>
      <c r="AHD67" s="41"/>
      <c r="AIZ67" s="39"/>
      <c r="AJC67" s="41"/>
      <c r="AJD67" s="41"/>
      <c r="AJE67" s="41"/>
      <c r="AJF67" s="41"/>
      <c r="AJG67" s="41"/>
      <c r="ALC67" s="39"/>
      <c r="ALF67" s="41"/>
      <c r="ALG67" s="41"/>
      <c r="ALH67" s="41"/>
      <c r="ALI67" s="41"/>
      <c r="ALJ67" s="41"/>
      <c r="ANF67" s="39"/>
      <c r="ANI67" s="41"/>
      <c r="ANJ67" s="41"/>
      <c r="ANK67" s="41"/>
      <c r="ANL67" s="41"/>
      <c r="ANM67" s="41"/>
      <c r="API67" s="39"/>
      <c r="APL67" s="41"/>
      <c r="APM67" s="41"/>
      <c r="APN67" s="41"/>
      <c r="APO67" s="41"/>
      <c r="APP67" s="41"/>
      <c r="ARL67" s="39"/>
      <c r="ARO67" s="41"/>
      <c r="ARP67" s="41"/>
      <c r="ARQ67" s="41"/>
      <c r="ARR67" s="41"/>
      <c r="ARS67" s="41"/>
      <c r="ATO67" s="39"/>
      <c r="ATR67" s="41"/>
      <c r="ATS67" s="41"/>
      <c r="ATT67" s="41"/>
      <c r="ATU67" s="41"/>
      <c r="ATV67" s="41"/>
      <c r="AVR67" s="39"/>
      <c r="AVU67" s="41"/>
      <c r="AVV67" s="41"/>
      <c r="AVW67" s="41"/>
      <c r="AVX67" s="41"/>
      <c r="AVY67" s="41"/>
      <c r="AXU67" s="39"/>
      <c r="AXX67" s="41"/>
      <c r="AXY67" s="41"/>
      <c r="AXZ67" s="41"/>
      <c r="AYA67" s="41"/>
      <c r="AYB67" s="41"/>
      <c r="AZX67" s="39"/>
      <c r="BAA67" s="41"/>
      <c r="BAB67" s="41"/>
      <c r="BAC67" s="41"/>
      <c r="BAD67" s="41"/>
      <c r="BAE67" s="41"/>
      <c r="BCA67" s="39"/>
      <c r="BCD67" s="41"/>
      <c r="BCE67" s="41"/>
      <c r="BCF67" s="41"/>
      <c r="BCG67" s="41"/>
      <c r="BCH67" s="41"/>
      <c r="BED67" s="39"/>
      <c r="BEG67" s="41"/>
      <c r="BEH67" s="41"/>
      <c r="BEI67" s="41"/>
      <c r="BEJ67" s="41"/>
      <c r="BEK67" s="41"/>
      <c r="BGG67" s="39"/>
      <c r="BGJ67" s="41"/>
      <c r="BGK67" s="41"/>
      <c r="BGL67" s="41"/>
      <c r="BGM67" s="41"/>
      <c r="BGN67" s="41"/>
      <c r="BIJ67" s="39"/>
      <c r="BIM67" s="41"/>
      <c r="BIN67" s="41"/>
      <c r="BIO67" s="41"/>
      <c r="BIP67" s="41"/>
      <c r="BIQ67" s="41"/>
      <c r="BKM67" s="39"/>
      <c r="BKP67" s="41"/>
      <c r="BKQ67" s="41"/>
      <c r="BKR67" s="41"/>
      <c r="BKS67" s="41"/>
      <c r="BKT67" s="41"/>
      <c r="BMP67" s="39"/>
      <c r="BMS67" s="41"/>
      <c r="BMT67" s="41"/>
      <c r="BMU67" s="41"/>
      <c r="BMV67" s="41"/>
      <c r="BMW67" s="41"/>
      <c r="BOS67" s="39"/>
      <c r="BOV67" s="41"/>
      <c r="BOW67" s="41"/>
      <c r="BOX67" s="41"/>
      <c r="BOY67" s="41"/>
      <c r="BOZ67" s="41"/>
      <c r="BQV67" s="39"/>
      <c r="BQY67" s="41"/>
      <c r="BQZ67" s="41"/>
      <c r="BRA67" s="41"/>
      <c r="BRB67" s="41"/>
      <c r="BRC67" s="41"/>
      <c r="BSY67" s="39"/>
      <c r="BTB67" s="41"/>
      <c r="BTC67" s="41"/>
      <c r="BTD67" s="41"/>
      <c r="BTE67" s="41"/>
      <c r="BTF67" s="41"/>
      <c r="BVB67" s="39"/>
      <c r="BVE67" s="41"/>
      <c r="BVF67" s="41"/>
      <c r="BVG67" s="41"/>
      <c r="BVH67" s="41"/>
      <c r="BVI67" s="41"/>
      <c r="BXE67" s="39"/>
      <c r="BXH67" s="41"/>
      <c r="BXI67" s="41"/>
      <c r="BXJ67" s="41"/>
      <c r="BXK67" s="41"/>
      <c r="BXL67" s="41"/>
      <c r="BZH67" s="39"/>
      <c r="BZK67" s="41"/>
      <c r="BZL67" s="41"/>
      <c r="BZM67" s="41"/>
      <c r="BZN67" s="41"/>
      <c r="BZO67" s="41"/>
      <c r="CBK67" s="39"/>
      <c r="CBN67" s="41"/>
      <c r="CBO67" s="41"/>
      <c r="CBP67" s="41"/>
      <c r="CBQ67" s="41"/>
      <c r="CBR67" s="41"/>
      <c r="CDN67" s="39"/>
      <c r="CDQ67" s="41"/>
      <c r="CDR67" s="41"/>
      <c r="CDS67" s="41"/>
      <c r="CDT67" s="41"/>
      <c r="CDU67" s="41"/>
      <c r="CFQ67" s="39"/>
      <c r="CFT67" s="41"/>
      <c r="CFU67" s="41"/>
      <c r="CFV67" s="41"/>
      <c r="CFW67" s="41"/>
      <c r="CFX67" s="41"/>
      <c r="CHT67" s="39"/>
      <c r="CHW67" s="41"/>
      <c r="CHX67" s="41"/>
      <c r="CHY67" s="41"/>
      <c r="CHZ67" s="41"/>
      <c r="CIA67" s="41"/>
      <c r="CJW67" s="39"/>
      <c r="CJZ67" s="41"/>
      <c r="CKA67" s="41"/>
      <c r="CKB67" s="41"/>
      <c r="CKC67" s="41"/>
      <c r="CKD67" s="41"/>
      <c r="CLZ67" s="39"/>
      <c r="CMC67" s="41"/>
      <c r="CMD67" s="41"/>
      <c r="CME67" s="41"/>
      <c r="CMF67" s="41"/>
      <c r="CMG67" s="41"/>
      <c r="COC67" s="39"/>
      <c r="COF67" s="41"/>
      <c r="COG67" s="41"/>
      <c r="COH67" s="41"/>
      <c r="COI67" s="41"/>
      <c r="COJ67" s="41"/>
      <c r="CQF67" s="39"/>
      <c r="CQI67" s="41"/>
      <c r="CQJ67" s="41"/>
      <c r="CQK67" s="41"/>
      <c r="CQL67" s="41"/>
      <c r="CQM67" s="41"/>
      <c r="CSI67" s="39"/>
      <c r="CSL67" s="41"/>
      <c r="CSM67" s="41"/>
      <c r="CSN67" s="41"/>
      <c r="CSO67" s="41"/>
      <c r="CSP67" s="41"/>
      <c r="CUL67" s="39"/>
      <c r="CUO67" s="41"/>
      <c r="CUP67" s="41"/>
      <c r="CUQ67" s="41"/>
      <c r="CUR67" s="41"/>
      <c r="CUS67" s="41"/>
      <c r="CWO67" s="39"/>
      <c r="CWR67" s="41"/>
      <c r="CWS67" s="41"/>
      <c r="CWT67" s="41"/>
      <c r="CWU67" s="41"/>
      <c r="CWV67" s="41"/>
      <c r="CYR67" s="39"/>
      <c r="CYU67" s="41"/>
      <c r="CYV67" s="41"/>
      <c r="CYW67" s="41"/>
      <c r="CYX67" s="41"/>
      <c r="CYY67" s="41"/>
      <c r="DAU67" s="39"/>
      <c r="DAX67" s="41"/>
      <c r="DAY67" s="41"/>
      <c r="DAZ67" s="41"/>
      <c r="DBA67" s="41"/>
      <c r="DBB67" s="41"/>
      <c r="DCX67" s="39"/>
      <c r="DDA67" s="41"/>
      <c r="DDB67" s="41"/>
      <c r="DDC67" s="41"/>
      <c r="DDD67" s="41"/>
      <c r="DDE67" s="41"/>
      <c r="DFA67" s="39"/>
      <c r="DFD67" s="41"/>
      <c r="DFE67" s="41"/>
      <c r="DFF67" s="41"/>
      <c r="DFG67" s="41"/>
      <c r="DFH67" s="41"/>
      <c r="DHD67" s="39"/>
      <c r="DHG67" s="41"/>
      <c r="DHH67" s="41"/>
      <c r="DHI67" s="41"/>
      <c r="DHJ67" s="41"/>
      <c r="DHK67" s="41"/>
      <c r="DJG67" s="39"/>
      <c r="DJJ67" s="41"/>
      <c r="DJK67" s="41"/>
      <c r="DJL67" s="41"/>
      <c r="DJM67" s="41"/>
      <c r="DJN67" s="41"/>
      <c r="DLJ67" s="39"/>
      <c r="DLM67" s="41"/>
      <c r="DLN67" s="41"/>
      <c r="DLO67" s="41"/>
      <c r="DLP67" s="41"/>
      <c r="DLQ67" s="41"/>
      <c r="DNM67" s="39"/>
      <c r="DNP67" s="41"/>
      <c r="DNQ67" s="41"/>
      <c r="DNR67" s="41"/>
      <c r="DNS67" s="41"/>
      <c r="DNT67" s="41"/>
      <c r="DPP67" s="39"/>
      <c r="DPS67" s="41"/>
      <c r="DPT67" s="41"/>
      <c r="DPU67" s="41"/>
      <c r="DPV67" s="41"/>
      <c r="DPW67" s="41"/>
      <c r="DRS67" s="39"/>
      <c r="DRV67" s="41"/>
      <c r="DRW67" s="41"/>
      <c r="DRX67" s="41"/>
      <c r="DRY67" s="41"/>
      <c r="DRZ67" s="41"/>
      <c r="DTV67" s="39"/>
      <c r="DTY67" s="41"/>
      <c r="DTZ67" s="41"/>
      <c r="DUA67" s="41"/>
      <c r="DUB67" s="41"/>
      <c r="DUC67" s="41"/>
      <c r="DVY67" s="39"/>
      <c r="DWB67" s="41"/>
      <c r="DWC67" s="41"/>
      <c r="DWD67" s="41"/>
      <c r="DWE67" s="41"/>
      <c r="DWF67" s="41"/>
      <c r="DYB67" s="39"/>
      <c r="DYE67" s="41"/>
      <c r="DYF67" s="41"/>
      <c r="DYG67" s="41"/>
      <c r="DYH67" s="41"/>
      <c r="DYI67" s="41"/>
      <c r="EAE67" s="39"/>
      <c r="EAH67" s="41"/>
      <c r="EAI67" s="41"/>
      <c r="EAJ67" s="41"/>
      <c r="EAK67" s="41"/>
      <c r="EAL67" s="41"/>
      <c r="ECH67" s="39"/>
      <c r="ECK67" s="41"/>
      <c r="ECL67" s="41"/>
      <c r="ECM67" s="41"/>
      <c r="ECN67" s="41"/>
      <c r="ECO67" s="41"/>
      <c r="EEK67" s="39"/>
      <c r="EEN67" s="41"/>
      <c r="EEO67" s="41"/>
      <c r="EEP67" s="41"/>
      <c r="EEQ67" s="41"/>
      <c r="EER67" s="41"/>
      <c r="EGN67" s="39"/>
      <c r="EGQ67" s="41"/>
      <c r="EGR67" s="41"/>
      <c r="EGS67" s="41"/>
      <c r="EGT67" s="41"/>
      <c r="EGU67" s="41"/>
      <c r="EIQ67" s="39"/>
      <c r="EIT67" s="41"/>
      <c r="EIU67" s="41"/>
      <c r="EIV67" s="41"/>
      <c r="EIW67" s="41"/>
      <c r="EIX67" s="41"/>
      <c r="EKT67" s="39"/>
      <c r="EKW67" s="41"/>
      <c r="EKX67" s="41"/>
      <c r="EKY67" s="41"/>
      <c r="EKZ67" s="41"/>
      <c r="ELA67" s="41"/>
      <c r="EMW67" s="39"/>
      <c r="EMZ67" s="41"/>
      <c r="ENA67" s="41"/>
      <c r="ENB67" s="41"/>
      <c r="ENC67" s="41"/>
      <c r="END67" s="41"/>
      <c r="EOZ67" s="39"/>
      <c r="EPC67" s="41"/>
      <c r="EPD67" s="41"/>
      <c r="EPE67" s="41"/>
      <c r="EPF67" s="41"/>
      <c r="EPG67" s="41"/>
      <c r="ERC67" s="39"/>
      <c r="ERF67" s="41"/>
      <c r="ERG67" s="41"/>
      <c r="ERH67" s="41"/>
      <c r="ERI67" s="41"/>
      <c r="ERJ67" s="41"/>
      <c r="ETF67" s="39"/>
      <c r="ETI67" s="41"/>
      <c r="ETJ67" s="41"/>
      <c r="ETK67" s="41"/>
      <c r="ETL67" s="41"/>
      <c r="ETM67" s="41"/>
      <c r="EVI67" s="39"/>
      <c r="EVL67" s="41"/>
      <c r="EVM67" s="41"/>
      <c r="EVN67" s="41"/>
      <c r="EVO67" s="41"/>
      <c r="EVP67" s="41"/>
      <c r="EXL67" s="39"/>
      <c r="EXO67" s="41"/>
      <c r="EXP67" s="41"/>
      <c r="EXQ67" s="41"/>
      <c r="EXR67" s="41"/>
      <c r="EXS67" s="41"/>
      <c r="EZO67" s="39"/>
      <c r="EZR67" s="41"/>
      <c r="EZS67" s="41"/>
      <c r="EZT67" s="41"/>
      <c r="EZU67" s="41"/>
      <c r="EZV67" s="41"/>
      <c r="FBR67" s="39"/>
      <c r="FBU67" s="41"/>
      <c r="FBV67" s="41"/>
      <c r="FBW67" s="41"/>
      <c r="FBX67" s="41"/>
      <c r="FBY67" s="41"/>
      <c r="FDU67" s="39"/>
      <c r="FDX67" s="41"/>
      <c r="FDY67" s="41"/>
      <c r="FDZ67" s="41"/>
      <c r="FEA67" s="41"/>
      <c r="FEB67" s="41"/>
      <c r="FFX67" s="39"/>
      <c r="FGA67" s="41"/>
      <c r="FGB67" s="41"/>
      <c r="FGC67" s="41"/>
      <c r="FGD67" s="41"/>
      <c r="FGE67" s="41"/>
      <c r="FIA67" s="39"/>
      <c r="FID67" s="41"/>
      <c r="FIE67" s="41"/>
      <c r="FIF67" s="41"/>
      <c r="FIG67" s="41"/>
      <c r="FIH67" s="41"/>
      <c r="FKD67" s="39"/>
      <c r="FKG67" s="41"/>
      <c r="FKH67" s="41"/>
      <c r="FKI67" s="41"/>
      <c r="FKJ67" s="41"/>
      <c r="FKK67" s="41"/>
      <c r="FMG67" s="39"/>
      <c r="FMJ67" s="41"/>
      <c r="FMK67" s="41"/>
      <c r="FML67" s="41"/>
      <c r="FMM67" s="41"/>
      <c r="FMN67" s="41"/>
      <c r="FOJ67" s="39"/>
      <c r="FOM67" s="41"/>
      <c r="FON67" s="41"/>
      <c r="FOO67" s="41"/>
      <c r="FOP67" s="41"/>
      <c r="FOQ67" s="41"/>
      <c r="FQM67" s="39"/>
      <c r="FQP67" s="41"/>
      <c r="FQQ67" s="41"/>
      <c r="FQR67" s="41"/>
      <c r="FQS67" s="41"/>
      <c r="FQT67" s="41"/>
      <c r="FSP67" s="39"/>
      <c r="FSS67" s="41"/>
      <c r="FST67" s="41"/>
      <c r="FSU67" s="41"/>
      <c r="FSV67" s="41"/>
      <c r="FSW67" s="41"/>
      <c r="FUS67" s="39"/>
      <c r="FUV67" s="41"/>
      <c r="FUW67" s="41"/>
      <c r="FUX67" s="41"/>
      <c r="FUY67" s="41"/>
      <c r="FUZ67" s="41"/>
      <c r="FWV67" s="39"/>
      <c r="FWY67" s="41"/>
      <c r="FWZ67" s="41"/>
      <c r="FXA67" s="41"/>
      <c r="FXB67" s="41"/>
      <c r="FXC67" s="41"/>
      <c r="FYY67" s="39"/>
      <c r="FZB67" s="41"/>
      <c r="FZC67" s="41"/>
      <c r="FZD67" s="41"/>
      <c r="FZE67" s="41"/>
      <c r="FZF67" s="41"/>
      <c r="GBB67" s="39"/>
      <c r="GBE67" s="41"/>
      <c r="GBF67" s="41"/>
      <c r="GBG67" s="41"/>
      <c r="GBH67" s="41"/>
      <c r="GBI67" s="41"/>
      <c r="GDE67" s="39"/>
      <c r="GDH67" s="41"/>
      <c r="GDI67" s="41"/>
      <c r="GDJ67" s="41"/>
      <c r="GDK67" s="41"/>
      <c r="GDL67" s="41"/>
      <c r="GFH67" s="39"/>
      <c r="GFK67" s="41"/>
      <c r="GFL67" s="41"/>
      <c r="GFM67" s="41"/>
      <c r="GFN67" s="41"/>
      <c r="GFO67" s="41"/>
      <c r="GHK67" s="39"/>
      <c r="GHN67" s="41"/>
      <c r="GHO67" s="41"/>
      <c r="GHP67" s="41"/>
      <c r="GHQ67" s="41"/>
      <c r="GHR67" s="41"/>
      <c r="GJN67" s="39"/>
      <c r="GJQ67" s="41"/>
      <c r="GJR67" s="41"/>
      <c r="GJS67" s="41"/>
      <c r="GJT67" s="41"/>
      <c r="GJU67" s="41"/>
      <c r="GLQ67" s="39"/>
      <c r="GLT67" s="41"/>
      <c r="GLU67" s="41"/>
      <c r="GLV67" s="41"/>
      <c r="GLW67" s="41"/>
      <c r="GLX67" s="41"/>
      <c r="GNT67" s="39"/>
      <c r="GNW67" s="41"/>
      <c r="GNX67" s="41"/>
      <c r="GNY67" s="41"/>
      <c r="GNZ67" s="41"/>
      <c r="GOA67" s="41"/>
      <c r="GPW67" s="39"/>
      <c r="GPZ67" s="41"/>
      <c r="GQA67" s="41"/>
      <c r="GQB67" s="41"/>
      <c r="GQC67" s="41"/>
      <c r="GQD67" s="41"/>
      <c r="GRZ67" s="39"/>
      <c r="GSC67" s="41"/>
      <c r="GSD67" s="41"/>
      <c r="GSE67" s="41"/>
      <c r="GSF67" s="41"/>
      <c r="GSG67" s="41"/>
      <c r="GUC67" s="39"/>
      <c r="GUF67" s="41"/>
      <c r="GUG67" s="41"/>
      <c r="GUH67" s="41"/>
      <c r="GUI67" s="41"/>
      <c r="GUJ67" s="41"/>
      <c r="GWF67" s="39"/>
      <c r="GWI67" s="41"/>
      <c r="GWJ67" s="41"/>
      <c r="GWK67" s="41"/>
      <c r="GWL67" s="41"/>
      <c r="GWM67" s="41"/>
      <c r="GYI67" s="39"/>
      <c r="GYL67" s="41"/>
      <c r="GYM67" s="41"/>
      <c r="GYN67" s="41"/>
      <c r="GYO67" s="41"/>
      <c r="GYP67" s="41"/>
      <c r="HAL67" s="39"/>
      <c r="HAO67" s="41"/>
      <c r="HAP67" s="41"/>
      <c r="HAQ67" s="41"/>
      <c r="HAR67" s="41"/>
      <c r="HAS67" s="41"/>
      <c r="HCO67" s="39"/>
      <c r="HCR67" s="41"/>
      <c r="HCS67" s="41"/>
      <c r="HCT67" s="41"/>
      <c r="HCU67" s="41"/>
      <c r="HCV67" s="41"/>
      <c r="HER67" s="39"/>
      <c r="HEU67" s="41"/>
      <c r="HEV67" s="41"/>
      <c r="HEW67" s="41"/>
      <c r="HEX67" s="41"/>
      <c r="HEY67" s="41"/>
      <c r="HGU67" s="39"/>
      <c r="HGX67" s="41"/>
      <c r="HGY67" s="41"/>
      <c r="HGZ67" s="41"/>
      <c r="HHA67" s="41"/>
      <c r="HHB67" s="41"/>
      <c r="HIX67" s="39"/>
      <c r="HJA67" s="41"/>
      <c r="HJB67" s="41"/>
      <c r="HJC67" s="41"/>
      <c r="HJD67" s="41"/>
      <c r="HJE67" s="41"/>
      <c r="HLA67" s="39"/>
      <c r="HLD67" s="41"/>
      <c r="HLE67" s="41"/>
      <c r="HLF67" s="41"/>
      <c r="HLG67" s="41"/>
      <c r="HLH67" s="41"/>
      <c r="HND67" s="39"/>
      <c r="HNG67" s="41"/>
      <c r="HNH67" s="41"/>
      <c r="HNI67" s="41"/>
      <c r="HNJ67" s="41"/>
      <c r="HNK67" s="41"/>
      <c r="HPG67" s="39"/>
      <c r="HPJ67" s="41"/>
      <c r="HPK67" s="41"/>
      <c r="HPL67" s="41"/>
      <c r="HPM67" s="41"/>
      <c r="HPN67" s="41"/>
      <c r="HRJ67" s="39"/>
      <c r="HRM67" s="41"/>
      <c r="HRN67" s="41"/>
      <c r="HRO67" s="41"/>
      <c r="HRP67" s="41"/>
      <c r="HRQ67" s="41"/>
      <c r="HTM67" s="39"/>
      <c r="HTP67" s="41"/>
      <c r="HTQ67" s="41"/>
      <c r="HTR67" s="41"/>
      <c r="HTS67" s="41"/>
      <c r="HTT67" s="41"/>
      <c r="HVP67" s="39"/>
      <c r="HVS67" s="41"/>
      <c r="HVT67" s="41"/>
      <c r="HVU67" s="41"/>
      <c r="HVV67" s="41"/>
      <c r="HVW67" s="41"/>
      <c r="HXS67" s="39"/>
      <c r="HXV67" s="41"/>
      <c r="HXW67" s="41"/>
      <c r="HXX67" s="41"/>
      <c r="HXY67" s="41"/>
      <c r="HXZ67" s="41"/>
      <c r="HZV67" s="39"/>
      <c r="HZY67" s="41"/>
      <c r="HZZ67" s="41"/>
      <c r="IAA67" s="41"/>
      <c r="IAB67" s="41"/>
      <c r="IAC67" s="41"/>
      <c r="IBY67" s="39"/>
      <c r="ICB67" s="41"/>
      <c r="ICC67" s="41"/>
      <c r="ICD67" s="41"/>
      <c r="ICE67" s="41"/>
      <c r="ICF67" s="41"/>
      <c r="IEB67" s="39"/>
      <c r="IEE67" s="41"/>
      <c r="IEF67" s="41"/>
      <c r="IEG67" s="41"/>
      <c r="IEH67" s="41"/>
      <c r="IEI67" s="41"/>
      <c r="IGE67" s="39"/>
      <c r="IGH67" s="41"/>
      <c r="IGI67" s="41"/>
      <c r="IGJ67" s="41"/>
      <c r="IGK67" s="41"/>
      <c r="IGL67" s="41"/>
      <c r="IIH67" s="39"/>
      <c r="IIK67" s="41"/>
      <c r="IIL67" s="41"/>
      <c r="IIM67" s="41"/>
      <c r="IIN67" s="41"/>
      <c r="IIO67" s="41"/>
      <c r="IKK67" s="39"/>
      <c r="IKN67" s="41"/>
      <c r="IKO67" s="41"/>
      <c r="IKP67" s="41"/>
      <c r="IKQ67" s="41"/>
      <c r="IKR67" s="41"/>
      <c r="IMN67" s="39"/>
      <c r="IMQ67" s="41"/>
      <c r="IMR67" s="41"/>
      <c r="IMS67" s="41"/>
      <c r="IMT67" s="41"/>
      <c r="IMU67" s="41"/>
      <c r="IOQ67" s="39"/>
      <c r="IOT67" s="41"/>
      <c r="IOU67" s="41"/>
      <c r="IOV67" s="41"/>
      <c r="IOW67" s="41"/>
      <c r="IOX67" s="41"/>
      <c r="IQT67" s="39"/>
      <c r="IQW67" s="41"/>
      <c r="IQX67" s="41"/>
      <c r="IQY67" s="41"/>
      <c r="IQZ67" s="41"/>
      <c r="IRA67" s="41"/>
      <c r="ISW67" s="39"/>
      <c r="ISZ67" s="41"/>
      <c r="ITA67" s="41"/>
      <c r="ITB67" s="41"/>
      <c r="ITC67" s="41"/>
      <c r="ITD67" s="41"/>
      <c r="IUZ67" s="39"/>
      <c r="IVC67" s="41"/>
      <c r="IVD67" s="41"/>
      <c r="IVE67" s="41"/>
      <c r="IVF67" s="41"/>
      <c r="IVG67" s="41"/>
      <c r="IXC67" s="39"/>
      <c r="IXF67" s="41"/>
      <c r="IXG67" s="41"/>
      <c r="IXH67" s="41"/>
      <c r="IXI67" s="41"/>
      <c r="IXJ67" s="41"/>
      <c r="IZF67" s="39"/>
      <c r="IZI67" s="41"/>
      <c r="IZJ67" s="41"/>
      <c r="IZK67" s="41"/>
      <c r="IZL67" s="41"/>
      <c r="IZM67" s="41"/>
      <c r="JBI67" s="39"/>
      <c r="JBL67" s="41"/>
      <c r="JBM67" s="41"/>
      <c r="JBN67" s="41"/>
      <c r="JBO67" s="41"/>
      <c r="JBP67" s="41"/>
      <c r="JDL67" s="39"/>
      <c r="JDO67" s="41"/>
      <c r="JDP67" s="41"/>
      <c r="JDQ67" s="41"/>
      <c r="JDR67" s="41"/>
      <c r="JDS67" s="41"/>
      <c r="JFO67" s="39"/>
      <c r="JFR67" s="41"/>
      <c r="JFS67" s="41"/>
      <c r="JFT67" s="41"/>
      <c r="JFU67" s="41"/>
      <c r="JFV67" s="41"/>
      <c r="JHR67" s="39"/>
      <c r="JHU67" s="41"/>
      <c r="JHV67" s="41"/>
      <c r="JHW67" s="41"/>
      <c r="JHX67" s="41"/>
      <c r="JHY67" s="41"/>
      <c r="JJU67" s="39"/>
      <c r="JJX67" s="41"/>
      <c r="JJY67" s="41"/>
      <c r="JJZ67" s="41"/>
      <c r="JKA67" s="41"/>
      <c r="JKB67" s="41"/>
      <c r="JLX67" s="39"/>
      <c r="JMA67" s="41"/>
      <c r="JMB67" s="41"/>
      <c r="JMC67" s="41"/>
      <c r="JMD67" s="41"/>
      <c r="JME67" s="41"/>
      <c r="JOA67" s="39"/>
      <c r="JOD67" s="41"/>
      <c r="JOE67" s="41"/>
      <c r="JOF67" s="41"/>
      <c r="JOG67" s="41"/>
      <c r="JOH67" s="41"/>
      <c r="JQD67" s="39"/>
      <c r="JQG67" s="41"/>
      <c r="JQH67" s="41"/>
      <c r="JQI67" s="41"/>
      <c r="JQJ67" s="41"/>
      <c r="JQK67" s="41"/>
      <c r="JSG67" s="39"/>
      <c r="JSJ67" s="41"/>
      <c r="JSK67" s="41"/>
      <c r="JSL67" s="41"/>
      <c r="JSM67" s="41"/>
      <c r="JSN67" s="41"/>
      <c r="JUJ67" s="39"/>
      <c r="JUM67" s="41"/>
      <c r="JUN67" s="41"/>
      <c r="JUO67" s="41"/>
      <c r="JUP67" s="41"/>
      <c r="JUQ67" s="41"/>
      <c r="JWM67" s="39"/>
      <c r="JWP67" s="41"/>
      <c r="JWQ67" s="41"/>
      <c r="JWR67" s="41"/>
      <c r="JWS67" s="41"/>
      <c r="JWT67" s="41"/>
      <c r="JYP67" s="39"/>
      <c r="JYS67" s="41"/>
      <c r="JYT67" s="41"/>
      <c r="JYU67" s="41"/>
      <c r="JYV67" s="41"/>
      <c r="JYW67" s="41"/>
      <c r="KAS67" s="39"/>
      <c r="KAV67" s="41"/>
      <c r="KAW67" s="41"/>
      <c r="KAX67" s="41"/>
      <c r="KAY67" s="41"/>
      <c r="KAZ67" s="41"/>
      <c r="KCV67" s="39"/>
      <c r="KCY67" s="41"/>
      <c r="KCZ67" s="41"/>
      <c r="KDA67" s="41"/>
      <c r="KDB67" s="41"/>
      <c r="KDC67" s="41"/>
      <c r="KEY67" s="39"/>
      <c r="KFB67" s="41"/>
      <c r="KFC67" s="41"/>
      <c r="KFD67" s="41"/>
      <c r="KFE67" s="41"/>
      <c r="KFF67" s="41"/>
      <c r="KHB67" s="39"/>
      <c r="KHE67" s="41"/>
      <c r="KHF67" s="41"/>
      <c r="KHG67" s="41"/>
      <c r="KHH67" s="41"/>
      <c r="KHI67" s="41"/>
      <c r="KJE67" s="39"/>
      <c r="KJH67" s="41"/>
      <c r="KJI67" s="41"/>
      <c r="KJJ67" s="41"/>
      <c r="KJK67" s="41"/>
      <c r="KJL67" s="41"/>
      <c r="KLH67" s="39"/>
      <c r="KLK67" s="41"/>
      <c r="KLL67" s="41"/>
      <c r="KLM67" s="41"/>
      <c r="KLN67" s="41"/>
      <c r="KLO67" s="41"/>
      <c r="KNK67" s="39"/>
      <c r="KNN67" s="41"/>
      <c r="KNO67" s="41"/>
      <c r="KNP67" s="41"/>
      <c r="KNQ67" s="41"/>
      <c r="KNR67" s="41"/>
      <c r="KPN67" s="39"/>
      <c r="KPQ67" s="41"/>
      <c r="KPR67" s="41"/>
      <c r="KPS67" s="41"/>
      <c r="KPT67" s="41"/>
      <c r="KPU67" s="41"/>
      <c r="KRQ67" s="39"/>
      <c r="KRT67" s="41"/>
      <c r="KRU67" s="41"/>
      <c r="KRV67" s="41"/>
      <c r="KRW67" s="41"/>
      <c r="KRX67" s="41"/>
      <c r="KTT67" s="39"/>
      <c r="KTW67" s="41"/>
      <c r="KTX67" s="41"/>
      <c r="KTY67" s="41"/>
      <c r="KTZ67" s="41"/>
      <c r="KUA67" s="41"/>
      <c r="KVW67" s="39"/>
      <c r="KVZ67" s="41"/>
      <c r="KWA67" s="41"/>
      <c r="KWB67" s="41"/>
      <c r="KWC67" s="41"/>
      <c r="KWD67" s="41"/>
      <c r="KXZ67" s="39"/>
      <c r="KYC67" s="41"/>
      <c r="KYD67" s="41"/>
      <c r="KYE67" s="41"/>
      <c r="KYF67" s="41"/>
      <c r="KYG67" s="41"/>
      <c r="LAC67" s="39"/>
      <c r="LAF67" s="41"/>
      <c r="LAG67" s="41"/>
      <c r="LAH67" s="41"/>
      <c r="LAI67" s="41"/>
      <c r="LAJ67" s="41"/>
      <c r="LCF67" s="39"/>
      <c r="LCI67" s="41"/>
      <c r="LCJ67" s="41"/>
      <c r="LCK67" s="41"/>
      <c r="LCL67" s="41"/>
      <c r="LCM67" s="41"/>
      <c r="LEI67" s="39"/>
      <c r="LEL67" s="41"/>
      <c r="LEM67" s="41"/>
      <c r="LEN67" s="41"/>
      <c r="LEO67" s="41"/>
      <c r="LEP67" s="41"/>
      <c r="LGL67" s="39"/>
      <c r="LGO67" s="41"/>
      <c r="LGP67" s="41"/>
      <c r="LGQ67" s="41"/>
      <c r="LGR67" s="41"/>
      <c r="LGS67" s="41"/>
      <c r="LIO67" s="39"/>
      <c r="LIR67" s="41"/>
      <c r="LIS67" s="41"/>
      <c r="LIT67" s="41"/>
      <c r="LIU67" s="41"/>
      <c r="LIV67" s="41"/>
      <c r="LKR67" s="39"/>
      <c r="LKU67" s="41"/>
      <c r="LKV67" s="41"/>
      <c r="LKW67" s="41"/>
      <c r="LKX67" s="41"/>
      <c r="LKY67" s="41"/>
      <c r="LMU67" s="39"/>
      <c r="LMX67" s="41"/>
      <c r="LMY67" s="41"/>
      <c r="LMZ67" s="41"/>
      <c r="LNA67" s="41"/>
      <c r="LNB67" s="41"/>
      <c r="LOX67" s="39"/>
      <c r="LPA67" s="41"/>
      <c r="LPB67" s="41"/>
      <c r="LPC67" s="41"/>
      <c r="LPD67" s="41"/>
      <c r="LPE67" s="41"/>
      <c r="LRA67" s="39"/>
      <c r="LRD67" s="41"/>
      <c r="LRE67" s="41"/>
      <c r="LRF67" s="41"/>
      <c r="LRG67" s="41"/>
      <c r="LRH67" s="41"/>
      <c r="LTD67" s="39"/>
      <c r="LTG67" s="41"/>
      <c r="LTH67" s="41"/>
      <c r="LTI67" s="41"/>
      <c r="LTJ67" s="41"/>
      <c r="LTK67" s="41"/>
      <c r="LVG67" s="39"/>
      <c r="LVJ67" s="41"/>
      <c r="LVK67" s="41"/>
      <c r="LVL67" s="41"/>
      <c r="LVM67" s="41"/>
      <c r="LVN67" s="41"/>
      <c r="LXJ67" s="39"/>
      <c r="LXM67" s="41"/>
      <c r="LXN67" s="41"/>
      <c r="LXO67" s="41"/>
      <c r="LXP67" s="41"/>
      <c r="LXQ67" s="41"/>
      <c r="LZM67" s="39"/>
      <c r="LZP67" s="41"/>
      <c r="LZQ67" s="41"/>
      <c r="LZR67" s="41"/>
      <c r="LZS67" s="41"/>
      <c r="LZT67" s="41"/>
      <c r="MBP67" s="39"/>
      <c r="MBS67" s="41"/>
      <c r="MBT67" s="41"/>
      <c r="MBU67" s="41"/>
      <c r="MBV67" s="41"/>
      <c r="MBW67" s="41"/>
      <c r="MDS67" s="39"/>
      <c r="MDV67" s="41"/>
      <c r="MDW67" s="41"/>
      <c r="MDX67" s="41"/>
      <c r="MDY67" s="41"/>
      <c r="MDZ67" s="41"/>
      <c r="MFV67" s="39"/>
      <c r="MFY67" s="41"/>
      <c r="MFZ67" s="41"/>
      <c r="MGA67" s="41"/>
      <c r="MGB67" s="41"/>
      <c r="MGC67" s="41"/>
      <c r="MHY67" s="39"/>
      <c r="MIB67" s="41"/>
      <c r="MIC67" s="41"/>
      <c r="MID67" s="41"/>
      <c r="MIE67" s="41"/>
      <c r="MIF67" s="41"/>
      <c r="MKB67" s="39"/>
      <c r="MKE67" s="41"/>
      <c r="MKF67" s="41"/>
      <c r="MKG67" s="41"/>
      <c r="MKH67" s="41"/>
      <c r="MKI67" s="41"/>
      <c r="MME67" s="39"/>
      <c r="MMH67" s="41"/>
      <c r="MMI67" s="41"/>
      <c r="MMJ67" s="41"/>
      <c r="MMK67" s="41"/>
      <c r="MML67" s="41"/>
      <c r="MOH67" s="39"/>
      <c r="MOK67" s="41"/>
      <c r="MOL67" s="41"/>
      <c r="MOM67" s="41"/>
      <c r="MON67" s="41"/>
      <c r="MOO67" s="41"/>
      <c r="MQK67" s="39"/>
      <c r="MQN67" s="41"/>
      <c r="MQO67" s="41"/>
      <c r="MQP67" s="41"/>
      <c r="MQQ67" s="41"/>
      <c r="MQR67" s="41"/>
      <c r="MSN67" s="39"/>
      <c r="MSQ67" s="41"/>
      <c r="MSR67" s="41"/>
      <c r="MSS67" s="41"/>
      <c r="MST67" s="41"/>
      <c r="MSU67" s="41"/>
      <c r="MUQ67" s="39"/>
      <c r="MUT67" s="41"/>
      <c r="MUU67" s="41"/>
      <c r="MUV67" s="41"/>
      <c r="MUW67" s="41"/>
      <c r="MUX67" s="41"/>
      <c r="MWT67" s="39"/>
      <c r="MWW67" s="41"/>
      <c r="MWX67" s="41"/>
      <c r="MWY67" s="41"/>
      <c r="MWZ67" s="41"/>
      <c r="MXA67" s="41"/>
      <c r="MYW67" s="39"/>
      <c r="MYZ67" s="41"/>
      <c r="MZA67" s="41"/>
      <c r="MZB67" s="41"/>
      <c r="MZC67" s="41"/>
      <c r="MZD67" s="41"/>
      <c r="NAZ67" s="39"/>
      <c r="NBC67" s="41"/>
      <c r="NBD67" s="41"/>
      <c r="NBE67" s="41"/>
      <c r="NBF67" s="41"/>
      <c r="NBG67" s="41"/>
      <c r="NDC67" s="39"/>
      <c r="NDF67" s="41"/>
      <c r="NDG67" s="41"/>
      <c r="NDH67" s="41"/>
      <c r="NDI67" s="41"/>
      <c r="NDJ67" s="41"/>
      <c r="NFF67" s="39"/>
      <c r="NFI67" s="41"/>
      <c r="NFJ67" s="41"/>
      <c r="NFK67" s="41"/>
      <c r="NFL67" s="41"/>
      <c r="NFM67" s="41"/>
      <c r="NHI67" s="39"/>
      <c r="NHL67" s="41"/>
      <c r="NHM67" s="41"/>
      <c r="NHN67" s="41"/>
      <c r="NHO67" s="41"/>
      <c r="NHP67" s="41"/>
      <c r="NJL67" s="39"/>
      <c r="NJO67" s="41"/>
      <c r="NJP67" s="41"/>
      <c r="NJQ67" s="41"/>
      <c r="NJR67" s="41"/>
      <c r="NJS67" s="41"/>
      <c r="NLO67" s="39"/>
      <c r="NLR67" s="41"/>
      <c r="NLS67" s="41"/>
      <c r="NLT67" s="41"/>
      <c r="NLU67" s="41"/>
      <c r="NLV67" s="41"/>
      <c r="NNR67" s="39"/>
      <c r="NNU67" s="41"/>
      <c r="NNV67" s="41"/>
      <c r="NNW67" s="41"/>
      <c r="NNX67" s="41"/>
      <c r="NNY67" s="41"/>
      <c r="NPU67" s="39"/>
      <c r="NPX67" s="41"/>
      <c r="NPY67" s="41"/>
      <c r="NPZ67" s="41"/>
      <c r="NQA67" s="41"/>
      <c r="NQB67" s="41"/>
      <c r="NRX67" s="39"/>
      <c r="NSA67" s="41"/>
      <c r="NSB67" s="41"/>
      <c r="NSC67" s="41"/>
      <c r="NSD67" s="41"/>
      <c r="NSE67" s="41"/>
      <c r="NUA67" s="39"/>
      <c r="NUD67" s="41"/>
      <c r="NUE67" s="41"/>
      <c r="NUF67" s="41"/>
      <c r="NUG67" s="41"/>
      <c r="NUH67" s="41"/>
      <c r="NWD67" s="39"/>
      <c r="NWG67" s="41"/>
      <c r="NWH67" s="41"/>
      <c r="NWI67" s="41"/>
      <c r="NWJ67" s="41"/>
      <c r="NWK67" s="41"/>
      <c r="NYG67" s="39"/>
      <c r="NYJ67" s="41"/>
      <c r="NYK67" s="41"/>
      <c r="NYL67" s="41"/>
      <c r="NYM67" s="41"/>
      <c r="NYN67" s="41"/>
      <c r="OAJ67" s="39"/>
      <c r="OAM67" s="41"/>
      <c r="OAN67" s="41"/>
      <c r="OAO67" s="41"/>
      <c r="OAP67" s="41"/>
      <c r="OAQ67" s="41"/>
      <c r="OCM67" s="39"/>
      <c r="OCP67" s="41"/>
      <c r="OCQ67" s="41"/>
      <c r="OCR67" s="41"/>
      <c r="OCS67" s="41"/>
      <c r="OCT67" s="41"/>
      <c r="OEP67" s="39"/>
      <c r="OES67" s="41"/>
      <c r="OET67" s="41"/>
      <c r="OEU67" s="41"/>
      <c r="OEV67" s="41"/>
      <c r="OEW67" s="41"/>
      <c r="OGS67" s="39"/>
      <c r="OGV67" s="41"/>
      <c r="OGW67" s="41"/>
      <c r="OGX67" s="41"/>
      <c r="OGY67" s="41"/>
      <c r="OGZ67" s="41"/>
      <c r="OIV67" s="39"/>
      <c r="OIY67" s="41"/>
      <c r="OIZ67" s="41"/>
      <c r="OJA67" s="41"/>
      <c r="OJB67" s="41"/>
      <c r="OJC67" s="41"/>
      <c r="OKY67" s="39"/>
      <c r="OLB67" s="41"/>
      <c r="OLC67" s="41"/>
      <c r="OLD67" s="41"/>
      <c r="OLE67" s="41"/>
      <c r="OLF67" s="41"/>
      <c r="ONB67" s="39"/>
      <c r="ONE67" s="41"/>
      <c r="ONF67" s="41"/>
      <c r="ONG67" s="41"/>
      <c r="ONH67" s="41"/>
      <c r="ONI67" s="41"/>
      <c r="OPE67" s="39"/>
      <c r="OPH67" s="41"/>
      <c r="OPI67" s="41"/>
      <c r="OPJ67" s="41"/>
      <c r="OPK67" s="41"/>
      <c r="OPL67" s="41"/>
      <c r="ORH67" s="39"/>
      <c r="ORK67" s="41"/>
      <c r="ORL67" s="41"/>
      <c r="ORM67" s="41"/>
      <c r="ORN67" s="41"/>
      <c r="ORO67" s="41"/>
      <c r="OTK67" s="39"/>
      <c r="OTN67" s="41"/>
      <c r="OTO67" s="41"/>
      <c r="OTP67" s="41"/>
      <c r="OTQ67" s="41"/>
      <c r="OTR67" s="41"/>
      <c r="OVN67" s="39"/>
      <c r="OVQ67" s="41"/>
      <c r="OVR67" s="41"/>
      <c r="OVS67" s="41"/>
      <c r="OVT67" s="41"/>
      <c r="OVU67" s="41"/>
      <c r="OXQ67" s="39"/>
      <c r="OXT67" s="41"/>
      <c r="OXU67" s="41"/>
      <c r="OXV67" s="41"/>
      <c r="OXW67" s="41"/>
      <c r="OXX67" s="41"/>
      <c r="OZT67" s="39"/>
      <c r="OZW67" s="41"/>
      <c r="OZX67" s="41"/>
      <c r="OZY67" s="41"/>
      <c r="OZZ67" s="41"/>
      <c r="PAA67" s="41"/>
      <c r="PBW67" s="39"/>
      <c r="PBZ67" s="41"/>
      <c r="PCA67" s="41"/>
      <c r="PCB67" s="41"/>
      <c r="PCC67" s="41"/>
      <c r="PCD67" s="41"/>
      <c r="PDZ67" s="39"/>
      <c r="PEC67" s="41"/>
      <c r="PED67" s="41"/>
      <c r="PEE67" s="41"/>
      <c r="PEF67" s="41"/>
      <c r="PEG67" s="41"/>
      <c r="PGC67" s="39"/>
      <c r="PGF67" s="41"/>
      <c r="PGG67" s="41"/>
      <c r="PGH67" s="41"/>
      <c r="PGI67" s="41"/>
      <c r="PGJ67" s="41"/>
      <c r="PIF67" s="39"/>
      <c r="PII67" s="41"/>
      <c r="PIJ67" s="41"/>
      <c r="PIK67" s="41"/>
      <c r="PIL67" s="41"/>
      <c r="PIM67" s="41"/>
      <c r="PKI67" s="39"/>
      <c r="PKL67" s="41"/>
      <c r="PKM67" s="41"/>
      <c r="PKN67" s="41"/>
      <c r="PKO67" s="41"/>
      <c r="PKP67" s="41"/>
      <c r="PML67" s="39"/>
      <c r="PMO67" s="41"/>
      <c r="PMP67" s="41"/>
      <c r="PMQ67" s="41"/>
      <c r="PMR67" s="41"/>
      <c r="PMS67" s="41"/>
      <c r="POO67" s="39"/>
      <c r="POR67" s="41"/>
      <c r="POS67" s="41"/>
      <c r="POT67" s="41"/>
      <c r="POU67" s="41"/>
      <c r="POV67" s="41"/>
      <c r="PQR67" s="39"/>
      <c r="PQU67" s="41"/>
      <c r="PQV67" s="41"/>
      <c r="PQW67" s="41"/>
      <c r="PQX67" s="41"/>
      <c r="PQY67" s="41"/>
      <c r="PSU67" s="39"/>
      <c r="PSX67" s="41"/>
      <c r="PSY67" s="41"/>
      <c r="PSZ67" s="41"/>
      <c r="PTA67" s="41"/>
      <c r="PTB67" s="41"/>
      <c r="PUX67" s="39"/>
      <c r="PVA67" s="41"/>
      <c r="PVB67" s="41"/>
      <c r="PVC67" s="41"/>
      <c r="PVD67" s="41"/>
      <c r="PVE67" s="41"/>
      <c r="PXA67" s="39"/>
      <c r="PXD67" s="41"/>
      <c r="PXE67" s="41"/>
      <c r="PXF67" s="41"/>
      <c r="PXG67" s="41"/>
      <c r="PXH67" s="41"/>
      <c r="PZD67" s="39"/>
      <c r="PZG67" s="41"/>
      <c r="PZH67" s="41"/>
      <c r="PZI67" s="41"/>
      <c r="PZJ67" s="41"/>
      <c r="PZK67" s="41"/>
      <c r="QBG67" s="39"/>
      <c r="QBJ67" s="41"/>
      <c r="QBK67" s="41"/>
      <c r="QBL67" s="41"/>
      <c r="QBM67" s="41"/>
      <c r="QBN67" s="41"/>
      <c r="QDJ67" s="39"/>
      <c r="QDM67" s="41"/>
      <c r="QDN67" s="41"/>
      <c r="QDO67" s="41"/>
      <c r="QDP67" s="41"/>
      <c r="QDQ67" s="41"/>
      <c r="QFM67" s="39"/>
      <c r="QFP67" s="41"/>
      <c r="QFQ67" s="41"/>
      <c r="QFR67" s="41"/>
      <c r="QFS67" s="41"/>
      <c r="QFT67" s="41"/>
      <c r="QHP67" s="39"/>
      <c r="QHS67" s="41"/>
      <c r="QHT67" s="41"/>
      <c r="QHU67" s="41"/>
      <c r="QHV67" s="41"/>
      <c r="QHW67" s="41"/>
      <c r="QJS67" s="39"/>
      <c r="QJV67" s="41"/>
      <c r="QJW67" s="41"/>
      <c r="QJX67" s="41"/>
      <c r="QJY67" s="41"/>
      <c r="QJZ67" s="41"/>
      <c r="QLV67" s="39"/>
      <c r="QLY67" s="41"/>
      <c r="QLZ67" s="41"/>
      <c r="QMA67" s="41"/>
      <c r="QMB67" s="41"/>
      <c r="QMC67" s="41"/>
      <c r="QNY67" s="39"/>
      <c r="QOB67" s="41"/>
      <c r="QOC67" s="41"/>
      <c r="QOD67" s="41"/>
      <c r="QOE67" s="41"/>
      <c r="QOF67" s="41"/>
      <c r="QQB67" s="39"/>
      <c r="QQE67" s="41"/>
      <c r="QQF67" s="41"/>
      <c r="QQG67" s="41"/>
      <c r="QQH67" s="41"/>
      <c r="QQI67" s="41"/>
      <c r="QSE67" s="39"/>
      <c r="QSH67" s="41"/>
      <c r="QSI67" s="41"/>
      <c r="QSJ67" s="41"/>
      <c r="QSK67" s="41"/>
      <c r="QSL67" s="41"/>
      <c r="QUH67" s="39"/>
      <c r="QUK67" s="41"/>
      <c r="QUL67" s="41"/>
      <c r="QUM67" s="41"/>
      <c r="QUN67" s="41"/>
      <c r="QUO67" s="41"/>
      <c r="QWK67" s="39"/>
      <c r="QWN67" s="41"/>
      <c r="QWO67" s="41"/>
      <c r="QWP67" s="41"/>
      <c r="QWQ67" s="41"/>
      <c r="QWR67" s="41"/>
      <c r="QYN67" s="39"/>
      <c r="QYQ67" s="41"/>
      <c r="QYR67" s="41"/>
      <c r="QYS67" s="41"/>
      <c r="QYT67" s="41"/>
      <c r="QYU67" s="41"/>
      <c r="RAQ67" s="39"/>
      <c r="RAT67" s="41"/>
      <c r="RAU67" s="41"/>
      <c r="RAV67" s="41"/>
      <c r="RAW67" s="41"/>
      <c r="RAX67" s="41"/>
      <c r="RCT67" s="39"/>
      <c r="RCW67" s="41"/>
      <c r="RCX67" s="41"/>
      <c r="RCY67" s="41"/>
      <c r="RCZ67" s="41"/>
      <c r="RDA67" s="41"/>
      <c r="REW67" s="39"/>
      <c r="REZ67" s="41"/>
      <c r="RFA67" s="41"/>
      <c r="RFB67" s="41"/>
      <c r="RFC67" s="41"/>
      <c r="RFD67" s="41"/>
      <c r="RGZ67" s="39"/>
      <c r="RHC67" s="41"/>
      <c r="RHD67" s="41"/>
      <c r="RHE67" s="41"/>
      <c r="RHF67" s="41"/>
      <c r="RHG67" s="41"/>
      <c r="RJC67" s="39"/>
      <c r="RJF67" s="41"/>
      <c r="RJG67" s="41"/>
      <c r="RJH67" s="41"/>
      <c r="RJI67" s="41"/>
      <c r="RJJ67" s="41"/>
      <c r="RLF67" s="39"/>
      <c r="RLI67" s="41"/>
      <c r="RLJ67" s="41"/>
      <c r="RLK67" s="41"/>
      <c r="RLL67" s="41"/>
      <c r="RLM67" s="41"/>
      <c r="RNI67" s="39"/>
      <c r="RNL67" s="41"/>
      <c r="RNM67" s="41"/>
      <c r="RNN67" s="41"/>
      <c r="RNO67" s="41"/>
      <c r="RNP67" s="41"/>
      <c r="RPL67" s="39"/>
      <c r="RPO67" s="41"/>
      <c r="RPP67" s="41"/>
      <c r="RPQ67" s="41"/>
      <c r="RPR67" s="41"/>
      <c r="RPS67" s="41"/>
      <c r="RRO67" s="39"/>
      <c r="RRR67" s="41"/>
      <c r="RRS67" s="41"/>
      <c r="RRT67" s="41"/>
      <c r="RRU67" s="41"/>
      <c r="RRV67" s="41"/>
      <c r="RTR67" s="39"/>
      <c r="RTU67" s="41"/>
      <c r="RTV67" s="41"/>
      <c r="RTW67" s="41"/>
      <c r="RTX67" s="41"/>
      <c r="RTY67" s="41"/>
      <c r="RVU67" s="39"/>
      <c r="RVX67" s="41"/>
      <c r="RVY67" s="41"/>
      <c r="RVZ67" s="41"/>
      <c r="RWA67" s="41"/>
      <c r="RWB67" s="41"/>
      <c r="RXX67" s="39"/>
      <c r="RYA67" s="41"/>
      <c r="RYB67" s="41"/>
      <c r="RYC67" s="41"/>
      <c r="RYD67" s="41"/>
      <c r="RYE67" s="41"/>
      <c r="SAA67" s="39"/>
      <c r="SAD67" s="41"/>
      <c r="SAE67" s="41"/>
      <c r="SAF67" s="41"/>
      <c r="SAG67" s="41"/>
      <c r="SAH67" s="41"/>
      <c r="SCD67" s="39"/>
      <c r="SCG67" s="41"/>
      <c r="SCH67" s="41"/>
      <c r="SCI67" s="41"/>
      <c r="SCJ67" s="41"/>
      <c r="SCK67" s="41"/>
      <c r="SEG67" s="39"/>
      <c r="SEJ67" s="41"/>
      <c r="SEK67" s="41"/>
      <c r="SEL67" s="41"/>
      <c r="SEM67" s="41"/>
      <c r="SEN67" s="41"/>
      <c r="SGJ67" s="39"/>
      <c r="SGM67" s="41"/>
      <c r="SGN67" s="41"/>
      <c r="SGO67" s="41"/>
      <c r="SGP67" s="41"/>
      <c r="SGQ67" s="41"/>
      <c r="SIM67" s="39"/>
      <c r="SIP67" s="41"/>
      <c r="SIQ67" s="41"/>
      <c r="SIR67" s="41"/>
      <c r="SIS67" s="41"/>
      <c r="SIT67" s="41"/>
      <c r="SKP67" s="39"/>
      <c r="SKS67" s="41"/>
      <c r="SKT67" s="41"/>
      <c r="SKU67" s="41"/>
      <c r="SKV67" s="41"/>
      <c r="SKW67" s="41"/>
      <c r="SMS67" s="39"/>
      <c r="SMV67" s="41"/>
      <c r="SMW67" s="41"/>
      <c r="SMX67" s="41"/>
      <c r="SMY67" s="41"/>
      <c r="SMZ67" s="41"/>
      <c r="SOV67" s="39"/>
      <c r="SOY67" s="41"/>
      <c r="SOZ67" s="41"/>
      <c r="SPA67" s="41"/>
      <c r="SPB67" s="41"/>
      <c r="SPC67" s="41"/>
      <c r="SQY67" s="39"/>
      <c r="SRB67" s="41"/>
      <c r="SRC67" s="41"/>
      <c r="SRD67" s="41"/>
      <c r="SRE67" s="41"/>
      <c r="SRF67" s="41"/>
      <c r="STB67" s="39"/>
      <c r="STE67" s="41"/>
      <c r="STF67" s="41"/>
      <c r="STG67" s="41"/>
      <c r="STH67" s="41"/>
      <c r="STI67" s="41"/>
      <c r="SVE67" s="39"/>
      <c r="SVH67" s="41"/>
      <c r="SVI67" s="41"/>
      <c r="SVJ67" s="41"/>
      <c r="SVK67" s="41"/>
      <c r="SVL67" s="41"/>
      <c r="SXH67" s="39"/>
      <c r="SXK67" s="41"/>
      <c r="SXL67" s="41"/>
      <c r="SXM67" s="41"/>
      <c r="SXN67" s="41"/>
      <c r="SXO67" s="41"/>
      <c r="SZK67" s="39"/>
      <c r="SZN67" s="41"/>
      <c r="SZO67" s="41"/>
      <c r="SZP67" s="41"/>
      <c r="SZQ67" s="41"/>
      <c r="SZR67" s="41"/>
      <c r="TBN67" s="39"/>
      <c r="TBQ67" s="41"/>
      <c r="TBR67" s="41"/>
      <c r="TBS67" s="41"/>
      <c r="TBT67" s="41"/>
      <c r="TBU67" s="41"/>
      <c r="TDQ67" s="39"/>
      <c r="TDT67" s="41"/>
      <c r="TDU67" s="41"/>
      <c r="TDV67" s="41"/>
      <c r="TDW67" s="41"/>
      <c r="TDX67" s="41"/>
      <c r="TFT67" s="39"/>
      <c r="TFW67" s="41"/>
      <c r="TFX67" s="41"/>
      <c r="TFY67" s="41"/>
      <c r="TFZ67" s="41"/>
      <c r="TGA67" s="41"/>
      <c r="THW67" s="39"/>
      <c r="THZ67" s="41"/>
      <c r="TIA67" s="41"/>
      <c r="TIB67" s="41"/>
      <c r="TIC67" s="41"/>
      <c r="TID67" s="41"/>
      <c r="TJZ67" s="39"/>
      <c r="TKC67" s="41"/>
      <c r="TKD67" s="41"/>
      <c r="TKE67" s="41"/>
      <c r="TKF67" s="41"/>
      <c r="TKG67" s="41"/>
      <c r="TMC67" s="39"/>
      <c r="TMF67" s="41"/>
      <c r="TMG67" s="41"/>
      <c r="TMH67" s="41"/>
      <c r="TMI67" s="41"/>
      <c r="TMJ67" s="41"/>
      <c r="TOF67" s="39"/>
      <c r="TOI67" s="41"/>
      <c r="TOJ67" s="41"/>
      <c r="TOK67" s="41"/>
      <c r="TOL67" s="41"/>
      <c r="TOM67" s="41"/>
      <c r="TQI67" s="39"/>
      <c r="TQL67" s="41"/>
      <c r="TQM67" s="41"/>
      <c r="TQN67" s="41"/>
      <c r="TQO67" s="41"/>
      <c r="TQP67" s="41"/>
      <c r="TSL67" s="39"/>
      <c r="TSO67" s="41"/>
      <c r="TSP67" s="41"/>
      <c r="TSQ67" s="41"/>
      <c r="TSR67" s="41"/>
      <c r="TSS67" s="41"/>
      <c r="TUO67" s="39"/>
      <c r="TUR67" s="41"/>
      <c r="TUS67" s="41"/>
      <c r="TUT67" s="41"/>
      <c r="TUU67" s="41"/>
      <c r="TUV67" s="41"/>
      <c r="TWR67" s="39"/>
      <c r="TWU67" s="41"/>
      <c r="TWV67" s="41"/>
      <c r="TWW67" s="41"/>
      <c r="TWX67" s="41"/>
      <c r="TWY67" s="41"/>
      <c r="TYU67" s="39"/>
      <c r="TYX67" s="41"/>
      <c r="TYY67" s="41"/>
      <c r="TYZ67" s="41"/>
      <c r="TZA67" s="41"/>
      <c r="TZB67" s="41"/>
      <c r="UAX67" s="39"/>
      <c r="UBA67" s="41"/>
      <c r="UBB67" s="41"/>
      <c r="UBC67" s="41"/>
      <c r="UBD67" s="41"/>
      <c r="UBE67" s="41"/>
      <c r="UDA67" s="39"/>
      <c r="UDD67" s="41"/>
      <c r="UDE67" s="41"/>
      <c r="UDF67" s="41"/>
      <c r="UDG67" s="41"/>
      <c r="UDH67" s="41"/>
      <c r="UFD67" s="39"/>
      <c r="UFG67" s="41"/>
      <c r="UFH67" s="41"/>
      <c r="UFI67" s="41"/>
      <c r="UFJ67" s="41"/>
      <c r="UFK67" s="41"/>
      <c r="UHG67" s="39"/>
      <c r="UHJ67" s="41"/>
      <c r="UHK67" s="41"/>
      <c r="UHL67" s="41"/>
      <c r="UHM67" s="41"/>
      <c r="UHN67" s="41"/>
      <c r="UJJ67" s="39"/>
      <c r="UJM67" s="41"/>
      <c r="UJN67" s="41"/>
      <c r="UJO67" s="41"/>
      <c r="UJP67" s="41"/>
      <c r="UJQ67" s="41"/>
      <c r="ULM67" s="39"/>
      <c r="ULP67" s="41"/>
      <c r="ULQ67" s="41"/>
      <c r="ULR67" s="41"/>
      <c r="ULS67" s="41"/>
      <c r="ULT67" s="41"/>
      <c r="UNP67" s="39"/>
      <c r="UNS67" s="41"/>
      <c r="UNT67" s="41"/>
      <c r="UNU67" s="41"/>
      <c r="UNV67" s="41"/>
      <c r="UNW67" s="41"/>
      <c r="UPS67" s="39"/>
      <c r="UPV67" s="41"/>
      <c r="UPW67" s="41"/>
      <c r="UPX67" s="41"/>
      <c r="UPY67" s="41"/>
      <c r="UPZ67" s="41"/>
      <c r="URV67" s="39"/>
      <c r="URY67" s="41"/>
      <c r="URZ67" s="41"/>
      <c r="USA67" s="41"/>
      <c r="USB67" s="41"/>
      <c r="USC67" s="41"/>
      <c r="UTY67" s="39"/>
      <c r="UUB67" s="41"/>
      <c r="UUC67" s="41"/>
      <c r="UUD67" s="41"/>
      <c r="UUE67" s="41"/>
      <c r="UUF67" s="41"/>
      <c r="UWB67" s="39"/>
      <c r="UWE67" s="41"/>
      <c r="UWF67" s="41"/>
      <c r="UWG67" s="41"/>
      <c r="UWH67" s="41"/>
      <c r="UWI67" s="41"/>
      <c r="UYE67" s="39"/>
      <c r="UYH67" s="41"/>
      <c r="UYI67" s="41"/>
      <c r="UYJ67" s="41"/>
      <c r="UYK67" s="41"/>
      <c r="UYL67" s="41"/>
      <c r="VAH67" s="39"/>
      <c r="VAK67" s="41"/>
      <c r="VAL67" s="41"/>
      <c r="VAM67" s="41"/>
      <c r="VAN67" s="41"/>
      <c r="VAO67" s="41"/>
      <c r="VCK67" s="39"/>
      <c r="VCN67" s="41"/>
      <c r="VCO67" s="41"/>
      <c r="VCP67" s="41"/>
      <c r="VCQ67" s="41"/>
      <c r="VCR67" s="41"/>
      <c r="VEN67" s="39"/>
      <c r="VEQ67" s="41"/>
      <c r="VER67" s="41"/>
      <c r="VES67" s="41"/>
      <c r="VET67" s="41"/>
      <c r="VEU67" s="41"/>
      <c r="VGQ67" s="39"/>
      <c r="VGT67" s="41"/>
      <c r="VGU67" s="41"/>
      <c r="VGV67" s="41"/>
      <c r="VGW67" s="41"/>
      <c r="VGX67" s="41"/>
      <c r="VIT67" s="39"/>
      <c r="VIW67" s="41"/>
      <c r="VIX67" s="41"/>
      <c r="VIY67" s="41"/>
      <c r="VIZ67" s="41"/>
      <c r="VJA67" s="41"/>
      <c r="VKW67" s="39"/>
      <c r="VKZ67" s="41"/>
      <c r="VLA67" s="41"/>
      <c r="VLB67" s="41"/>
      <c r="VLC67" s="41"/>
      <c r="VLD67" s="41"/>
      <c r="VMZ67" s="39"/>
      <c r="VNC67" s="41"/>
      <c r="VND67" s="41"/>
      <c r="VNE67" s="41"/>
      <c r="VNF67" s="41"/>
      <c r="VNG67" s="41"/>
      <c r="VPC67" s="39"/>
      <c r="VPF67" s="41"/>
      <c r="VPG67" s="41"/>
      <c r="VPH67" s="41"/>
      <c r="VPI67" s="41"/>
      <c r="VPJ67" s="41"/>
      <c r="VRF67" s="39"/>
      <c r="VRI67" s="41"/>
      <c r="VRJ67" s="41"/>
      <c r="VRK67" s="41"/>
      <c r="VRL67" s="41"/>
      <c r="VRM67" s="41"/>
      <c r="VTI67" s="39"/>
      <c r="VTL67" s="41"/>
      <c r="VTM67" s="41"/>
      <c r="VTN67" s="41"/>
      <c r="VTO67" s="41"/>
      <c r="VTP67" s="41"/>
      <c r="VVL67" s="39"/>
      <c r="VVO67" s="41"/>
      <c r="VVP67" s="41"/>
      <c r="VVQ67" s="41"/>
      <c r="VVR67" s="41"/>
      <c r="VVS67" s="41"/>
      <c r="VXO67" s="39"/>
      <c r="VXR67" s="41"/>
      <c r="VXS67" s="41"/>
      <c r="VXT67" s="41"/>
      <c r="VXU67" s="41"/>
      <c r="VXV67" s="41"/>
      <c r="VZR67" s="39"/>
      <c r="VZU67" s="41"/>
      <c r="VZV67" s="41"/>
      <c r="VZW67" s="41"/>
      <c r="VZX67" s="41"/>
      <c r="VZY67" s="41"/>
      <c r="WBU67" s="39"/>
      <c r="WBX67" s="41"/>
      <c r="WBY67" s="41"/>
      <c r="WBZ67" s="41"/>
      <c r="WCA67" s="41"/>
      <c r="WCB67" s="41"/>
      <c r="WDX67" s="39"/>
      <c r="WEA67" s="41"/>
      <c r="WEB67" s="41"/>
      <c r="WEC67" s="41"/>
      <c r="WED67" s="41"/>
      <c r="WEE67" s="41"/>
      <c r="WGA67" s="39"/>
      <c r="WGD67" s="41"/>
      <c r="WGE67" s="41"/>
      <c r="WGF67" s="41"/>
      <c r="WGG67" s="41"/>
      <c r="WGH67" s="41"/>
      <c r="WID67" s="39"/>
      <c r="WIG67" s="41"/>
      <c r="WIH67" s="41"/>
      <c r="WII67" s="41"/>
      <c r="WIJ67" s="41"/>
      <c r="WIK67" s="41"/>
      <c r="WKG67" s="39"/>
      <c r="WKJ67" s="41"/>
      <c r="WKK67" s="41"/>
      <c r="WKL67" s="41"/>
      <c r="WKM67" s="41"/>
      <c r="WKN67" s="41"/>
      <c r="WMJ67" s="39"/>
      <c r="WMM67" s="41"/>
      <c r="WMN67" s="41"/>
      <c r="WMO67" s="41"/>
      <c r="WMP67" s="41"/>
      <c r="WMQ67" s="41"/>
      <c r="WOM67" s="39"/>
      <c r="WOP67" s="41"/>
      <c r="WOQ67" s="41"/>
      <c r="WOR67" s="41"/>
      <c r="WOS67" s="41"/>
      <c r="WOT67" s="41"/>
      <c r="WQP67" s="39"/>
      <c r="WQS67" s="41"/>
      <c r="WQT67" s="41"/>
      <c r="WQU67" s="41"/>
      <c r="WQV67" s="41"/>
      <c r="WQW67" s="41"/>
      <c r="WSS67" s="39"/>
      <c r="WSV67" s="41"/>
      <c r="WSW67" s="41"/>
      <c r="WSX67" s="41"/>
      <c r="WSY67" s="41"/>
      <c r="WSZ67" s="41"/>
      <c r="WUV67" s="39"/>
      <c r="WUY67" s="41"/>
      <c r="WUZ67" s="41"/>
      <c r="WVA67" s="41"/>
      <c r="WVB67" s="41"/>
      <c r="WVC67" s="41"/>
      <c r="WWY67" s="39"/>
      <c r="WXB67" s="41"/>
      <c r="WXC67" s="41"/>
      <c r="WXD67" s="41"/>
      <c r="WXE67" s="41"/>
      <c r="WXF67" s="41"/>
      <c r="WZB67" s="39"/>
      <c r="WZE67" s="41"/>
      <c r="WZF67" s="41"/>
      <c r="WZG67" s="41"/>
      <c r="WZH67" s="41"/>
      <c r="WZI67" s="41"/>
      <c r="XBE67" s="39"/>
      <c r="XBH67" s="41"/>
      <c r="XBI67" s="41"/>
      <c r="XBJ67" s="41"/>
      <c r="XBK67" s="41"/>
      <c r="XBL67" s="41"/>
      <c r="XDH67" s="39"/>
      <c r="XDK67" s="41"/>
      <c r="XDL67" s="41"/>
      <c r="XDM67" s="41"/>
      <c r="XDN67" s="41"/>
      <c r="XDO67" s="41"/>
    </row>
    <row r="68" spans="1:998 1046:2043 2091:3033 3081:4078 4126:6113 6161:7158 7206:8148 8196:9193 9241:10238 10286:11228 11276:12273 12321:13311 13314:14308 14356:15353 15401:16343" s="40" customFormat="1" ht="15" customHeight="1" x14ac:dyDescent="0.25">
      <c r="A68" s="22" t="s">
        <v>538</v>
      </c>
      <c r="B68" s="23">
        <v>500</v>
      </c>
      <c r="C68" s="23">
        <v>34</v>
      </c>
      <c r="D68" s="24">
        <v>30</v>
      </c>
      <c r="E68" s="24" t="s">
        <v>469</v>
      </c>
      <c r="F68" s="24">
        <v>0</v>
      </c>
      <c r="G68" s="24">
        <f t="shared" si="18"/>
        <v>408</v>
      </c>
      <c r="H68" s="24">
        <f t="shared" si="19"/>
        <v>211</v>
      </c>
      <c r="I68" s="23">
        <f t="shared" si="20"/>
        <v>199</v>
      </c>
      <c r="J68" s="23">
        <f t="shared" si="21"/>
        <v>30</v>
      </c>
      <c r="K68" s="23">
        <v>1.5</v>
      </c>
      <c r="L68" s="23">
        <v>12</v>
      </c>
      <c r="M68" s="23">
        <v>20</v>
      </c>
      <c r="N68" s="23">
        <f t="shared" si="22"/>
        <v>9</v>
      </c>
      <c r="O68" s="23">
        <f t="shared" si="23"/>
        <v>20</v>
      </c>
      <c r="P68" s="23">
        <f t="shared" si="24"/>
        <v>40</v>
      </c>
      <c r="Q68" s="23">
        <f t="shared" si="25"/>
        <v>40</v>
      </c>
      <c r="R68" s="23">
        <f t="shared" si="26"/>
        <v>20</v>
      </c>
      <c r="BD68" s="39"/>
      <c r="BG68" s="41"/>
      <c r="BH68" s="41"/>
      <c r="BI68" s="41"/>
      <c r="BJ68" s="41"/>
      <c r="BK68" s="41"/>
      <c r="DG68" s="39"/>
      <c r="DJ68" s="41"/>
      <c r="DK68" s="41"/>
      <c r="DL68" s="41"/>
      <c r="DM68" s="41"/>
      <c r="DN68" s="41"/>
      <c r="FJ68" s="39"/>
      <c r="FM68" s="41"/>
      <c r="FN68" s="41"/>
      <c r="FO68" s="41"/>
      <c r="FP68" s="41"/>
      <c r="FQ68" s="41"/>
      <c r="HM68" s="39"/>
      <c r="HP68" s="41"/>
      <c r="HQ68" s="41"/>
      <c r="HR68" s="41"/>
      <c r="HS68" s="41"/>
      <c r="HT68" s="41"/>
      <c r="JP68" s="39"/>
      <c r="JS68" s="41"/>
      <c r="JT68" s="41"/>
      <c r="JU68" s="41"/>
      <c r="JV68" s="41"/>
      <c r="JW68" s="41"/>
      <c r="LS68" s="39"/>
      <c r="LV68" s="41"/>
      <c r="LW68" s="41"/>
      <c r="LX68" s="41"/>
      <c r="LY68" s="41"/>
      <c r="LZ68" s="41"/>
      <c r="NV68" s="39"/>
      <c r="NY68" s="41"/>
      <c r="NZ68" s="41"/>
      <c r="OA68" s="41"/>
      <c r="OB68" s="41"/>
      <c r="OC68" s="41"/>
      <c r="PY68" s="39"/>
      <c r="QB68" s="41"/>
      <c r="QC68" s="41"/>
      <c r="QD68" s="41"/>
      <c r="QE68" s="41"/>
      <c r="QF68" s="41"/>
      <c r="SB68" s="39"/>
      <c r="SE68" s="41"/>
      <c r="SF68" s="41"/>
      <c r="SG68" s="41"/>
      <c r="SH68" s="41"/>
      <c r="SI68" s="41"/>
      <c r="UE68" s="39"/>
      <c r="UH68" s="41"/>
      <c r="UI68" s="41"/>
      <c r="UJ68" s="41"/>
      <c r="UK68" s="41"/>
      <c r="UL68" s="41"/>
      <c r="WH68" s="39"/>
      <c r="WK68" s="41"/>
      <c r="WL68" s="41"/>
      <c r="WM68" s="41"/>
      <c r="WN68" s="41"/>
      <c r="WO68" s="41"/>
      <c r="YK68" s="39"/>
      <c r="YN68" s="41"/>
      <c r="YO68" s="41"/>
      <c r="YP68" s="41"/>
      <c r="YQ68" s="41"/>
      <c r="YR68" s="41"/>
      <c r="AAN68" s="39"/>
      <c r="AAQ68" s="41"/>
      <c r="AAR68" s="41"/>
      <c r="AAS68" s="41"/>
      <c r="AAT68" s="41"/>
      <c r="AAU68" s="41"/>
      <c r="ACQ68" s="39"/>
      <c r="ACT68" s="41"/>
      <c r="ACU68" s="41"/>
      <c r="ACV68" s="41"/>
      <c r="ACW68" s="41"/>
      <c r="ACX68" s="41"/>
      <c r="AET68" s="39"/>
      <c r="AEW68" s="41"/>
      <c r="AEX68" s="41"/>
      <c r="AEY68" s="41"/>
      <c r="AEZ68" s="41"/>
      <c r="AFA68" s="41"/>
      <c r="AGW68" s="39"/>
      <c r="AGZ68" s="41"/>
      <c r="AHA68" s="41"/>
      <c r="AHB68" s="41"/>
      <c r="AHC68" s="41"/>
      <c r="AHD68" s="41"/>
      <c r="AIZ68" s="39"/>
      <c r="AJC68" s="41"/>
      <c r="AJD68" s="41"/>
      <c r="AJE68" s="41"/>
      <c r="AJF68" s="41"/>
      <c r="AJG68" s="41"/>
      <c r="ALC68" s="39"/>
      <c r="ALF68" s="41"/>
      <c r="ALG68" s="41"/>
      <c r="ALH68" s="41"/>
      <c r="ALI68" s="41"/>
      <c r="ALJ68" s="41"/>
      <c r="ANF68" s="39"/>
      <c r="ANI68" s="41"/>
      <c r="ANJ68" s="41"/>
      <c r="ANK68" s="41"/>
      <c r="ANL68" s="41"/>
      <c r="ANM68" s="41"/>
      <c r="API68" s="39"/>
      <c r="APL68" s="41"/>
      <c r="APM68" s="41"/>
      <c r="APN68" s="41"/>
      <c r="APO68" s="41"/>
      <c r="APP68" s="41"/>
      <c r="ARL68" s="39"/>
      <c r="ARO68" s="41"/>
      <c r="ARP68" s="41"/>
      <c r="ARQ68" s="41"/>
      <c r="ARR68" s="41"/>
      <c r="ARS68" s="41"/>
      <c r="ATO68" s="39"/>
      <c r="ATR68" s="41"/>
      <c r="ATS68" s="41"/>
      <c r="ATT68" s="41"/>
      <c r="ATU68" s="41"/>
      <c r="ATV68" s="41"/>
      <c r="AVR68" s="39"/>
      <c r="AVU68" s="41"/>
      <c r="AVV68" s="41"/>
      <c r="AVW68" s="41"/>
      <c r="AVX68" s="41"/>
      <c r="AVY68" s="41"/>
      <c r="AXU68" s="39"/>
      <c r="AXX68" s="41"/>
      <c r="AXY68" s="41"/>
      <c r="AXZ68" s="41"/>
      <c r="AYA68" s="41"/>
      <c r="AYB68" s="41"/>
      <c r="AZX68" s="39"/>
      <c r="BAA68" s="41"/>
      <c r="BAB68" s="41"/>
      <c r="BAC68" s="41"/>
      <c r="BAD68" s="41"/>
      <c r="BAE68" s="41"/>
      <c r="BCA68" s="39"/>
      <c r="BCD68" s="41"/>
      <c r="BCE68" s="41"/>
      <c r="BCF68" s="41"/>
      <c r="BCG68" s="41"/>
      <c r="BCH68" s="41"/>
      <c r="BED68" s="39"/>
      <c r="BEG68" s="41"/>
      <c r="BEH68" s="41"/>
      <c r="BEI68" s="41"/>
      <c r="BEJ68" s="41"/>
      <c r="BEK68" s="41"/>
      <c r="BGG68" s="39"/>
      <c r="BGJ68" s="41"/>
      <c r="BGK68" s="41"/>
      <c r="BGL68" s="41"/>
      <c r="BGM68" s="41"/>
      <c r="BGN68" s="41"/>
      <c r="BIJ68" s="39"/>
      <c r="BIM68" s="41"/>
      <c r="BIN68" s="41"/>
      <c r="BIO68" s="41"/>
      <c r="BIP68" s="41"/>
      <c r="BIQ68" s="41"/>
      <c r="BKM68" s="39"/>
      <c r="BKP68" s="41"/>
      <c r="BKQ68" s="41"/>
      <c r="BKR68" s="41"/>
      <c r="BKS68" s="41"/>
      <c r="BKT68" s="41"/>
      <c r="BMP68" s="39"/>
      <c r="BMS68" s="41"/>
      <c r="BMT68" s="41"/>
      <c r="BMU68" s="41"/>
      <c r="BMV68" s="41"/>
      <c r="BMW68" s="41"/>
      <c r="BOS68" s="39"/>
      <c r="BOV68" s="41"/>
      <c r="BOW68" s="41"/>
      <c r="BOX68" s="41"/>
      <c r="BOY68" s="41"/>
      <c r="BOZ68" s="41"/>
      <c r="BQV68" s="39"/>
      <c r="BQY68" s="41"/>
      <c r="BQZ68" s="41"/>
      <c r="BRA68" s="41"/>
      <c r="BRB68" s="41"/>
      <c r="BRC68" s="41"/>
      <c r="BSY68" s="39"/>
      <c r="BTB68" s="41"/>
      <c r="BTC68" s="41"/>
      <c r="BTD68" s="41"/>
      <c r="BTE68" s="41"/>
      <c r="BTF68" s="41"/>
      <c r="BVB68" s="39"/>
      <c r="BVE68" s="41"/>
      <c r="BVF68" s="41"/>
      <c r="BVG68" s="41"/>
      <c r="BVH68" s="41"/>
      <c r="BVI68" s="41"/>
      <c r="BXE68" s="39"/>
      <c r="BXH68" s="41"/>
      <c r="BXI68" s="41"/>
      <c r="BXJ68" s="41"/>
      <c r="BXK68" s="41"/>
      <c r="BXL68" s="41"/>
      <c r="BZH68" s="39"/>
      <c r="BZK68" s="41"/>
      <c r="BZL68" s="41"/>
      <c r="BZM68" s="41"/>
      <c r="BZN68" s="41"/>
      <c r="BZO68" s="41"/>
      <c r="CBK68" s="39"/>
      <c r="CBN68" s="41"/>
      <c r="CBO68" s="41"/>
      <c r="CBP68" s="41"/>
      <c r="CBQ68" s="41"/>
      <c r="CBR68" s="41"/>
      <c r="CDN68" s="39"/>
      <c r="CDQ68" s="41"/>
      <c r="CDR68" s="41"/>
      <c r="CDS68" s="41"/>
      <c r="CDT68" s="41"/>
      <c r="CDU68" s="41"/>
      <c r="CFQ68" s="39"/>
      <c r="CFT68" s="41"/>
      <c r="CFU68" s="41"/>
      <c r="CFV68" s="41"/>
      <c r="CFW68" s="41"/>
      <c r="CFX68" s="41"/>
      <c r="CHT68" s="39"/>
      <c r="CHW68" s="41"/>
      <c r="CHX68" s="41"/>
      <c r="CHY68" s="41"/>
      <c r="CHZ68" s="41"/>
      <c r="CIA68" s="41"/>
      <c r="CJW68" s="39"/>
      <c r="CJZ68" s="41"/>
      <c r="CKA68" s="41"/>
      <c r="CKB68" s="41"/>
      <c r="CKC68" s="41"/>
      <c r="CKD68" s="41"/>
      <c r="CLZ68" s="39"/>
      <c r="CMC68" s="41"/>
      <c r="CMD68" s="41"/>
      <c r="CME68" s="41"/>
      <c r="CMF68" s="41"/>
      <c r="CMG68" s="41"/>
      <c r="COC68" s="39"/>
      <c r="COF68" s="41"/>
      <c r="COG68" s="41"/>
      <c r="COH68" s="41"/>
      <c r="COI68" s="41"/>
      <c r="COJ68" s="41"/>
      <c r="CQF68" s="39"/>
      <c r="CQI68" s="41"/>
      <c r="CQJ68" s="41"/>
      <c r="CQK68" s="41"/>
      <c r="CQL68" s="41"/>
      <c r="CQM68" s="41"/>
      <c r="CSI68" s="39"/>
      <c r="CSL68" s="41"/>
      <c r="CSM68" s="41"/>
      <c r="CSN68" s="41"/>
      <c r="CSO68" s="41"/>
      <c r="CSP68" s="41"/>
      <c r="CUL68" s="39"/>
      <c r="CUO68" s="41"/>
      <c r="CUP68" s="41"/>
      <c r="CUQ68" s="41"/>
      <c r="CUR68" s="41"/>
      <c r="CUS68" s="41"/>
      <c r="CWO68" s="39"/>
      <c r="CWR68" s="41"/>
      <c r="CWS68" s="41"/>
      <c r="CWT68" s="41"/>
      <c r="CWU68" s="41"/>
      <c r="CWV68" s="41"/>
      <c r="CYR68" s="39"/>
      <c r="CYU68" s="41"/>
      <c r="CYV68" s="41"/>
      <c r="CYW68" s="41"/>
      <c r="CYX68" s="41"/>
      <c r="CYY68" s="41"/>
      <c r="DAU68" s="39"/>
      <c r="DAX68" s="41"/>
      <c r="DAY68" s="41"/>
      <c r="DAZ68" s="41"/>
      <c r="DBA68" s="41"/>
      <c r="DBB68" s="41"/>
      <c r="DCX68" s="39"/>
      <c r="DDA68" s="41"/>
      <c r="DDB68" s="41"/>
      <c r="DDC68" s="41"/>
      <c r="DDD68" s="41"/>
      <c r="DDE68" s="41"/>
      <c r="DFA68" s="39"/>
      <c r="DFD68" s="41"/>
      <c r="DFE68" s="41"/>
      <c r="DFF68" s="41"/>
      <c r="DFG68" s="41"/>
      <c r="DFH68" s="41"/>
      <c r="DHD68" s="39"/>
      <c r="DHG68" s="41"/>
      <c r="DHH68" s="41"/>
      <c r="DHI68" s="41"/>
      <c r="DHJ68" s="41"/>
      <c r="DHK68" s="41"/>
      <c r="DJG68" s="39"/>
      <c r="DJJ68" s="41"/>
      <c r="DJK68" s="41"/>
      <c r="DJL68" s="41"/>
      <c r="DJM68" s="41"/>
      <c r="DJN68" s="41"/>
      <c r="DLJ68" s="39"/>
      <c r="DLM68" s="41"/>
      <c r="DLN68" s="41"/>
      <c r="DLO68" s="41"/>
      <c r="DLP68" s="41"/>
      <c r="DLQ68" s="41"/>
      <c r="DNM68" s="39"/>
      <c r="DNP68" s="41"/>
      <c r="DNQ68" s="41"/>
      <c r="DNR68" s="41"/>
      <c r="DNS68" s="41"/>
      <c r="DNT68" s="41"/>
      <c r="DPP68" s="39"/>
      <c r="DPS68" s="41"/>
      <c r="DPT68" s="41"/>
      <c r="DPU68" s="41"/>
      <c r="DPV68" s="41"/>
      <c r="DPW68" s="41"/>
      <c r="DRS68" s="39"/>
      <c r="DRV68" s="41"/>
      <c r="DRW68" s="41"/>
      <c r="DRX68" s="41"/>
      <c r="DRY68" s="41"/>
      <c r="DRZ68" s="41"/>
      <c r="DTV68" s="39"/>
      <c r="DTY68" s="41"/>
      <c r="DTZ68" s="41"/>
      <c r="DUA68" s="41"/>
      <c r="DUB68" s="41"/>
      <c r="DUC68" s="41"/>
      <c r="DVY68" s="39"/>
      <c r="DWB68" s="41"/>
      <c r="DWC68" s="41"/>
      <c r="DWD68" s="41"/>
      <c r="DWE68" s="41"/>
      <c r="DWF68" s="41"/>
      <c r="DYB68" s="39"/>
      <c r="DYE68" s="41"/>
      <c r="DYF68" s="41"/>
      <c r="DYG68" s="41"/>
      <c r="DYH68" s="41"/>
      <c r="DYI68" s="41"/>
      <c r="EAE68" s="39"/>
      <c r="EAH68" s="41"/>
      <c r="EAI68" s="41"/>
      <c r="EAJ68" s="41"/>
      <c r="EAK68" s="41"/>
      <c r="EAL68" s="41"/>
      <c r="ECH68" s="39"/>
      <c r="ECK68" s="41"/>
      <c r="ECL68" s="41"/>
      <c r="ECM68" s="41"/>
      <c r="ECN68" s="41"/>
      <c r="ECO68" s="41"/>
      <c r="EEK68" s="39"/>
      <c r="EEN68" s="41"/>
      <c r="EEO68" s="41"/>
      <c r="EEP68" s="41"/>
      <c r="EEQ68" s="41"/>
      <c r="EER68" s="41"/>
      <c r="EGN68" s="39"/>
      <c r="EGQ68" s="41"/>
      <c r="EGR68" s="41"/>
      <c r="EGS68" s="41"/>
      <c r="EGT68" s="41"/>
      <c r="EGU68" s="41"/>
      <c r="EIQ68" s="39"/>
      <c r="EIT68" s="41"/>
      <c r="EIU68" s="41"/>
      <c r="EIV68" s="41"/>
      <c r="EIW68" s="41"/>
      <c r="EIX68" s="41"/>
      <c r="EKT68" s="39"/>
      <c r="EKW68" s="41"/>
      <c r="EKX68" s="41"/>
      <c r="EKY68" s="41"/>
      <c r="EKZ68" s="41"/>
      <c r="ELA68" s="41"/>
      <c r="EMW68" s="39"/>
      <c r="EMZ68" s="41"/>
      <c r="ENA68" s="41"/>
      <c r="ENB68" s="41"/>
      <c r="ENC68" s="41"/>
      <c r="END68" s="41"/>
      <c r="EOZ68" s="39"/>
      <c r="EPC68" s="41"/>
      <c r="EPD68" s="41"/>
      <c r="EPE68" s="41"/>
      <c r="EPF68" s="41"/>
      <c r="EPG68" s="41"/>
      <c r="ERC68" s="39"/>
      <c r="ERF68" s="41"/>
      <c r="ERG68" s="41"/>
      <c r="ERH68" s="41"/>
      <c r="ERI68" s="41"/>
      <c r="ERJ68" s="41"/>
      <c r="ETF68" s="39"/>
      <c r="ETI68" s="41"/>
      <c r="ETJ68" s="41"/>
      <c r="ETK68" s="41"/>
      <c r="ETL68" s="41"/>
      <c r="ETM68" s="41"/>
      <c r="EVI68" s="39"/>
      <c r="EVL68" s="41"/>
      <c r="EVM68" s="41"/>
      <c r="EVN68" s="41"/>
      <c r="EVO68" s="41"/>
      <c r="EVP68" s="41"/>
      <c r="EXL68" s="39"/>
      <c r="EXO68" s="41"/>
      <c r="EXP68" s="41"/>
      <c r="EXQ68" s="41"/>
      <c r="EXR68" s="41"/>
      <c r="EXS68" s="41"/>
      <c r="EZO68" s="39"/>
      <c r="EZR68" s="41"/>
      <c r="EZS68" s="41"/>
      <c r="EZT68" s="41"/>
      <c r="EZU68" s="41"/>
      <c r="EZV68" s="41"/>
      <c r="FBR68" s="39"/>
      <c r="FBU68" s="41"/>
      <c r="FBV68" s="41"/>
      <c r="FBW68" s="41"/>
      <c r="FBX68" s="41"/>
      <c r="FBY68" s="41"/>
      <c r="FDU68" s="39"/>
      <c r="FDX68" s="41"/>
      <c r="FDY68" s="41"/>
      <c r="FDZ68" s="41"/>
      <c r="FEA68" s="41"/>
      <c r="FEB68" s="41"/>
      <c r="FFX68" s="39"/>
      <c r="FGA68" s="41"/>
      <c r="FGB68" s="41"/>
      <c r="FGC68" s="41"/>
      <c r="FGD68" s="41"/>
      <c r="FGE68" s="41"/>
      <c r="FIA68" s="39"/>
      <c r="FID68" s="41"/>
      <c r="FIE68" s="41"/>
      <c r="FIF68" s="41"/>
      <c r="FIG68" s="41"/>
      <c r="FIH68" s="41"/>
      <c r="FKD68" s="39"/>
      <c r="FKG68" s="41"/>
      <c r="FKH68" s="41"/>
      <c r="FKI68" s="41"/>
      <c r="FKJ68" s="41"/>
      <c r="FKK68" s="41"/>
      <c r="FMG68" s="39"/>
      <c r="FMJ68" s="41"/>
      <c r="FMK68" s="41"/>
      <c r="FML68" s="41"/>
      <c r="FMM68" s="41"/>
      <c r="FMN68" s="41"/>
      <c r="FOJ68" s="39"/>
      <c r="FOM68" s="41"/>
      <c r="FON68" s="41"/>
      <c r="FOO68" s="41"/>
      <c r="FOP68" s="41"/>
      <c r="FOQ68" s="41"/>
      <c r="FQM68" s="39"/>
      <c r="FQP68" s="41"/>
      <c r="FQQ68" s="41"/>
      <c r="FQR68" s="41"/>
      <c r="FQS68" s="41"/>
      <c r="FQT68" s="41"/>
      <c r="FSP68" s="39"/>
      <c r="FSS68" s="41"/>
      <c r="FST68" s="41"/>
      <c r="FSU68" s="41"/>
      <c r="FSV68" s="41"/>
      <c r="FSW68" s="41"/>
      <c r="FUS68" s="39"/>
      <c r="FUV68" s="41"/>
      <c r="FUW68" s="41"/>
      <c r="FUX68" s="41"/>
      <c r="FUY68" s="41"/>
      <c r="FUZ68" s="41"/>
      <c r="FWV68" s="39"/>
      <c r="FWY68" s="41"/>
      <c r="FWZ68" s="41"/>
      <c r="FXA68" s="41"/>
      <c r="FXB68" s="41"/>
      <c r="FXC68" s="41"/>
      <c r="FYY68" s="39"/>
      <c r="FZB68" s="41"/>
      <c r="FZC68" s="41"/>
      <c r="FZD68" s="41"/>
      <c r="FZE68" s="41"/>
      <c r="FZF68" s="41"/>
      <c r="GBB68" s="39"/>
      <c r="GBE68" s="41"/>
      <c r="GBF68" s="41"/>
      <c r="GBG68" s="41"/>
      <c r="GBH68" s="41"/>
      <c r="GBI68" s="41"/>
      <c r="GDE68" s="39"/>
      <c r="GDH68" s="41"/>
      <c r="GDI68" s="41"/>
      <c r="GDJ68" s="41"/>
      <c r="GDK68" s="41"/>
      <c r="GDL68" s="41"/>
      <c r="GFH68" s="39"/>
      <c r="GFK68" s="41"/>
      <c r="GFL68" s="41"/>
      <c r="GFM68" s="41"/>
      <c r="GFN68" s="41"/>
      <c r="GFO68" s="41"/>
      <c r="GHK68" s="39"/>
      <c r="GHN68" s="41"/>
      <c r="GHO68" s="41"/>
      <c r="GHP68" s="41"/>
      <c r="GHQ68" s="41"/>
      <c r="GHR68" s="41"/>
      <c r="GJN68" s="39"/>
      <c r="GJQ68" s="41"/>
      <c r="GJR68" s="41"/>
      <c r="GJS68" s="41"/>
      <c r="GJT68" s="41"/>
      <c r="GJU68" s="41"/>
      <c r="GLQ68" s="39"/>
      <c r="GLT68" s="41"/>
      <c r="GLU68" s="41"/>
      <c r="GLV68" s="41"/>
      <c r="GLW68" s="41"/>
      <c r="GLX68" s="41"/>
      <c r="GNT68" s="39"/>
      <c r="GNW68" s="41"/>
      <c r="GNX68" s="41"/>
      <c r="GNY68" s="41"/>
      <c r="GNZ68" s="41"/>
      <c r="GOA68" s="41"/>
      <c r="GPW68" s="39"/>
      <c r="GPZ68" s="41"/>
      <c r="GQA68" s="41"/>
      <c r="GQB68" s="41"/>
      <c r="GQC68" s="41"/>
      <c r="GQD68" s="41"/>
      <c r="GRZ68" s="39"/>
      <c r="GSC68" s="41"/>
      <c r="GSD68" s="41"/>
      <c r="GSE68" s="41"/>
      <c r="GSF68" s="41"/>
      <c r="GSG68" s="41"/>
      <c r="GUC68" s="39"/>
      <c r="GUF68" s="41"/>
      <c r="GUG68" s="41"/>
      <c r="GUH68" s="41"/>
      <c r="GUI68" s="41"/>
      <c r="GUJ68" s="41"/>
      <c r="GWF68" s="39"/>
      <c r="GWI68" s="41"/>
      <c r="GWJ68" s="41"/>
      <c r="GWK68" s="41"/>
      <c r="GWL68" s="41"/>
      <c r="GWM68" s="41"/>
      <c r="GYI68" s="39"/>
      <c r="GYL68" s="41"/>
      <c r="GYM68" s="41"/>
      <c r="GYN68" s="41"/>
      <c r="GYO68" s="41"/>
      <c r="GYP68" s="41"/>
      <c r="HAL68" s="39"/>
      <c r="HAO68" s="41"/>
      <c r="HAP68" s="41"/>
      <c r="HAQ68" s="41"/>
      <c r="HAR68" s="41"/>
      <c r="HAS68" s="41"/>
      <c r="HCO68" s="39"/>
      <c r="HCR68" s="41"/>
      <c r="HCS68" s="41"/>
      <c r="HCT68" s="41"/>
      <c r="HCU68" s="41"/>
      <c r="HCV68" s="41"/>
      <c r="HER68" s="39"/>
      <c r="HEU68" s="41"/>
      <c r="HEV68" s="41"/>
      <c r="HEW68" s="41"/>
      <c r="HEX68" s="41"/>
      <c r="HEY68" s="41"/>
      <c r="HGU68" s="39"/>
      <c r="HGX68" s="41"/>
      <c r="HGY68" s="41"/>
      <c r="HGZ68" s="41"/>
      <c r="HHA68" s="41"/>
      <c r="HHB68" s="41"/>
      <c r="HIX68" s="39"/>
      <c r="HJA68" s="41"/>
      <c r="HJB68" s="41"/>
      <c r="HJC68" s="41"/>
      <c r="HJD68" s="41"/>
      <c r="HJE68" s="41"/>
      <c r="HLA68" s="39"/>
      <c r="HLD68" s="41"/>
      <c r="HLE68" s="41"/>
      <c r="HLF68" s="41"/>
      <c r="HLG68" s="41"/>
      <c r="HLH68" s="41"/>
      <c r="HND68" s="39"/>
      <c r="HNG68" s="41"/>
      <c r="HNH68" s="41"/>
      <c r="HNI68" s="41"/>
      <c r="HNJ68" s="41"/>
      <c r="HNK68" s="41"/>
      <c r="HPG68" s="39"/>
      <c r="HPJ68" s="41"/>
      <c r="HPK68" s="41"/>
      <c r="HPL68" s="41"/>
      <c r="HPM68" s="41"/>
      <c r="HPN68" s="41"/>
      <c r="HRJ68" s="39"/>
      <c r="HRM68" s="41"/>
      <c r="HRN68" s="41"/>
      <c r="HRO68" s="41"/>
      <c r="HRP68" s="41"/>
      <c r="HRQ68" s="41"/>
      <c r="HTM68" s="39"/>
      <c r="HTP68" s="41"/>
      <c r="HTQ68" s="41"/>
      <c r="HTR68" s="41"/>
      <c r="HTS68" s="41"/>
      <c r="HTT68" s="41"/>
      <c r="HVP68" s="39"/>
      <c r="HVS68" s="41"/>
      <c r="HVT68" s="41"/>
      <c r="HVU68" s="41"/>
      <c r="HVV68" s="41"/>
      <c r="HVW68" s="41"/>
      <c r="HXS68" s="39"/>
      <c r="HXV68" s="41"/>
      <c r="HXW68" s="41"/>
      <c r="HXX68" s="41"/>
      <c r="HXY68" s="41"/>
      <c r="HXZ68" s="41"/>
      <c r="HZV68" s="39"/>
      <c r="HZY68" s="41"/>
      <c r="HZZ68" s="41"/>
      <c r="IAA68" s="41"/>
      <c r="IAB68" s="41"/>
      <c r="IAC68" s="41"/>
      <c r="IBY68" s="39"/>
      <c r="ICB68" s="41"/>
      <c r="ICC68" s="41"/>
      <c r="ICD68" s="41"/>
      <c r="ICE68" s="41"/>
      <c r="ICF68" s="41"/>
      <c r="IEB68" s="39"/>
      <c r="IEE68" s="41"/>
      <c r="IEF68" s="41"/>
      <c r="IEG68" s="41"/>
      <c r="IEH68" s="41"/>
      <c r="IEI68" s="41"/>
      <c r="IGE68" s="39"/>
      <c r="IGH68" s="41"/>
      <c r="IGI68" s="41"/>
      <c r="IGJ68" s="41"/>
      <c r="IGK68" s="41"/>
      <c r="IGL68" s="41"/>
      <c r="IIH68" s="39"/>
      <c r="IIK68" s="41"/>
      <c r="IIL68" s="41"/>
      <c r="IIM68" s="41"/>
      <c r="IIN68" s="41"/>
      <c r="IIO68" s="41"/>
      <c r="IKK68" s="39"/>
      <c r="IKN68" s="41"/>
      <c r="IKO68" s="41"/>
      <c r="IKP68" s="41"/>
      <c r="IKQ68" s="41"/>
      <c r="IKR68" s="41"/>
      <c r="IMN68" s="39"/>
      <c r="IMQ68" s="41"/>
      <c r="IMR68" s="41"/>
      <c r="IMS68" s="41"/>
      <c r="IMT68" s="41"/>
      <c r="IMU68" s="41"/>
      <c r="IOQ68" s="39"/>
      <c r="IOT68" s="41"/>
      <c r="IOU68" s="41"/>
      <c r="IOV68" s="41"/>
      <c r="IOW68" s="41"/>
      <c r="IOX68" s="41"/>
      <c r="IQT68" s="39"/>
      <c r="IQW68" s="41"/>
      <c r="IQX68" s="41"/>
      <c r="IQY68" s="41"/>
      <c r="IQZ68" s="41"/>
      <c r="IRA68" s="41"/>
      <c r="ISW68" s="39"/>
      <c r="ISZ68" s="41"/>
      <c r="ITA68" s="41"/>
      <c r="ITB68" s="41"/>
      <c r="ITC68" s="41"/>
      <c r="ITD68" s="41"/>
      <c r="IUZ68" s="39"/>
      <c r="IVC68" s="41"/>
      <c r="IVD68" s="41"/>
      <c r="IVE68" s="41"/>
      <c r="IVF68" s="41"/>
      <c r="IVG68" s="41"/>
      <c r="IXC68" s="39"/>
      <c r="IXF68" s="41"/>
      <c r="IXG68" s="41"/>
      <c r="IXH68" s="41"/>
      <c r="IXI68" s="41"/>
      <c r="IXJ68" s="41"/>
      <c r="IZF68" s="39"/>
      <c r="IZI68" s="41"/>
      <c r="IZJ68" s="41"/>
      <c r="IZK68" s="41"/>
      <c r="IZL68" s="41"/>
      <c r="IZM68" s="41"/>
      <c r="JBI68" s="39"/>
      <c r="JBL68" s="41"/>
      <c r="JBM68" s="41"/>
      <c r="JBN68" s="41"/>
      <c r="JBO68" s="41"/>
      <c r="JBP68" s="41"/>
      <c r="JDL68" s="39"/>
      <c r="JDO68" s="41"/>
      <c r="JDP68" s="41"/>
      <c r="JDQ68" s="41"/>
      <c r="JDR68" s="41"/>
      <c r="JDS68" s="41"/>
      <c r="JFO68" s="39"/>
      <c r="JFR68" s="41"/>
      <c r="JFS68" s="41"/>
      <c r="JFT68" s="41"/>
      <c r="JFU68" s="41"/>
      <c r="JFV68" s="41"/>
      <c r="JHR68" s="39"/>
      <c r="JHU68" s="41"/>
      <c r="JHV68" s="41"/>
      <c r="JHW68" s="41"/>
      <c r="JHX68" s="41"/>
      <c r="JHY68" s="41"/>
      <c r="JJU68" s="39"/>
      <c r="JJX68" s="41"/>
      <c r="JJY68" s="41"/>
      <c r="JJZ68" s="41"/>
      <c r="JKA68" s="41"/>
      <c r="JKB68" s="41"/>
      <c r="JLX68" s="39"/>
      <c r="JMA68" s="41"/>
      <c r="JMB68" s="41"/>
      <c r="JMC68" s="41"/>
      <c r="JMD68" s="41"/>
      <c r="JME68" s="41"/>
      <c r="JOA68" s="39"/>
      <c r="JOD68" s="41"/>
      <c r="JOE68" s="41"/>
      <c r="JOF68" s="41"/>
      <c r="JOG68" s="41"/>
      <c r="JOH68" s="41"/>
      <c r="JQD68" s="39"/>
      <c r="JQG68" s="41"/>
      <c r="JQH68" s="41"/>
      <c r="JQI68" s="41"/>
      <c r="JQJ68" s="41"/>
      <c r="JQK68" s="41"/>
      <c r="JSG68" s="39"/>
      <c r="JSJ68" s="41"/>
      <c r="JSK68" s="41"/>
      <c r="JSL68" s="41"/>
      <c r="JSM68" s="41"/>
      <c r="JSN68" s="41"/>
      <c r="JUJ68" s="39"/>
      <c r="JUM68" s="41"/>
      <c r="JUN68" s="41"/>
      <c r="JUO68" s="41"/>
      <c r="JUP68" s="41"/>
      <c r="JUQ68" s="41"/>
      <c r="JWM68" s="39"/>
      <c r="JWP68" s="41"/>
      <c r="JWQ68" s="41"/>
      <c r="JWR68" s="41"/>
      <c r="JWS68" s="41"/>
      <c r="JWT68" s="41"/>
      <c r="JYP68" s="39"/>
      <c r="JYS68" s="41"/>
      <c r="JYT68" s="41"/>
      <c r="JYU68" s="41"/>
      <c r="JYV68" s="41"/>
      <c r="JYW68" s="41"/>
      <c r="KAS68" s="39"/>
      <c r="KAV68" s="41"/>
      <c r="KAW68" s="41"/>
      <c r="KAX68" s="41"/>
      <c r="KAY68" s="41"/>
      <c r="KAZ68" s="41"/>
      <c r="KCV68" s="39"/>
      <c r="KCY68" s="41"/>
      <c r="KCZ68" s="41"/>
      <c r="KDA68" s="41"/>
      <c r="KDB68" s="41"/>
      <c r="KDC68" s="41"/>
      <c r="KEY68" s="39"/>
      <c r="KFB68" s="41"/>
      <c r="KFC68" s="41"/>
      <c r="KFD68" s="41"/>
      <c r="KFE68" s="41"/>
      <c r="KFF68" s="41"/>
      <c r="KHB68" s="39"/>
      <c r="KHE68" s="41"/>
      <c r="KHF68" s="41"/>
      <c r="KHG68" s="41"/>
      <c r="KHH68" s="41"/>
      <c r="KHI68" s="41"/>
      <c r="KJE68" s="39"/>
      <c r="KJH68" s="41"/>
      <c r="KJI68" s="41"/>
      <c r="KJJ68" s="41"/>
      <c r="KJK68" s="41"/>
      <c r="KJL68" s="41"/>
      <c r="KLH68" s="39"/>
      <c r="KLK68" s="41"/>
      <c r="KLL68" s="41"/>
      <c r="KLM68" s="41"/>
      <c r="KLN68" s="41"/>
      <c r="KLO68" s="41"/>
      <c r="KNK68" s="39"/>
      <c r="KNN68" s="41"/>
      <c r="KNO68" s="41"/>
      <c r="KNP68" s="41"/>
      <c r="KNQ68" s="41"/>
      <c r="KNR68" s="41"/>
      <c r="KPN68" s="39"/>
      <c r="KPQ68" s="41"/>
      <c r="KPR68" s="41"/>
      <c r="KPS68" s="41"/>
      <c r="KPT68" s="41"/>
      <c r="KPU68" s="41"/>
      <c r="KRQ68" s="39"/>
      <c r="KRT68" s="41"/>
      <c r="KRU68" s="41"/>
      <c r="KRV68" s="41"/>
      <c r="KRW68" s="41"/>
      <c r="KRX68" s="41"/>
      <c r="KTT68" s="39"/>
      <c r="KTW68" s="41"/>
      <c r="KTX68" s="41"/>
      <c r="KTY68" s="41"/>
      <c r="KTZ68" s="41"/>
      <c r="KUA68" s="41"/>
      <c r="KVW68" s="39"/>
      <c r="KVZ68" s="41"/>
      <c r="KWA68" s="41"/>
      <c r="KWB68" s="41"/>
      <c r="KWC68" s="41"/>
      <c r="KWD68" s="41"/>
      <c r="KXZ68" s="39"/>
      <c r="KYC68" s="41"/>
      <c r="KYD68" s="41"/>
      <c r="KYE68" s="41"/>
      <c r="KYF68" s="41"/>
      <c r="KYG68" s="41"/>
      <c r="LAC68" s="39"/>
      <c r="LAF68" s="41"/>
      <c r="LAG68" s="41"/>
      <c r="LAH68" s="41"/>
      <c r="LAI68" s="41"/>
      <c r="LAJ68" s="41"/>
      <c r="LCF68" s="39"/>
      <c r="LCI68" s="41"/>
      <c r="LCJ68" s="41"/>
      <c r="LCK68" s="41"/>
      <c r="LCL68" s="41"/>
      <c r="LCM68" s="41"/>
      <c r="LEI68" s="39"/>
      <c r="LEL68" s="41"/>
      <c r="LEM68" s="41"/>
      <c r="LEN68" s="41"/>
      <c r="LEO68" s="41"/>
      <c r="LEP68" s="41"/>
      <c r="LGL68" s="39"/>
      <c r="LGO68" s="41"/>
      <c r="LGP68" s="41"/>
      <c r="LGQ68" s="41"/>
      <c r="LGR68" s="41"/>
      <c r="LGS68" s="41"/>
      <c r="LIO68" s="39"/>
      <c r="LIR68" s="41"/>
      <c r="LIS68" s="41"/>
      <c r="LIT68" s="41"/>
      <c r="LIU68" s="41"/>
      <c r="LIV68" s="41"/>
      <c r="LKR68" s="39"/>
      <c r="LKU68" s="41"/>
      <c r="LKV68" s="41"/>
      <c r="LKW68" s="41"/>
      <c r="LKX68" s="41"/>
      <c r="LKY68" s="41"/>
      <c r="LMU68" s="39"/>
      <c r="LMX68" s="41"/>
      <c r="LMY68" s="41"/>
      <c r="LMZ68" s="41"/>
      <c r="LNA68" s="41"/>
      <c r="LNB68" s="41"/>
      <c r="LOX68" s="39"/>
      <c r="LPA68" s="41"/>
      <c r="LPB68" s="41"/>
      <c r="LPC68" s="41"/>
      <c r="LPD68" s="41"/>
      <c r="LPE68" s="41"/>
      <c r="LRA68" s="39"/>
      <c r="LRD68" s="41"/>
      <c r="LRE68" s="41"/>
      <c r="LRF68" s="41"/>
      <c r="LRG68" s="41"/>
      <c r="LRH68" s="41"/>
      <c r="LTD68" s="39"/>
      <c r="LTG68" s="41"/>
      <c r="LTH68" s="41"/>
      <c r="LTI68" s="41"/>
      <c r="LTJ68" s="41"/>
      <c r="LTK68" s="41"/>
      <c r="LVG68" s="39"/>
      <c r="LVJ68" s="41"/>
      <c r="LVK68" s="41"/>
      <c r="LVL68" s="41"/>
      <c r="LVM68" s="41"/>
      <c r="LVN68" s="41"/>
      <c r="LXJ68" s="39"/>
      <c r="LXM68" s="41"/>
      <c r="LXN68" s="41"/>
      <c r="LXO68" s="41"/>
      <c r="LXP68" s="41"/>
      <c r="LXQ68" s="41"/>
      <c r="LZM68" s="39"/>
      <c r="LZP68" s="41"/>
      <c r="LZQ68" s="41"/>
      <c r="LZR68" s="41"/>
      <c r="LZS68" s="41"/>
      <c r="LZT68" s="41"/>
      <c r="MBP68" s="39"/>
      <c r="MBS68" s="41"/>
      <c r="MBT68" s="41"/>
      <c r="MBU68" s="41"/>
      <c r="MBV68" s="41"/>
      <c r="MBW68" s="41"/>
      <c r="MDS68" s="39"/>
      <c r="MDV68" s="41"/>
      <c r="MDW68" s="41"/>
      <c r="MDX68" s="41"/>
      <c r="MDY68" s="41"/>
      <c r="MDZ68" s="41"/>
      <c r="MFV68" s="39"/>
      <c r="MFY68" s="41"/>
      <c r="MFZ68" s="41"/>
      <c r="MGA68" s="41"/>
      <c r="MGB68" s="41"/>
      <c r="MGC68" s="41"/>
      <c r="MHY68" s="39"/>
      <c r="MIB68" s="41"/>
      <c r="MIC68" s="41"/>
      <c r="MID68" s="41"/>
      <c r="MIE68" s="41"/>
      <c r="MIF68" s="41"/>
      <c r="MKB68" s="39"/>
      <c r="MKE68" s="41"/>
      <c r="MKF68" s="41"/>
      <c r="MKG68" s="41"/>
      <c r="MKH68" s="41"/>
      <c r="MKI68" s="41"/>
      <c r="MME68" s="39"/>
      <c r="MMH68" s="41"/>
      <c r="MMI68" s="41"/>
      <c r="MMJ68" s="41"/>
      <c r="MMK68" s="41"/>
      <c r="MML68" s="41"/>
      <c r="MOH68" s="39"/>
      <c r="MOK68" s="41"/>
      <c r="MOL68" s="41"/>
      <c r="MOM68" s="41"/>
      <c r="MON68" s="41"/>
      <c r="MOO68" s="41"/>
      <c r="MQK68" s="39"/>
      <c r="MQN68" s="41"/>
      <c r="MQO68" s="41"/>
      <c r="MQP68" s="41"/>
      <c r="MQQ68" s="41"/>
      <c r="MQR68" s="41"/>
      <c r="MSN68" s="39"/>
      <c r="MSQ68" s="41"/>
      <c r="MSR68" s="41"/>
      <c r="MSS68" s="41"/>
      <c r="MST68" s="41"/>
      <c r="MSU68" s="41"/>
      <c r="MUQ68" s="39"/>
      <c r="MUT68" s="41"/>
      <c r="MUU68" s="41"/>
      <c r="MUV68" s="41"/>
      <c r="MUW68" s="41"/>
      <c r="MUX68" s="41"/>
      <c r="MWT68" s="39"/>
      <c r="MWW68" s="41"/>
      <c r="MWX68" s="41"/>
      <c r="MWY68" s="41"/>
      <c r="MWZ68" s="41"/>
      <c r="MXA68" s="41"/>
      <c r="MYW68" s="39"/>
      <c r="MYZ68" s="41"/>
      <c r="MZA68" s="41"/>
      <c r="MZB68" s="41"/>
      <c r="MZC68" s="41"/>
      <c r="MZD68" s="41"/>
      <c r="NAZ68" s="39"/>
      <c r="NBC68" s="41"/>
      <c r="NBD68" s="41"/>
      <c r="NBE68" s="41"/>
      <c r="NBF68" s="41"/>
      <c r="NBG68" s="41"/>
      <c r="NDC68" s="39"/>
      <c r="NDF68" s="41"/>
      <c r="NDG68" s="41"/>
      <c r="NDH68" s="41"/>
      <c r="NDI68" s="41"/>
      <c r="NDJ68" s="41"/>
      <c r="NFF68" s="39"/>
      <c r="NFI68" s="41"/>
      <c r="NFJ68" s="41"/>
      <c r="NFK68" s="41"/>
      <c r="NFL68" s="41"/>
      <c r="NFM68" s="41"/>
      <c r="NHI68" s="39"/>
      <c r="NHL68" s="41"/>
      <c r="NHM68" s="41"/>
      <c r="NHN68" s="41"/>
      <c r="NHO68" s="41"/>
      <c r="NHP68" s="41"/>
      <c r="NJL68" s="39"/>
      <c r="NJO68" s="41"/>
      <c r="NJP68" s="41"/>
      <c r="NJQ68" s="41"/>
      <c r="NJR68" s="41"/>
      <c r="NJS68" s="41"/>
      <c r="NLO68" s="39"/>
      <c r="NLR68" s="41"/>
      <c r="NLS68" s="41"/>
      <c r="NLT68" s="41"/>
      <c r="NLU68" s="41"/>
      <c r="NLV68" s="41"/>
      <c r="NNR68" s="39"/>
      <c r="NNU68" s="41"/>
      <c r="NNV68" s="41"/>
      <c r="NNW68" s="41"/>
      <c r="NNX68" s="41"/>
      <c r="NNY68" s="41"/>
      <c r="NPU68" s="39"/>
      <c r="NPX68" s="41"/>
      <c r="NPY68" s="41"/>
      <c r="NPZ68" s="41"/>
      <c r="NQA68" s="41"/>
      <c r="NQB68" s="41"/>
      <c r="NRX68" s="39"/>
      <c r="NSA68" s="41"/>
      <c r="NSB68" s="41"/>
      <c r="NSC68" s="41"/>
      <c r="NSD68" s="41"/>
      <c r="NSE68" s="41"/>
      <c r="NUA68" s="39"/>
      <c r="NUD68" s="41"/>
      <c r="NUE68" s="41"/>
      <c r="NUF68" s="41"/>
      <c r="NUG68" s="41"/>
      <c r="NUH68" s="41"/>
      <c r="NWD68" s="39"/>
      <c r="NWG68" s="41"/>
      <c r="NWH68" s="41"/>
      <c r="NWI68" s="41"/>
      <c r="NWJ68" s="41"/>
      <c r="NWK68" s="41"/>
      <c r="NYG68" s="39"/>
      <c r="NYJ68" s="41"/>
      <c r="NYK68" s="41"/>
      <c r="NYL68" s="41"/>
      <c r="NYM68" s="41"/>
      <c r="NYN68" s="41"/>
      <c r="OAJ68" s="39"/>
      <c r="OAM68" s="41"/>
      <c r="OAN68" s="41"/>
      <c r="OAO68" s="41"/>
      <c r="OAP68" s="41"/>
      <c r="OAQ68" s="41"/>
      <c r="OCM68" s="39"/>
      <c r="OCP68" s="41"/>
      <c r="OCQ68" s="41"/>
      <c r="OCR68" s="41"/>
      <c r="OCS68" s="41"/>
      <c r="OCT68" s="41"/>
      <c r="OEP68" s="39"/>
      <c r="OES68" s="41"/>
      <c r="OET68" s="41"/>
      <c r="OEU68" s="41"/>
      <c r="OEV68" s="41"/>
      <c r="OEW68" s="41"/>
      <c r="OGS68" s="39"/>
      <c r="OGV68" s="41"/>
      <c r="OGW68" s="41"/>
      <c r="OGX68" s="41"/>
      <c r="OGY68" s="41"/>
      <c r="OGZ68" s="41"/>
      <c r="OIV68" s="39"/>
      <c r="OIY68" s="41"/>
      <c r="OIZ68" s="41"/>
      <c r="OJA68" s="41"/>
      <c r="OJB68" s="41"/>
      <c r="OJC68" s="41"/>
      <c r="OKY68" s="39"/>
      <c r="OLB68" s="41"/>
      <c r="OLC68" s="41"/>
      <c r="OLD68" s="41"/>
      <c r="OLE68" s="41"/>
      <c r="OLF68" s="41"/>
      <c r="ONB68" s="39"/>
      <c r="ONE68" s="41"/>
      <c r="ONF68" s="41"/>
      <c r="ONG68" s="41"/>
      <c r="ONH68" s="41"/>
      <c r="ONI68" s="41"/>
      <c r="OPE68" s="39"/>
      <c r="OPH68" s="41"/>
      <c r="OPI68" s="41"/>
      <c r="OPJ68" s="41"/>
      <c r="OPK68" s="41"/>
      <c r="OPL68" s="41"/>
      <c r="ORH68" s="39"/>
      <c r="ORK68" s="41"/>
      <c r="ORL68" s="41"/>
      <c r="ORM68" s="41"/>
      <c r="ORN68" s="41"/>
      <c r="ORO68" s="41"/>
      <c r="OTK68" s="39"/>
      <c r="OTN68" s="41"/>
      <c r="OTO68" s="41"/>
      <c r="OTP68" s="41"/>
      <c r="OTQ68" s="41"/>
      <c r="OTR68" s="41"/>
      <c r="OVN68" s="39"/>
      <c r="OVQ68" s="41"/>
      <c r="OVR68" s="41"/>
      <c r="OVS68" s="41"/>
      <c r="OVT68" s="41"/>
      <c r="OVU68" s="41"/>
      <c r="OXQ68" s="39"/>
      <c r="OXT68" s="41"/>
      <c r="OXU68" s="41"/>
      <c r="OXV68" s="41"/>
      <c r="OXW68" s="41"/>
      <c r="OXX68" s="41"/>
      <c r="OZT68" s="39"/>
      <c r="OZW68" s="41"/>
      <c r="OZX68" s="41"/>
      <c r="OZY68" s="41"/>
      <c r="OZZ68" s="41"/>
      <c r="PAA68" s="41"/>
      <c r="PBW68" s="39"/>
      <c r="PBZ68" s="41"/>
      <c r="PCA68" s="41"/>
      <c r="PCB68" s="41"/>
      <c r="PCC68" s="41"/>
      <c r="PCD68" s="41"/>
      <c r="PDZ68" s="39"/>
      <c r="PEC68" s="41"/>
      <c r="PED68" s="41"/>
      <c r="PEE68" s="41"/>
      <c r="PEF68" s="41"/>
      <c r="PEG68" s="41"/>
      <c r="PGC68" s="39"/>
      <c r="PGF68" s="41"/>
      <c r="PGG68" s="41"/>
      <c r="PGH68" s="41"/>
      <c r="PGI68" s="41"/>
      <c r="PGJ68" s="41"/>
      <c r="PIF68" s="39"/>
      <c r="PII68" s="41"/>
      <c r="PIJ68" s="41"/>
      <c r="PIK68" s="41"/>
      <c r="PIL68" s="41"/>
      <c r="PIM68" s="41"/>
      <c r="PKI68" s="39"/>
      <c r="PKL68" s="41"/>
      <c r="PKM68" s="41"/>
      <c r="PKN68" s="41"/>
      <c r="PKO68" s="41"/>
      <c r="PKP68" s="41"/>
      <c r="PML68" s="39"/>
      <c r="PMO68" s="41"/>
      <c r="PMP68" s="41"/>
      <c r="PMQ68" s="41"/>
      <c r="PMR68" s="41"/>
      <c r="PMS68" s="41"/>
      <c r="POO68" s="39"/>
      <c r="POR68" s="41"/>
      <c r="POS68" s="41"/>
      <c r="POT68" s="41"/>
      <c r="POU68" s="41"/>
      <c r="POV68" s="41"/>
      <c r="PQR68" s="39"/>
      <c r="PQU68" s="41"/>
      <c r="PQV68" s="41"/>
      <c r="PQW68" s="41"/>
      <c r="PQX68" s="41"/>
      <c r="PQY68" s="41"/>
      <c r="PSU68" s="39"/>
      <c r="PSX68" s="41"/>
      <c r="PSY68" s="41"/>
      <c r="PSZ68" s="41"/>
      <c r="PTA68" s="41"/>
      <c r="PTB68" s="41"/>
      <c r="PUX68" s="39"/>
      <c r="PVA68" s="41"/>
      <c r="PVB68" s="41"/>
      <c r="PVC68" s="41"/>
      <c r="PVD68" s="41"/>
      <c r="PVE68" s="41"/>
      <c r="PXA68" s="39"/>
      <c r="PXD68" s="41"/>
      <c r="PXE68" s="41"/>
      <c r="PXF68" s="41"/>
      <c r="PXG68" s="41"/>
      <c r="PXH68" s="41"/>
      <c r="PZD68" s="39"/>
      <c r="PZG68" s="41"/>
      <c r="PZH68" s="41"/>
      <c r="PZI68" s="41"/>
      <c r="PZJ68" s="41"/>
      <c r="PZK68" s="41"/>
      <c r="QBG68" s="39"/>
      <c r="QBJ68" s="41"/>
      <c r="QBK68" s="41"/>
      <c r="QBL68" s="41"/>
      <c r="QBM68" s="41"/>
      <c r="QBN68" s="41"/>
      <c r="QDJ68" s="39"/>
      <c r="QDM68" s="41"/>
      <c r="QDN68" s="41"/>
      <c r="QDO68" s="41"/>
      <c r="QDP68" s="41"/>
      <c r="QDQ68" s="41"/>
      <c r="QFM68" s="39"/>
      <c r="QFP68" s="41"/>
      <c r="QFQ68" s="41"/>
      <c r="QFR68" s="41"/>
      <c r="QFS68" s="41"/>
      <c r="QFT68" s="41"/>
      <c r="QHP68" s="39"/>
      <c r="QHS68" s="41"/>
      <c r="QHT68" s="41"/>
      <c r="QHU68" s="41"/>
      <c r="QHV68" s="41"/>
      <c r="QHW68" s="41"/>
      <c r="QJS68" s="39"/>
      <c r="QJV68" s="41"/>
      <c r="QJW68" s="41"/>
      <c r="QJX68" s="41"/>
      <c r="QJY68" s="41"/>
      <c r="QJZ68" s="41"/>
      <c r="QLV68" s="39"/>
      <c r="QLY68" s="41"/>
      <c r="QLZ68" s="41"/>
      <c r="QMA68" s="41"/>
      <c r="QMB68" s="41"/>
      <c r="QMC68" s="41"/>
      <c r="QNY68" s="39"/>
      <c r="QOB68" s="41"/>
      <c r="QOC68" s="41"/>
      <c r="QOD68" s="41"/>
      <c r="QOE68" s="41"/>
      <c r="QOF68" s="41"/>
      <c r="QQB68" s="39"/>
      <c r="QQE68" s="41"/>
      <c r="QQF68" s="41"/>
      <c r="QQG68" s="41"/>
      <c r="QQH68" s="41"/>
      <c r="QQI68" s="41"/>
      <c r="QSE68" s="39"/>
      <c r="QSH68" s="41"/>
      <c r="QSI68" s="41"/>
      <c r="QSJ68" s="41"/>
      <c r="QSK68" s="41"/>
      <c r="QSL68" s="41"/>
      <c r="QUH68" s="39"/>
      <c r="QUK68" s="41"/>
      <c r="QUL68" s="41"/>
      <c r="QUM68" s="41"/>
      <c r="QUN68" s="41"/>
      <c r="QUO68" s="41"/>
      <c r="QWK68" s="39"/>
      <c r="QWN68" s="41"/>
      <c r="QWO68" s="41"/>
      <c r="QWP68" s="41"/>
      <c r="QWQ68" s="41"/>
      <c r="QWR68" s="41"/>
      <c r="QYN68" s="39"/>
      <c r="QYQ68" s="41"/>
      <c r="QYR68" s="41"/>
      <c r="QYS68" s="41"/>
      <c r="QYT68" s="41"/>
      <c r="QYU68" s="41"/>
      <c r="RAQ68" s="39"/>
      <c r="RAT68" s="41"/>
      <c r="RAU68" s="41"/>
      <c r="RAV68" s="41"/>
      <c r="RAW68" s="41"/>
      <c r="RAX68" s="41"/>
      <c r="RCT68" s="39"/>
      <c r="RCW68" s="41"/>
      <c r="RCX68" s="41"/>
      <c r="RCY68" s="41"/>
      <c r="RCZ68" s="41"/>
      <c r="RDA68" s="41"/>
      <c r="REW68" s="39"/>
      <c r="REZ68" s="41"/>
      <c r="RFA68" s="41"/>
      <c r="RFB68" s="41"/>
      <c r="RFC68" s="41"/>
      <c r="RFD68" s="41"/>
      <c r="RGZ68" s="39"/>
      <c r="RHC68" s="41"/>
      <c r="RHD68" s="41"/>
      <c r="RHE68" s="41"/>
      <c r="RHF68" s="41"/>
      <c r="RHG68" s="41"/>
      <c r="RJC68" s="39"/>
      <c r="RJF68" s="41"/>
      <c r="RJG68" s="41"/>
      <c r="RJH68" s="41"/>
      <c r="RJI68" s="41"/>
      <c r="RJJ68" s="41"/>
      <c r="RLF68" s="39"/>
      <c r="RLI68" s="41"/>
      <c r="RLJ68" s="41"/>
      <c r="RLK68" s="41"/>
      <c r="RLL68" s="41"/>
      <c r="RLM68" s="41"/>
      <c r="RNI68" s="39"/>
      <c r="RNL68" s="41"/>
      <c r="RNM68" s="41"/>
      <c r="RNN68" s="41"/>
      <c r="RNO68" s="41"/>
      <c r="RNP68" s="41"/>
      <c r="RPL68" s="39"/>
      <c r="RPO68" s="41"/>
      <c r="RPP68" s="41"/>
      <c r="RPQ68" s="41"/>
      <c r="RPR68" s="41"/>
      <c r="RPS68" s="41"/>
      <c r="RRO68" s="39"/>
      <c r="RRR68" s="41"/>
      <c r="RRS68" s="41"/>
      <c r="RRT68" s="41"/>
      <c r="RRU68" s="41"/>
      <c r="RRV68" s="41"/>
      <c r="RTR68" s="39"/>
      <c r="RTU68" s="41"/>
      <c r="RTV68" s="41"/>
      <c r="RTW68" s="41"/>
      <c r="RTX68" s="41"/>
      <c r="RTY68" s="41"/>
      <c r="RVU68" s="39"/>
      <c r="RVX68" s="41"/>
      <c r="RVY68" s="41"/>
      <c r="RVZ68" s="41"/>
      <c r="RWA68" s="41"/>
      <c r="RWB68" s="41"/>
      <c r="RXX68" s="39"/>
      <c r="RYA68" s="41"/>
      <c r="RYB68" s="41"/>
      <c r="RYC68" s="41"/>
      <c r="RYD68" s="41"/>
      <c r="RYE68" s="41"/>
      <c r="SAA68" s="39"/>
      <c r="SAD68" s="41"/>
      <c r="SAE68" s="41"/>
      <c r="SAF68" s="41"/>
      <c r="SAG68" s="41"/>
      <c r="SAH68" s="41"/>
      <c r="SCD68" s="39"/>
      <c r="SCG68" s="41"/>
      <c r="SCH68" s="41"/>
      <c r="SCI68" s="41"/>
      <c r="SCJ68" s="41"/>
      <c r="SCK68" s="41"/>
      <c r="SEG68" s="39"/>
      <c r="SEJ68" s="41"/>
      <c r="SEK68" s="41"/>
      <c r="SEL68" s="41"/>
      <c r="SEM68" s="41"/>
      <c r="SEN68" s="41"/>
      <c r="SGJ68" s="39"/>
      <c r="SGM68" s="41"/>
      <c r="SGN68" s="41"/>
      <c r="SGO68" s="41"/>
      <c r="SGP68" s="41"/>
      <c r="SGQ68" s="41"/>
      <c r="SIM68" s="39"/>
      <c r="SIP68" s="41"/>
      <c r="SIQ68" s="41"/>
      <c r="SIR68" s="41"/>
      <c r="SIS68" s="41"/>
      <c r="SIT68" s="41"/>
      <c r="SKP68" s="39"/>
      <c r="SKS68" s="41"/>
      <c r="SKT68" s="41"/>
      <c r="SKU68" s="41"/>
      <c r="SKV68" s="41"/>
      <c r="SKW68" s="41"/>
      <c r="SMS68" s="39"/>
      <c r="SMV68" s="41"/>
      <c r="SMW68" s="41"/>
      <c r="SMX68" s="41"/>
      <c r="SMY68" s="41"/>
      <c r="SMZ68" s="41"/>
      <c r="SOV68" s="39"/>
      <c r="SOY68" s="41"/>
      <c r="SOZ68" s="41"/>
      <c r="SPA68" s="41"/>
      <c r="SPB68" s="41"/>
      <c r="SPC68" s="41"/>
      <c r="SQY68" s="39"/>
      <c r="SRB68" s="41"/>
      <c r="SRC68" s="41"/>
      <c r="SRD68" s="41"/>
      <c r="SRE68" s="41"/>
      <c r="SRF68" s="41"/>
      <c r="STB68" s="39"/>
      <c r="STE68" s="41"/>
      <c r="STF68" s="41"/>
      <c r="STG68" s="41"/>
      <c r="STH68" s="41"/>
      <c r="STI68" s="41"/>
      <c r="SVE68" s="39"/>
      <c r="SVH68" s="41"/>
      <c r="SVI68" s="41"/>
      <c r="SVJ68" s="41"/>
      <c r="SVK68" s="41"/>
      <c r="SVL68" s="41"/>
      <c r="SXH68" s="39"/>
      <c r="SXK68" s="41"/>
      <c r="SXL68" s="41"/>
      <c r="SXM68" s="41"/>
      <c r="SXN68" s="41"/>
      <c r="SXO68" s="41"/>
      <c r="SZK68" s="39"/>
      <c r="SZN68" s="41"/>
      <c r="SZO68" s="41"/>
      <c r="SZP68" s="41"/>
      <c r="SZQ68" s="41"/>
      <c r="SZR68" s="41"/>
      <c r="TBN68" s="39"/>
      <c r="TBQ68" s="41"/>
      <c r="TBR68" s="41"/>
      <c r="TBS68" s="41"/>
      <c r="TBT68" s="41"/>
      <c r="TBU68" s="41"/>
      <c r="TDQ68" s="39"/>
      <c r="TDT68" s="41"/>
      <c r="TDU68" s="41"/>
      <c r="TDV68" s="41"/>
      <c r="TDW68" s="41"/>
      <c r="TDX68" s="41"/>
      <c r="TFT68" s="39"/>
      <c r="TFW68" s="41"/>
      <c r="TFX68" s="41"/>
      <c r="TFY68" s="41"/>
      <c r="TFZ68" s="41"/>
      <c r="TGA68" s="41"/>
      <c r="THW68" s="39"/>
      <c r="THZ68" s="41"/>
      <c r="TIA68" s="41"/>
      <c r="TIB68" s="41"/>
      <c r="TIC68" s="41"/>
      <c r="TID68" s="41"/>
      <c r="TJZ68" s="39"/>
      <c r="TKC68" s="41"/>
      <c r="TKD68" s="41"/>
      <c r="TKE68" s="41"/>
      <c r="TKF68" s="41"/>
      <c r="TKG68" s="41"/>
      <c r="TMC68" s="39"/>
      <c r="TMF68" s="41"/>
      <c r="TMG68" s="41"/>
      <c r="TMH68" s="41"/>
      <c r="TMI68" s="41"/>
      <c r="TMJ68" s="41"/>
      <c r="TOF68" s="39"/>
      <c r="TOI68" s="41"/>
      <c r="TOJ68" s="41"/>
      <c r="TOK68" s="41"/>
      <c r="TOL68" s="41"/>
      <c r="TOM68" s="41"/>
      <c r="TQI68" s="39"/>
      <c r="TQL68" s="41"/>
      <c r="TQM68" s="41"/>
      <c r="TQN68" s="41"/>
      <c r="TQO68" s="41"/>
      <c r="TQP68" s="41"/>
      <c r="TSL68" s="39"/>
      <c r="TSO68" s="41"/>
      <c r="TSP68" s="41"/>
      <c r="TSQ68" s="41"/>
      <c r="TSR68" s="41"/>
      <c r="TSS68" s="41"/>
      <c r="TUO68" s="39"/>
      <c r="TUR68" s="41"/>
      <c r="TUS68" s="41"/>
      <c r="TUT68" s="41"/>
      <c r="TUU68" s="41"/>
      <c r="TUV68" s="41"/>
      <c r="TWR68" s="39"/>
      <c r="TWU68" s="41"/>
      <c r="TWV68" s="41"/>
      <c r="TWW68" s="41"/>
      <c r="TWX68" s="41"/>
      <c r="TWY68" s="41"/>
      <c r="TYU68" s="39"/>
      <c r="TYX68" s="41"/>
      <c r="TYY68" s="41"/>
      <c r="TYZ68" s="41"/>
      <c r="TZA68" s="41"/>
      <c r="TZB68" s="41"/>
      <c r="UAX68" s="39"/>
      <c r="UBA68" s="41"/>
      <c r="UBB68" s="41"/>
      <c r="UBC68" s="41"/>
      <c r="UBD68" s="41"/>
      <c r="UBE68" s="41"/>
      <c r="UDA68" s="39"/>
      <c r="UDD68" s="41"/>
      <c r="UDE68" s="41"/>
      <c r="UDF68" s="41"/>
      <c r="UDG68" s="41"/>
      <c r="UDH68" s="41"/>
      <c r="UFD68" s="39"/>
      <c r="UFG68" s="41"/>
      <c r="UFH68" s="41"/>
      <c r="UFI68" s="41"/>
      <c r="UFJ68" s="41"/>
      <c r="UFK68" s="41"/>
      <c r="UHG68" s="39"/>
      <c r="UHJ68" s="41"/>
      <c r="UHK68" s="41"/>
      <c r="UHL68" s="41"/>
      <c r="UHM68" s="41"/>
      <c r="UHN68" s="41"/>
      <c r="UJJ68" s="39"/>
      <c r="UJM68" s="41"/>
      <c r="UJN68" s="41"/>
      <c r="UJO68" s="41"/>
      <c r="UJP68" s="41"/>
      <c r="UJQ68" s="41"/>
      <c r="ULM68" s="39"/>
      <c r="ULP68" s="41"/>
      <c r="ULQ68" s="41"/>
      <c r="ULR68" s="41"/>
      <c r="ULS68" s="41"/>
      <c r="ULT68" s="41"/>
      <c r="UNP68" s="39"/>
      <c r="UNS68" s="41"/>
      <c r="UNT68" s="41"/>
      <c r="UNU68" s="41"/>
      <c r="UNV68" s="41"/>
      <c r="UNW68" s="41"/>
      <c r="UPS68" s="39"/>
      <c r="UPV68" s="41"/>
      <c r="UPW68" s="41"/>
      <c r="UPX68" s="41"/>
      <c r="UPY68" s="41"/>
      <c r="UPZ68" s="41"/>
      <c r="URV68" s="39"/>
      <c r="URY68" s="41"/>
      <c r="URZ68" s="41"/>
      <c r="USA68" s="41"/>
      <c r="USB68" s="41"/>
      <c r="USC68" s="41"/>
      <c r="UTY68" s="39"/>
      <c r="UUB68" s="41"/>
      <c r="UUC68" s="41"/>
      <c r="UUD68" s="41"/>
      <c r="UUE68" s="41"/>
      <c r="UUF68" s="41"/>
      <c r="UWB68" s="39"/>
      <c r="UWE68" s="41"/>
      <c r="UWF68" s="41"/>
      <c r="UWG68" s="41"/>
      <c r="UWH68" s="41"/>
      <c r="UWI68" s="41"/>
      <c r="UYE68" s="39"/>
      <c r="UYH68" s="41"/>
      <c r="UYI68" s="41"/>
      <c r="UYJ68" s="41"/>
      <c r="UYK68" s="41"/>
      <c r="UYL68" s="41"/>
      <c r="VAH68" s="39"/>
      <c r="VAK68" s="41"/>
      <c r="VAL68" s="41"/>
      <c r="VAM68" s="41"/>
      <c r="VAN68" s="41"/>
      <c r="VAO68" s="41"/>
      <c r="VCK68" s="39"/>
      <c r="VCN68" s="41"/>
      <c r="VCO68" s="41"/>
      <c r="VCP68" s="41"/>
      <c r="VCQ68" s="41"/>
      <c r="VCR68" s="41"/>
      <c r="VEN68" s="39"/>
      <c r="VEQ68" s="41"/>
      <c r="VER68" s="41"/>
      <c r="VES68" s="41"/>
      <c r="VET68" s="41"/>
      <c r="VEU68" s="41"/>
      <c r="VGQ68" s="39"/>
      <c r="VGT68" s="41"/>
      <c r="VGU68" s="41"/>
      <c r="VGV68" s="41"/>
      <c r="VGW68" s="41"/>
      <c r="VGX68" s="41"/>
      <c r="VIT68" s="39"/>
      <c r="VIW68" s="41"/>
      <c r="VIX68" s="41"/>
      <c r="VIY68" s="41"/>
      <c r="VIZ68" s="41"/>
      <c r="VJA68" s="41"/>
      <c r="VKW68" s="39"/>
      <c r="VKZ68" s="41"/>
      <c r="VLA68" s="41"/>
      <c r="VLB68" s="41"/>
      <c r="VLC68" s="41"/>
      <c r="VLD68" s="41"/>
      <c r="VMZ68" s="39"/>
      <c r="VNC68" s="41"/>
      <c r="VND68" s="41"/>
      <c r="VNE68" s="41"/>
      <c r="VNF68" s="41"/>
      <c r="VNG68" s="41"/>
      <c r="VPC68" s="39"/>
      <c r="VPF68" s="41"/>
      <c r="VPG68" s="41"/>
      <c r="VPH68" s="41"/>
      <c r="VPI68" s="41"/>
      <c r="VPJ68" s="41"/>
      <c r="VRF68" s="39"/>
      <c r="VRI68" s="41"/>
      <c r="VRJ68" s="41"/>
      <c r="VRK68" s="41"/>
      <c r="VRL68" s="41"/>
      <c r="VRM68" s="41"/>
      <c r="VTI68" s="39"/>
      <c r="VTL68" s="41"/>
      <c r="VTM68" s="41"/>
      <c r="VTN68" s="41"/>
      <c r="VTO68" s="41"/>
      <c r="VTP68" s="41"/>
      <c r="VVL68" s="39"/>
      <c r="VVO68" s="41"/>
      <c r="VVP68" s="41"/>
      <c r="VVQ68" s="41"/>
      <c r="VVR68" s="41"/>
      <c r="VVS68" s="41"/>
      <c r="VXO68" s="39"/>
      <c r="VXR68" s="41"/>
      <c r="VXS68" s="41"/>
      <c r="VXT68" s="41"/>
      <c r="VXU68" s="41"/>
      <c r="VXV68" s="41"/>
      <c r="VZR68" s="39"/>
      <c r="VZU68" s="41"/>
      <c r="VZV68" s="41"/>
      <c r="VZW68" s="41"/>
      <c r="VZX68" s="41"/>
      <c r="VZY68" s="41"/>
      <c r="WBU68" s="39"/>
      <c r="WBX68" s="41"/>
      <c r="WBY68" s="41"/>
      <c r="WBZ68" s="41"/>
      <c r="WCA68" s="41"/>
      <c r="WCB68" s="41"/>
      <c r="WDX68" s="39"/>
      <c r="WEA68" s="41"/>
      <c r="WEB68" s="41"/>
      <c r="WEC68" s="41"/>
      <c r="WED68" s="41"/>
      <c r="WEE68" s="41"/>
      <c r="WGA68" s="39"/>
      <c r="WGD68" s="41"/>
      <c r="WGE68" s="41"/>
      <c r="WGF68" s="41"/>
      <c r="WGG68" s="41"/>
      <c r="WGH68" s="41"/>
      <c r="WID68" s="39"/>
      <c r="WIG68" s="41"/>
      <c r="WIH68" s="41"/>
      <c r="WII68" s="41"/>
      <c r="WIJ68" s="41"/>
      <c r="WIK68" s="41"/>
      <c r="WKG68" s="39"/>
      <c r="WKJ68" s="41"/>
      <c r="WKK68" s="41"/>
      <c r="WKL68" s="41"/>
      <c r="WKM68" s="41"/>
      <c r="WKN68" s="41"/>
      <c r="WMJ68" s="39"/>
      <c r="WMM68" s="41"/>
      <c r="WMN68" s="41"/>
      <c r="WMO68" s="41"/>
      <c r="WMP68" s="41"/>
      <c r="WMQ68" s="41"/>
      <c r="WOM68" s="39"/>
      <c r="WOP68" s="41"/>
      <c r="WOQ68" s="41"/>
      <c r="WOR68" s="41"/>
      <c r="WOS68" s="41"/>
      <c r="WOT68" s="41"/>
      <c r="WQP68" s="39"/>
      <c r="WQS68" s="41"/>
      <c r="WQT68" s="41"/>
      <c r="WQU68" s="41"/>
      <c r="WQV68" s="41"/>
      <c r="WQW68" s="41"/>
      <c r="WSS68" s="39"/>
      <c r="WSV68" s="41"/>
      <c r="WSW68" s="41"/>
      <c r="WSX68" s="41"/>
      <c r="WSY68" s="41"/>
      <c r="WSZ68" s="41"/>
      <c r="WUV68" s="39"/>
      <c r="WUY68" s="41"/>
      <c r="WUZ68" s="41"/>
      <c r="WVA68" s="41"/>
      <c r="WVB68" s="41"/>
      <c r="WVC68" s="41"/>
      <c r="WWY68" s="39"/>
      <c r="WXB68" s="41"/>
      <c r="WXC68" s="41"/>
      <c r="WXD68" s="41"/>
      <c r="WXE68" s="41"/>
      <c r="WXF68" s="41"/>
      <c r="WZB68" s="39"/>
      <c r="WZE68" s="41"/>
      <c r="WZF68" s="41"/>
      <c r="WZG68" s="41"/>
      <c r="WZH68" s="41"/>
      <c r="WZI68" s="41"/>
      <c r="XBE68" s="39"/>
      <c r="XBH68" s="41"/>
      <c r="XBI68" s="41"/>
      <c r="XBJ68" s="41"/>
      <c r="XBK68" s="41"/>
      <c r="XBL68" s="41"/>
      <c r="XDH68" s="39"/>
      <c r="XDK68" s="41"/>
      <c r="XDL68" s="41"/>
      <c r="XDM68" s="41"/>
      <c r="XDN68" s="41"/>
      <c r="XDO68" s="41"/>
    </row>
    <row r="69" spans="1:998 1046:2043 2091:3033 3081:4078 4126:6113 6161:7158 7206:8148 8196:9193 9241:10238 10286:11228 11276:12273 12321:13311 13314:14308 14356:15353 15401:16343" s="40" customFormat="1" ht="15" customHeight="1" x14ac:dyDescent="0.25">
      <c r="A69" s="22" t="s">
        <v>539</v>
      </c>
      <c r="B69" s="23">
        <v>500</v>
      </c>
      <c r="C69" s="23">
        <v>38</v>
      </c>
      <c r="D69" s="24">
        <v>30</v>
      </c>
      <c r="E69" s="24" t="s">
        <v>469</v>
      </c>
      <c r="F69" s="24">
        <v>0</v>
      </c>
      <c r="G69" s="24">
        <f t="shared" si="18"/>
        <v>456</v>
      </c>
      <c r="H69" s="24">
        <f t="shared" si="19"/>
        <v>235</v>
      </c>
      <c r="I69" s="23">
        <f t="shared" si="20"/>
        <v>223</v>
      </c>
      <c r="J69" s="23">
        <f t="shared" si="21"/>
        <v>22.5</v>
      </c>
      <c r="K69" s="23">
        <v>1.625</v>
      </c>
      <c r="L69" s="23">
        <v>16</v>
      </c>
      <c r="M69" s="23">
        <v>28</v>
      </c>
      <c r="N69" s="23">
        <f t="shared" si="22"/>
        <v>6.4285714285714288</v>
      </c>
      <c r="O69" s="23">
        <f t="shared" si="23"/>
        <v>28</v>
      </c>
      <c r="P69" s="23">
        <f t="shared" si="24"/>
        <v>56</v>
      </c>
      <c r="Q69" s="23">
        <f t="shared" si="25"/>
        <v>56</v>
      </c>
      <c r="R69" s="23">
        <f t="shared" si="26"/>
        <v>28</v>
      </c>
      <c r="BD69" s="39"/>
      <c r="BG69" s="41"/>
      <c r="BH69" s="41"/>
      <c r="BI69" s="41"/>
      <c r="BJ69" s="41"/>
      <c r="BK69" s="41"/>
      <c r="DG69" s="39"/>
      <c r="DJ69" s="41"/>
      <c r="DK69" s="41"/>
      <c r="DL69" s="41"/>
      <c r="DM69" s="41"/>
      <c r="DN69" s="41"/>
      <c r="FJ69" s="39"/>
      <c r="FM69" s="41"/>
      <c r="FN69" s="41"/>
      <c r="FO69" s="41"/>
      <c r="FP69" s="41"/>
      <c r="FQ69" s="41"/>
      <c r="HM69" s="39"/>
      <c r="HP69" s="41"/>
      <c r="HQ69" s="41"/>
      <c r="HR69" s="41"/>
      <c r="HS69" s="41"/>
      <c r="HT69" s="41"/>
      <c r="JP69" s="39"/>
      <c r="JS69" s="41"/>
      <c r="JT69" s="41"/>
      <c r="JU69" s="41"/>
      <c r="JV69" s="41"/>
      <c r="JW69" s="41"/>
      <c r="LS69" s="39"/>
      <c r="LV69" s="41"/>
      <c r="LW69" s="41"/>
      <c r="LX69" s="41"/>
      <c r="LY69" s="41"/>
      <c r="LZ69" s="41"/>
      <c r="NV69" s="39"/>
      <c r="NY69" s="41"/>
      <c r="NZ69" s="41"/>
      <c r="OA69" s="41"/>
      <c r="OB69" s="41"/>
      <c r="OC69" s="41"/>
      <c r="PY69" s="39"/>
      <c r="QB69" s="41"/>
      <c r="QC69" s="41"/>
      <c r="QD69" s="41"/>
      <c r="QE69" s="41"/>
      <c r="QF69" s="41"/>
      <c r="SB69" s="39"/>
      <c r="SE69" s="41"/>
      <c r="SF69" s="41"/>
      <c r="SG69" s="41"/>
      <c r="SH69" s="41"/>
      <c r="SI69" s="41"/>
      <c r="UE69" s="39"/>
      <c r="UH69" s="41"/>
      <c r="UI69" s="41"/>
      <c r="UJ69" s="41"/>
      <c r="UK69" s="41"/>
      <c r="UL69" s="41"/>
      <c r="WH69" s="39"/>
      <c r="WK69" s="41"/>
      <c r="WL69" s="41"/>
      <c r="WM69" s="41"/>
      <c r="WN69" s="41"/>
      <c r="WO69" s="41"/>
      <c r="YK69" s="39"/>
      <c r="YN69" s="41"/>
      <c r="YO69" s="41"/>
      <c r="YP69" s="41"/>
      <c r="YQ69" s="41"/>
      <c r="YR69" s="41"/>
      <c r="AAN69" s="39"/>
      <c r="AAQ69" s="41"/>
      <c r="AAR69" s="41"/>
      <c r="AAS69" s="41"/>
      <c r="AAT69" s="41"/>
      <c r="AAU69" s="41"/>
      <c r="ACQ69" s="39"/>
      <c r="ACT69" s="41"/>
      <c r="ACU69" s="41"/>
      <c r="ACV69" s="41"/>
      <c r="ACW69" s="41"/>
      <c r="ACX69" s="41"/>
      <c r="AET69" s="39"/>
      <c r="AEW69" s="41"/>
      <c r="AEX69" s="41"/>
      <c r="AEY69" s="41"/>
      <c r="AEZ69" s="41"/>
      <c r="AFA69" s="41"/>
      <c r="AGW69" s="39"/>
      <c r="AGZ69" s="41"/>
      <c r="AHA69" s="41"/>
      <c r="AHB69" s="41"/>
      <c r="AHC69" s="41"/>
      <c r="AHD69" s="41"/>
      <c r="AIZ69" s="39"/>
      <c r="AJC69" s="41"/>
      <c r="AJD69" s="41"/>
      <c r="AJE69" s="41"/>
      <c r="AJF69" s="41"/>
      <c r="AJG69" s="41"/>
      <c r="ALC69" s="39"/>
      <c r="ALF69" s="41"/>
      <c r="ALG69" s="41"/>
      <c r="ALH69" s="41"/>
      <c r="ALI69" s="41"/>
      <c r="ALJ69" s="41"/>
      <c r="ANF69" s="39"/>
      <c r="ANI69" s="41"/>
      <c r="ANJ69" s="41"/>
      <c r="ANK69" s="41"/>
      <c r="ANL69" s="41"/>
      <c r="ANM69" s="41"/>
      <c r="API69" s="39"/>
      <c r="APL69" s="41"/>
      <c r="APM69" s="41"/>
      <c r="APN69" s="41"/>
      <c r="APO69" s="41"/>
      <c r="APP69" s="41"/>
      <c r="ARL69" s="39"/>
      <c r="ARO69" s="41"/>
      <c r="ARP69" s="41"/>
      <c r="ARQ69" s="41"/>
      <c r="ARR69" s="41"/>
      <c r="ARS69" s="41"/>
      <c r="ATO69" s="39"/>
      <c r="ATR69" s="41"/>
      <c r="ATS69" s="41"/>
      <c r="ATT69" s="41"/>
      <c r="ATU69" s="41"/>
      <c r="ATV69" s="41"/>
      <c r="AVR69" s="39"/>
      <c r="AVU69" s="41"/>
      <c r="AVV69" s="41"/>
      <c r="AVW69" s="41"/>
      <c r="AVX69" s="41"/>
      <c r="AVY69" s="41"/>
      <c r="AXU69" s="39"/>
      <c r="AXX69" s="41"/>
      <c r="AXY69" s="41"/>
      <c r="AXZ69" s="41"/>
      <c r="AYA69" s="41"/>
      <c r="AYB69" s="41"/>
      <c r="AZX69" s="39"/>
      <c r="BAA69" s="41"/>
      <c r="BAB69" s="41"/>
      <c r="BAC69" s="41"/>
      <c r="BAD69" s="41"/>
      <c r="BAE69" s="41"/>
      <c r="BCA69" s="39"/>
      <c r="BCD69" s="41"/>
      <c r="BCE69" s="41"/>
      <c r="BCF69" s="41"/>
      <c r="BCG69" s="41"/>
      <c r="BCH69" s="41"/>
      <c r="BED69" s="39"/>
      <c r="BEG69" s="41"/>
      <c r="BEH69" s="41"/>
      <c r="BEI69" s="41"/>
      <c r="BEJ69" s="41"/>
      <c r="BEK69" s="41"/>
      <c r="BGG69" s="39"/>
      <c r="BGJ69" s="41"/>
      <c r="BGK69" s="41"/>
      <c r="BGL69" s="41"/>
      <c r="BGM69" s="41"/>
      <c r="BGN69" s="41"/>
      <c r="BIJ69" s="39"/>
      <c r="BIM69" s="41"/>
      <c r="BIN69" s="41"/>
      <c r="BIO69" s="41"/>
      <c r="BIP69" s="41"/>
      <c r="BIQ69" s="41"/>
      <c r="BKM69" s="39"/>
      <c r="BKP69" s="41"/>
      <c r="BKQ69" s="41"/>
      <c r="BKR69" s="41"/>
      <c r="BKS69" s="41"/>
      <c r="BKT69" s="41"/>
      <c r="BMP69" s="39"/>
      <c r="BMS69" s="41"/>
      <c r="BMT69" s="41"/>
      <c r="BMU69" s="41"/>
      <c r="BMV69" s="41"/>
      <c r="BMW69" s="41"/>
      <c r="BOS69" s="39"/>
      <c r="BOV69" s="41"/>
      <c r="BOW69" s="41"/>
      <c r="BOX69" s="41"/>
      <c r="BOY69" s="41"/>
      <c r="BOZ69" s="41"/>
      <c r="BQV69" s="39"/>
      <c r="BQY69" s="41"/>
      <c r="BQZ69" s="41"/>
      <c r="BRA69" s="41"/>
      <c r="BRB69" s="41"/>
      <c r="BRC69" s="41"/>
      <c r="BSY69" s="39"/>
      <c r="BTB69" s="41"/>
      <c r="BTC69" s="41"/>
      <c r="BTD69" s="41"/>
      <c r="BTE69" s="41"/>
      <c r="BTF69" s="41"/>
      <c r="BVB69" s="39"/>
      <c r="BVE69" s="41"/>
      <c r="BVF69" s="41"/>
      <c r="BVG69" s="41"/>
      <c r="BVH69" s="41"/>
      <c r="BVI69" s="41"/>
      <c r="BXE69" s="39"/>
      <c r="BXH69" s="41"/>
      <c r="BXI69" s="41"/>
      <c r="BXJ69" s="41"/>
      <c r="BXK69" s="41"/>
      <c r="BXL69" s="41"/>
      <c r="BZH69" s="39"/>
      <c r="BZK69" s="41"/>
      <c r="BZL69" s="41"/>
      <c r="BZM69" s="41"/>
      <c r="BZN69" s="41"/>
      <c r="BZO69" s="41"/>
      <c r="CBK69" s="39"/>
      <c r="CBN69" s="41"/>
      <c r="CBO69" s="41"/>
      <c r="CBP69" s="41"/>
      <c r="CBQ69" s="41"/>
      <c r="CBR69" s="41"/>
      <c r="CDN69" s="39"/>
      <c r="CDQ69" s="41"/>
      <c r="CDR69" s="41"/>
      <c r="CDS69" s="41"/>
      <c r="CDT69" s="41"/>
      <c r="CDU69" s="41"/>
      <c r="CFQ69" s="39"/>
      <c r="CFT69" s="41"/>
      <c r="CFU69" s="41"/>
      <c r="CFV69" s="41"/>
      <c r="CFW69" s="41"/>
      <c r="CFX69" s="41"/>
      <c r="CHT69" s="39"/>
      <c r="CHW69" s="41"/>
      <c r="CHX69" s="41"/>
      <c r="CHY69" s="41"/>
      <c r="CHZ69" s="41"/>
      <c r="CIA69" s="41"/>
      <c r="CJW69" s="39"/>
      <c r="CJZ69" s="41"/>
      <c r="CKA69" s="41"/>
      <c r="CKB69" s="41"/>
      <c r="CKC69" s="41"/>
      <c r="CKD69" s="41"/>
      <c r="CLZ69" s="39"/>
      <c r="CMC69" s="41"/>
      <c r="CMD69" s="41"/>
      <c r="CME69" s="41"/>
      <c r="CMF69" s="41"/>
      <c r="CMG69" s="41"/>
      <c r="COC69" s="39"/>
      <c r="COF69" s="41"/>
      <c r="COG69" s="41"/>
      <c r="COH69" s="41"/>
      <c r="COI69" s="41"/>
      <c r="COJ69" s="41"/>
      <c r="CQF69" s="39"/>
      <c r="CQI69" s="41"/>
      <c r="CQJ69" s="41"/>
      <c r="CQK69" s="41"/>
      <c r="CQL69" s="41"/>
      <c r="CQM69" s="41"/>
      <c r="CSI69" s="39"/>
      <c r="CSL69" s="41"/>
      <c r="CSM69" s="41"/>
      <c r="CSN69" s="41"/>
      <c r="CSO69" s="41"/>
      <c r="CSP69" s="41"/>
      <c r="CUL69" s="39"/>
      <c r="CUO69" s="41"/>
      <c r="CUP69" s="41"/>
      <c r="CUQ69" s="41"/>
      <c r="CUR69" s="41"/>
      <c r="CUS69" s="41"/>
      <c r="CWO69" s="39"/>
      <c r="CWR69" s="41"/>
      <c r="CWS69" s="41"/>
      <c r="CWT69" s="41"/>
      <c r="CWU69" s="41"/>
      <c r="CWV69" s="41"/>
      <c r="CYR69" s="39"/>
      <c r="CYU69" s="41"/>
      <c r="CYV69" s="41"/>
      <c r="CYW69" s="41"/>
      <c r="CYX69" s="41"/>
      <c r="CYY69" s="41"/>
      <c r="DAU69" s="39"/>
      <c r="DAX69" s="41"/>
      <c r="DAY69" s="41"/>
      <c r="DAZ69" s="41"/>
      <c r="DBA69" s="41"/>
      <c r="DBB69" s="41"/>
      <c r="DCX69" s="39"/>
      <c r="DDA69" s="41"/>
      <c r="DDB69" s="41"/>
      <c r="DDC69" s="41"/>
      <c r="DDD69" s="41"/>
      <c r="DDE69" s="41"/>
      <c r="DFA69" s="39"/>
      <c r="DFD69" s="41"/>
      <c r="DFE69" s="41"/>
      <c r="DFF69" s="41"/>
      <c r="DFG69" s="41"/>
      <c r="DFH69" s="41"/>
      <c r="DHD69" s="39"/>
      <c r="DHG69" s="41"/>
      <c r="DHH69" s="41"/>
      <c r="DHI69" s="41"/>
      <c r="DHJ69" s="41"/>
      <c r="DHK69" s="41"/>
      <c r="DJG69" s="39"/>
      <c r="DJJ69" s="41"/>
      <c r="DJK69" s="41"/>
      <c r="DJL69" s="41"/>
      <c r="DJM69" s="41"/>
      <c r="DJN69" s="41"/>
      <c r="DLJ69" s="39"/>
      <c r="DLM69" s="41"/>
      <c r="DLN69" s="41"/>
      <c r="DLO69" s="41"/>
      <c r="DLP69" s="41"/>
      <c r="DLQ69" s="41"/>
      <c r="DNM69" s="39"/>
      <c r="DNP69" s="41"/>
      <c r="DNQ69" s="41"/>
      <c r="DNR69" s="41"/>
      <c r="DNS69" s="41"/>
      <c r="DNT69" s="41"/>
      <c r="DPP69" s="39"/>
      <c r="DPS69" s="41"/>
      <c r="DPT69" s="41"/>
      <c r="DPU69" s="41"/>
      <c r="DPV69" s="41"/>
      <c r="DPW69" s="41"/>
      <c r="DRS69" s="39"/>
      <c r="DRV69" s="41"/>
      <c r="DRW69" s="41"/>
      <c r="DRX69" s="41"/>
      <c r="DRY69" s="41"/>
      <c r="DRZ69" s="41"/>
      <c r="DTV69" s="39"/>
      <c r="DTY69" s="41"/>
      <c r="DTZ69" s="41"/>
      <c r="DUA69" s="41"/>
      <c r="DUB69" s="41"/>
      <c r="DUC69" s="41"/>
      <c r="DVY69" s="39"/>
      <c r="DWB69" s="41"/>
      <c r="DWC69" s="41"/>
      <c r="DWD69" s="41"/>
      <c r="DWE69" s="41"/>
      <c r="DWF69" s="41"/>
      <c r="DYB69" s="39"/>
      <c r="DYE69" s="41"/>
      <c r="DYF69" s="41"/>
      <c r="DYG69" s="41"/>
      <c r="DYH69" s="41"/>
      <c r="DYI69" s="41"/>
      <c r="EAE69" s="39"/>
      <c r="EAH69" s="41"/>
      <c r="EAI69" s="41"/>
      <c r="EAJ69" s="41"/>
      <c r="EAK69" s="41"/>
      <c r="EAL69" s="41"/>
      <c r="ECH69" s="39"/>
      <c r="ECK69" s="41"/>
      <c r="ECL69" s="41"/>
      <c r="ECM69" s="41"/>
      <c r="ECN69" s="41"/>
      <c r="ECO69" s="41"/>
      <c r="EEK69" s="39"/>
      <c r="EEN69" s="41"/>
      <c r="EEO69" s="41"/>
      <c r="EEP69" s="41"/>
      <c r="EEQ69" s="41"/>
      <c r="EER69" s="41"/>
      <c r="EGN69" s="39"/>
      <c r="EGQ69" s="41"/>
      <c r="EGR69" s="41"/>
      <c r="EGS69" s="41"/>
      <c r="EGT69" s="41"/>
      <c r="EGU69" s="41"/>
      <c r="EIQ69" s="39"/>
      <c r="EIT69" s="41"/>
      <c r="EIU69" s="41"/>
      <c r="EIV69" s="41"/>
      <c r="EIW69" s="41"/>
      <c r="EIX69" s="41"/>
      <c r="EKT69" s="39"/>
      <c r="EKW69" s="41"/>
      <c r="EKX69" s="41"/>
      <c r="EKY69" s="41"/>
      <c r="EKZ69" s="41"/>
      <c r="ELA69" s="41"/>
      <c r="EMW69" s="39"/>
      <c r="EMZ69" s="41"/>
      <c r="ENA69" s="41"/>
      <c r="ENB69" s="41"/>
      <c r="ENC69" s="41"/>
      <c r="END69" s="41"/>
      <c r="EOZ69" s="39"/>
      <c r="EPC69" s="41"/>
      <c r="EPD69" s="41"/>
      <c r="EPE69" s="41"/>
      <c r="EPF69" s="41"/>
      <c r="EPG69" s="41"/>
      <c r="ERC69" s="39"/>
      <c r="ERF69" s="41"/>
      <c r="ERG69" s="41"/>
      <c r="ERH69" s="41"/>
      <c r="ERI69" s="41"/>
      <c r="ERJ69" s="41"/>
      <c r="ETF69" s="39"/>
      <c r="ETI69" s="41"/>
      <c r="ETJ69" s="41"/>
      <c r="ETK69" s="41"/>
      <c r="ETL69" s="41"/>
      <c r="ETM69" s="41"/>
      <c r="EVI69" s="39"/>
      <c r="EVL69" s="41"/>
      <c r="EVM69" s="41"/>
      <c r="EVN69" s="41"/>
      <c r="EVO69" s="41"/>
      <c r="EVP69" s="41"/>
      <c r="EXL69" s="39"/>
      <c r="EXO69" s="41"/>
      <c r="EXP69" s="41"/>
      <c r="EXQ69" s="41"/>
      <c r="EXR69" s="41"/>
      <c r="EXS69" s="41"/>
      <c r="EZO69" s="39"/>
      <c r="EZR69" s="41"/>
      <c r="EZS69" s="41"/>
      <c r="EZT69" s="41"/>
      <c r="EZU69" s="41"/>
      <c r="EZV69" s="41"/>
      <c r="FBR69" s="39"/>
      <c r="FBU69" s="41"/>
      <c r="FBV69" s="41"/>
      <c r="FBW69" s="41"/>
      <c r="FBX69" s="41"/>
      <c r="FBY69" s="41"/>
      <c r="FDU69" s="39"/>
      <c r="FDX69" s="41"/>
      <c r="FDY69" s="41"/>
      <c r="FDZ69" s="41"/>
      <c r="FEA69" s="41"/>
      <c r="FEB69" s="41"/>
      <c r="FFX69" s="39"/>
      <c r="FGA69" s="41"/>
      <c r="FGB69" s="41"/>
      <c r="FGC69" s="41"/>
      <c r="FGD69" s="41"/>
      <c r="FGE69" s="41"/>
      <c r="FIA69" s="39"/>
      <c r="FID69" s="41"/>
      <c r="FIE69" s="41"/>
      <c r="FIF69" s="41"/>
      <c r="FIG69" s="41"/>
      <c r="FIH69" s="41"/>
      <c r="FKD69" s="39"/>
      <c r="FKG69" s="41"/>
      <c r="FKH69" s="41"/>
      <c r="FKI69" s="41"/>
      <c r="FKJ69" s="41"/>
      <c r="FKK69" s="41"/>
      <c r="FMG69" s="39"/>
      <c r="FMJ69" s="41"/>
      <c r="FMK69" s="41"/>
      <c r="FML69" s="41"/>
      <c r="FMM69" s="41"/>
      <c r="FMN69" s="41"/>
      <c r="FOJ69" s="39"/>
      <c r="FOM69" s="41"/>
      <c r="FON69" s="41"/>
      <c r="FOO69" s="41"/>
      <c r="FOP69" s="41"/>
      <c r="FOQ69" s="41"/>
      <c r="FQM69" s="39"/>
      <c r="FQP69" s="41"/>
      <c r="FQQ69" s="41"/>
      <c r="FQR69" s="41"/>
      <c r="FQS69" s="41"/>
      <c r="FQT69" s="41"/>
      <c r="FSP69" s="39"/>
      <c r="FSS69" s="41"/>
      <c r="FST69" s="41"/>
      <c r="FSU69" s="41"/>
      <c r="FSV69" s="41"/>
      <c r="FSW69" s="41"/>
      <c r="FUS69" s="39"/>
      <c r="FUV69" s="41"/>
      <c r="FUW69" s="41"/>
      <c r="FUX69" s="41"/>
      <c r="FUY69" s="41"/>
      <c r="FUZ69" s="41"/>
      <c r="FWV69" s="39"/>
      <c r="FWY69" s="41"/>
      <c r="FWZ69" s="41"/>
      <c r="FXA69" s="41"/>
      <c r="FXB69" s="41"/>
      <c r="FXC69" s="41"/>
      <c r="FYY69" s="39"/>
      <c r="FZB69" s="41"/>
      <c r="FZC69" s="41"/>
      <c r="FZD69" s="41"/>
      <c r="FZE69" s="41"/>
      <c r="FZF69" s="41"/>
      <c r="GBB69" s="39"/>
      <c r="GBE69" s="41"/>
      <c r="GBF69" s="41"/>
      <c r="GBG69" s="41"/>
      <c r="GBH69" s="41"/>
      <c r="GBI69" s="41"/>
      <c r="GDE69" s="39"/>
      <c r="GDH69" s="41"/>
      <c r="GDI69" s="41"/>
      <c r="GDJ69" s="41"/>
      <c r="GDK69" s="41"/>
      <c r="GDL69" s="41"/>
      <c r="GFH69" s="39"/>
      <c r="GFK69" s="41"/>
      <c r="GFL69" s="41"/>
      <c r="GFM69" s="41"/>
      <c r="GFN69" s="41"/>
      <c r="GFO69" s="41"/>
      <c r="GHK69" s="39"/>
      <c r="GHN69" s="41"/>
      <c r="GHO69" s="41"/>
      <c r="GHP69" s="41"/>
      <c r="GHQ69" s="41"/>
      <c r="GHR69" s="41"/>
      <c r="GJN69" s="39"/>
      <c r="GJQ69" s="41"/>
      <c r="GJR69" s="41"/>
      <c r="GJS69" s="41"/>
      <c r="GJT69" s="41"/>
      <c r="GJU69" s="41"/>
      <c r="GLQ69" s="39"/>
      <c r="GLT69" s="41"/>
      <c r="GLU69" s="41"/>
      <c r="GLV69" s="41"/>
      <c r="GLW69" s="41"/>
      <c r="GLX69" s="41"/>
      <c r="GNT69" s="39"/>
      <c r="GNW69" s="41"/>
      <c r="GNX69" s="41"/>
      <c r="GNY69" s="41"/>
      <c r="GNZ69" s="41"/>
      <c r="GOA69" s="41"/>
      <c r="GPW69" s="39"/>
      <c r="GPZ69" s="41"/>
      <c r="GQA69" s="41"/>
      <c r="GQB69" s="41"/>
      <c r="GQC69" s="41"/>
      <c r="GQD69" s="41"/>
      <c r="GRZ69" s="39"/>
      <c r="GSC69" s="41"/>
      <c r="GSD69" s="41"/>
      <c r="GSE69" s="41"/>
      <c r="GSF69" s="41"/>
      <c r="GSG69" s="41"/>
      <c r="GUC69" s="39"/>
      <c r="GUF69" s="41"/>
      <c r="GUG69" s="41"/>
      <c r="GUH69" s="41"/>
      <c r="GUI69" s="41"/>
      <c r="GUJ69" s="41"/>
      <c r="GWF69" s="39"/>
      <c r="GWI69" s="41"/>
      <c r="GWJ69" s="41"/>
      <c r="GWK69" s="41"/>
      <c r="GWL69" s="41"/>
      <c r="GWM69" s="41"/>
      <c r="GYI69" s="39"/>
      <c r="GYL69" s="41"/>
      <c r="GYM69" s="41"/>
      <c r="GYN69" s="41"/>
      <c r="GYO69" s="41"/>
      <c r="GYP69" s="41"/>
      <c r="HAL69" s="39"/>
      <c r="HAO69" s="41"/>
      <c r="HAP69" s="41"/>
      <c r="HAQ69" s="41"/>
      <c r="HAR69" s="41"/>
      <c r="HAS69" s="41"/>
      <c r="HCO69" s="39"/>
      <c r="HCR69" s="41"/>
      <c r="HCS69" s="41"/>
      <c r="HCT69" s="41"/>
      <c r="HCU69" s="41"/>
      <c r="HCV69" s="41"/>
      <c r="HER69" s="39"/>
      <c r="HEU69" s="41"/>
      <c r="HEV69" s="41"/>
      <c r="HEW69" s="41"/>
      <c r="HEX69" s="41"/>
      <c r="HEY69" s="41"/>
      <c r="HGU69" s="39"/>
      <c r="HGX69" s="41"/>
      <c r="HGY69" s="41"/>
      <c r="HGZ69" s="41"/>
      <c r="HHA69" s="41"/>
      <c r="HHB69" s="41"/>
      <c r="HIX69" s="39"/>
      <c r="HJA69" s="41"/>
      <c r="HJB69" s="41"/>
      <c r="HJC69" s="41"/>
      <c r="HJD69" s="41"/>
      <c r="HJE69" s="41"/>
      <c r="HLA69" s="39"/>
      <c r="HLD69" s="41"/>
      <c r="HLE69" s="41"/>
      <c r="HLF69" s="41"/>
      <c r="HLG69" s="41"/>
      <c r="HLH69" s="41"/>
      <c r="HND69" s="39"/>
      <c r="HNG69" s="41"/>
      <c r="HNH69" s="41"/>
      <c r="HNI69" s="41"/>
      <c r="HNJ69" s="41"/>
      <c r="HNK69" s="41"/>
      <c r="HPG69" s="39"/>
      <c r="HPJ69" s="41"/>
      <c r="HPK69" s="41"/>
      <c r="HPL69" s="41"/>
      <c r="HPM69" s="41"/>
      <c r="HPN69" s="41"/>
      <c r="HRJ69" s="39"/>
      <c r="HRM69" s="41"/>
      <c r="HRN69" s="41"/>
      <c r="HRO69" s="41"/>
      <c r="HRP69" s="41"/>
      <c r="HRQ69" s="41"/>
      <c r="HTM69" s="39"/>
      <c r="HTP69" s="41"/>
      <c r="HTQ69" s="41"/>
      <c r="HTR69" s="41"/>
      <c r="HTS69" s="41"/>
      <c r="HTT69" s="41"/>
      <c r="HVP69" s="39"/>
      <c r="HVS69" s="41"/>
      <c r="HVT69" s="41"/>
      <c r="HVU69" s="41"/>
      <c r="HVV69" s="41"/>
      <c r="HVW69" s="41"/>
      <c r="HXS69" s="39"/>
      <c r="HXV69" s="41"/>
      <c r="HXW69" s="41"/>
      <c r="HXX69" s="41"/>
      <c r="HXY69" s="41"/>
      <c r="HXZ69" s="41"/>
      <c r="HZV69" s="39"/>
      <c r="HZY69" s="41"/>
      <c r="HZZ69" s="41"/>
      <c r="IAA69" s="41"/>
      <c r="IAB69" s="41"/>
      <c r="IAC69" s="41"/>
      <c r="IBY69" s="39"/>
      <c r="ICB69" s="41"/>
      <c r="ICC69" s="41"/>
      <c r="ICD69" s="41"/>
      <c r="ICE69" s="41"/>
      <c r="ICF69" s="41"/>
      <c r="IEB69" s="39"/>
      <c r="IEE69" s="41"/>
      <c r="IEF69" s="41"/>
      <c r="IEG69" s="41"/>
      <c r="IEH69" s="41"/>
      <c r="IEI69" s="41"/>
      <c r="IGE69" s="39"/>
      <c r="IGH69" s="41"/>
      <c r="IGI69" s="41"/>
      <c r="IGJ69" s="41"/>
      <c r="IGK69" s="41"/>
      <c r="IGL69" s="41"/>
      <c r="IIH69" s="39"/>
      <c r="IIK69" s="41"/>
      <c r="IIL69" s="41"/>
      <c r="IIM69" s="41"/>
      <c r="IIN69" s="41"/>
      <c r="IIO69" s="41"/>
      <c r="IKK69" s="39"/>
      <c r="IKN69" s="41"/>
      <c r="IKO69" s="41"/>
      <c r="IKP69" s="41"/>
      <c r="IKQ69" s="41"/>
      <c r="IKR69" s="41"/>
      <c r="IMN69" s="39"/>
      <c r="IMQ69" s="41"/>
      <c r="IMR69" s="41"/>
      <c r="IMS69" s="41"/>
      <c r="IMT69" s="41"/>
      <c r="IMU69" s="41"/>
      <c r="IOQ69" s="39"/>
      <c r="IOT69" s="41"/>
      <c r="IOU69" s="41"/>
      <c r="IOV69" s="41"/>
      <c r="IOW69" s="41"/>
      <c r="IOX69" s="41"/>
      <c r="IQT69" s="39"/>
      <c r="IQW69" s="41"/>
      <c r="IQX69" s="41"/>
      <c r="IQY69" s="41"/>
      <c r="IQZ69" s="41"/>
      <c r="IRA69" s="41"/>
      <c r="ISW69" s="39"/>
      <c r="ISZ69" s="41"/>
      <c r="ITA69" s="41"/>
      <c r="ITB69" s="41"/>
      <c r="ITC69" s="41"/>
      <c r="ITD69" s="41"/>
      <c r="IUZ69" s="39"/>
      <c r="IVC69" s="41"/>
      <c r="IVD69" s="41"/>
      <c r="IVE69" s="41"/>
      <c r="IVF69" s="41"/>
      <c r="IVG69" s="41"/>
      <c r="IXC69" s="39"/>
      <c r="IXF69" s="41"/>
      <c r="IXG69" s="41"/>
      <c r="IXH69" s="41"/>
      <c r="IXI69" s="41"/>
      <c r="IXJ69" s="41"/>
      <c r="IZF69" s="39"/>
      <c r="IZI69" s="41"/>
      <c r="IZJ69" s="41"/>
      <c r="IZK69" s="41"/>
      <c r="IZL69" s="41"/>
      <c r="IZM69" s="41"/>
      <c r="JBI69" s="39"/>
      <c r="JBL69" s="41"/>
      <c r="JBM69" s="41"/>
      <c r="JBN69" s="41"/>
      <c r="JBO69" s="41"/>
      <c r="JBP69" s="41"/>
      <c r="JDL69" s="39"/>
      <c r="JDO69" s="41"/>
      <c r="JDP69" s="41"/>
      <c r="JDQ69" s="41"/>
      <c r="JDR69" s="41"/>
      <c r="JDS69" s="41"/>
      <c r="JFO69" s="39"/>
      <c r="JFR69" s="41"/>
      <c r="JFS69" s="41"/>
      <c r="JFT69" s="41"/>
      <c r="JFU69" s="41"/>
      <c r="JFV69" s="41"/>
      <c r="JHR69" s="39"/>
      <c r="JHU69" s="41"/>
      <c r="JHV69" s="41"/>
      <c r="JHW69" s="41"/>
      <c r="JHX69" s="41"/>
      <c r="JHY69" s="41"/>
      <c r="JJU69" s="39"/>
      <c r="JJX69" s="41"/>
      <c r="JJY69" s="41"/>
      <c r="JJZ69" s="41"/>
      <c r="JKA69" s="41"/>
      <c r="JKB69" s="41"/>
      <c r="JLX69" s="39"/>
      <c r="JMA69" s="41"/>
      <c r="JMB69" s="41"/>
      <c r="JMC69" s="41"/>
      <c r="JMD69" s="41"/>
      <c r="JME69" s="41"/>
      <c r="JOA69" s="39"/>
      <c r="JOD69" s="41"/>
      <c r="JOE69" s="41"/>
      <c r="JOF69" s="41"/>
      <c r="JOG69" s="41"/>
      <c r="JOH69" s="41"/>
      <c r="JQD69" s="39"/>
      <c r="JQG69" s="41"/>
      <c r="JQH69" s="41"/>
      <c r="JQI69" s="41"/>
      <c r="JQJ69" s="41"/>
      <c r="JQK69" s="41"/>
      <c r="JSG69" s="39"/>
      <c r="JSJ69" s="41"/>
      <c r="JSK69" s="41"/>
      <c r="JSL69" s="41"/>
      <c r="JSM69" s="41"/>
      <c r="JSN69" s="41"/>
      <c r="JUJ69" s="39"/>
      <c r="JUM69" s="41"/>
      <c r="JUN69" s="41"/>
      <c r="JUO69" s="41"/>
      <c r="JUP69" s="41"/>
      <c r="JUQ69" s="41"/>
      <c r="JWM69" s="39"/>
      <c r="JWP69" s="41"/>
      <c r="JWQ69" s="41"/>
      <c r="JWR69" s="41"/>
      <c r="JWS69" s="41"/>
      <c r="JWT69" s="41"/>
      <c r="JYP69" s="39"/>
      <c r="JYS69" s="41"/>
      <c r="JYT69" s="41"/>
      <c r="JYU69" s="41"/>
      <c r="JYV69" s="41"/>
      <c r="JYW69" s="41"/>
      <c r="KAS69" s="39"/>
      <c r="KAV69" s="41"/>
      <c r="KAW69" s="41"/>
      <c r="KAX69" s="41"/>
      <c r="KAY69" s="41"/>
      <c r="KAZ69" s="41"/>
      <c r="KCV69" s="39"/>
      <c r="KCY69" s="41"/>
      <c r="KCZ69" s="41"/>
      <c r="KDA69" s="41"/>
      <c r="KDB69" s="41"/>
      <c r="KDC69" s="41"/>
      <c r="KEY69" s="39"/>
      <c r="KFB69" s="41"/>
      <c r="KFC69" s="41"/>
      <c r="KFD69" s="41"/>
      <c r="KFE69" s="41"/>
      <c r="KFF69" s="41"/>
      <c r="KHB69" s="39"/>
      <c r="KHE69" s="41"/>
      <c r="KHF69" s="41"/>
      <c r="KHG69" s="41"/>
      <c r="KHH69" s="41"/>
      <c r="KHI69" s="41"/>
      <c r="KJE69" s="39"/>
      <c r="KJH69" s="41"/>
      <c r="KJI69" s="41"/>
      <c r="KJJ69" s="41"/>
      <c r="KJK69" s="41"/>
      <c r="KJL69" s="41"/>
      <c r="KLH69" s="39"/>
      <c r="KLK69" s="41"/>
      <c r="KLL69" s="41"/>
      <c r="KLM69" s="41"/>
      <c r="KLN69" s="41"/>
      <c r="KLO69" s="41"/>
      <c r="KNK69" s="39"/>
      <c r="KNN69" s="41"/>
      <c r="KNO69" s="41"/>
      <c r="KNP69" s="41"/>
      <c r="KNQ69" s="41"/>
      <c r="KNR69" s="41"/>
      <c r="KPN69" s="39"/>
      <c r="KPQ69" s="41"/>
      <c r="KPR69" s="41"/>
      <c r="KPS69" s="41"/>
      <c r="KPT69" s="41"/>
      <c r="KPU69" s="41"/>
      <c r="KRQ69" s="39"/>
      <c r="KRT69" s="41"/>
      <c r="KRU69" s="41"/>
      <c r="KRV69" s="41"/>
      <c r="KRW69" s="41"/>
      <c r="KRX69" s="41"/>
      <c r="KTT69" s="39"/>
      <c r="KTW69" s="41"/>
      <c r="KTX69" s="41"/>
      <c r="KTY69" s="41"/>
      <c r="KTZ69" s="41"/>
      <c r="KUA69" s="41"/>
      <c r="KVW69" s="39"/>
      <c r="KVZ69" s="41"/>
      <c r="KWA69" s="41"/>
      <c r="KWB69" s="41"/>
      <c r="KWC69" s="41"/>
      <c r="KWD69" s="41"/>
      <c r="KXZ69" s="39"/>
      <c r="KYC69" s="41"/>
      <c r="KYD69" s="41"/>
      <c r="KYE69" s="41"/>
      <c r="KYF69" s="41"/>
      <c r="KYG69" s="41"/>
      <c r="LAC69" s="39"/>
      <c r="LAF69" s="41"/>
      <c r="LAG69" s="41"/>
      <c r="LAH69" s="41"/>
      <c r="LAI69" s="41"/>
      <c r="LAJ69" s="41"/>
      <c r="LCF69" s="39"/>
      <c r="LCI69" s="41"/>
      <c r="LCJ69" s="41"/>
      <c r="LCK69" s="41"/>
      <c r="LCL69" s="41"/>
      <c r="LCM69" s="41"/>
      <c r="LEI69" s="39"/>
      <c r="LEL69" s="41"/>
      <c r="LEM69" s="41"/>
      <c r="LEN69" s="41"/>
      <c r="LEO69" s="41"/>
      <c r="LEP69" s="41"/>
      <c r="LGL69" s="39"/>
      <c r="LGO69" s="41"/>
      <c r="LGP69" s="41"/>
      <c r="LGQ69" s="41"/>
      <c r="LGR69" s="41"/>
      <c r="LGS69" s="41"/>
      <c r="LIO69" s="39"/>
      <c r="LIR69" s="41"/>
      <c r="LIS69" s="41"/>
      <c r="LIT69" s="41"/>
      <c r="LIU69" s="41"/>
      <c r="LIV69" s="41"/>
      <c r="LKR69" s="39"/>
      <c r="LKU69" s="41"/>
      <c r="LKV69" s="41"/>
      <c r="LKW69" s="41"/>
      <c r="LKX69" s="41"/>
      <c r="LKY69" s="41"/>
      <c r="LMU69" s="39"/>
      <c r="LMX69" s="41"/>
      <c r="LMY69" s="41"/>
      <c r="LMZ69" s="41"/>
      <c r="LNA69" s="41"/>
      <c r="LNB69" s="41"/>
      <c r="LOX69" s="39"/>
      <c r="LPA69" s="41"/>
      <c r="LPB69" s="41"/>
      <c r="LPC69" s="41"/>
      <c r="LPD69" s="41"/>
      <c r="LPE69" s="41"/>
      <c r="LRA69" s="39"/>
      <c r="LRD69" s="41"/>
      <c r="LRE69" s="41"/>
      <c r="LRF69" s="41"/>
      <c r="LRG69" s="41"/>
      <c r="LRH69" s="41"/>
      <c r="LTD69" s="39"/>
      <c r="LTG69" s="41"/>
      <c r="LTH69" s="41"/>
      <c r="LTI69" s="41"/>
      <c r="LTJ69" s="41"/>
      <c r="LTK69" s="41"/>
      <c r="LVG69" s="39"/>
      <c r="LVJ69" s="41"/>
      <c r="LVK69" s="41"/>
      <c r="LVL69" s="41"/>
      <c r="LVM69" s="41"/>
      <c r="LVN69" s="41"/>
      <c r="LXJ69" s="39"/>
      <c r="LXM69" s="41"/>
      <c r="LXN69" s="41"/>
      <c r="LXO69" s="41"/>
      <c r="LXP69" s="41"/>
      <c r="LXQ69" s="41"/>
      <c r="LZM69" s="39"/>
      <c r="LZP69" s="41"/>
      <c r="LZQ69" s="41"/>
      <c r="LZR69" s="41"/>
      <c r="LZS69" s="41"/>
      <c r="LZT69" s="41"/>
      <c r="MBP69" s="39"/>
      <c r="MBS69" s="41"/>
      <c r="MBT69" s="41"/>
      <c r="MBU69" s="41"/>
      <c r="MBV69" s="41"/>
      <c r="MBW69" s="41"/>
      <c r="MDS69" s="39"/>
      <c r="MDV69" s="41"/>
      <c r="MDW69" s="41"/>
      <c r="MDX69" s="41"/>
      <c r="MDY69" s="41"/>
      <c r="MDZ69" s="41"/>
      <c r="MFV69" s="39"/>
      <c r="MFY69" s="41"/>
      <c r="MFZ69" s="41"/>
      <c r="MGA69" s="41"/>
      <c r="MGB69" s="41"/>
      <c r="MGC69" s="41"/>
      <c r="MHY69" s="39"/>
      <c r="MIB69" s="41"/>
      <c r="MIC69" s="41"/>
      <c r="MID69" s="41"/>
      <c r="MIE69" s="41"/>
      <c r="MIF69" s="41"/>
      <c r="MKB69" s="39"/>
      <c r="MKE69" s="41"/>
      <c r="MKF69" s="41"/>
      <c r="MKG69" s="41"/>
      <c r="MKH69" s="41"/>
      <c r="MKI69" s="41"/>
      <c r="MME69" s="39"/>
      <c r="MMH69" s="41"/>
      <c r="MMI69" s="41"/>
      <c r="MMJ69" s="41"/>
      <c r="MMK69" s="41"/>
      <c r="MML69" s="41"/>
      <c r="MOH69" s="39"/>
      <c r="MOK69" s="41"/>
      <c r="MOL69" s="41"/>
      <c r="MOM69" s="41"/>
      <c r="MON69" s="41"/>
      <c r="MOO69" s="41"/>
      <c r="MQK69" s="39"/>
      <c r="MQN69" s="41"/>
      <c r="MQO69" s="41"/>
      <c r="MQP69" s="41"/>
      <c r="MQQ69" s="41"/>
      <c r="MQR69" s="41"/>
      <c r="MSN69" s="39"/>
      <c r="MSQ69" s="41"/>
      <c r="MSR69" s="41"/>
      <c r="MSS69" s="41"/>
      <c r="MST69" s="41"/>
      <c r="MSU69" s="41"/>
      <c r="MUQ69" s="39"/>
      <c r="MUT69" s="41"/>
      <c r="MUU69" s="41"/>
      <c r="MUV69" s="41"/>
      <c r="MUW69" s="41"/>
      <c r="MUX69" s="41"/>
      <c r="MWT69" s="39"/>
      <c r="MWW69" s="41"/>
      <c r="MWX69" s="41"/>
      <c r="MWY69" s="41"/>
      <c r="MWZ69" s="41"/>
      <c r="MXA69" s="41"/>
      <c r="MYW69" s="39"/>
      <c r="MYZ69" s="41"/>
      <c r="MZA69" s="41"/>
      <c r="MZB69" s="41"/>
      <c r="MZC69" s="41"/>
      <c r="MZD69" s="41"/>
      <c r="NAZ69" s="39"/>
      <c r="NBC69" s="41"/>
      <c r="NBD69" s="41"/>
      <c r="NBE69" s="41"/>
      <c r="NBF69" s="41"/>
      <c r="NBG69" s="41"/>
      <c r="NDC69" s="39"/>
      <c r="NDF69" s="41"/>
      <c r="NDG69" s="41"/>
      <c r="NDH69" s="41"/>
      <c r="NDI69" s="41"/>
      <c r="NDJ69" s="41"/>
      <c r="NFF69" s="39"/>
      <c r="NFI69" s="41"/>
      <c r="NFJ69" s="41"/>
      <c r="NFK69" s="41"/>
      <c r="NFL69" s="41"/>
      <c r="NFM69" s="41"/>
      <c r="NHI69" s="39"/>
      <c r="NHL69" s="41"/>
      <c r="NHM69" s="41"/>
      <c r="NHN69" s="41"/>
      <c r="NHO69" s="41"/>
      <c r="NHP69" s="41"/>
      <c r="NJL69" s="39"/>
      <c r="NJO69" s="41"/>
      <c r="NJP69" s="41"/>
      <c r="NJQ69" s="41"/>
      <c r="NJR69" s="41"/>
      <c r="NJS69" s="41"/>
      <c r="NLO69" s="39"/>
      <c r="NLR69" s="41"/>
      <c r="NLS69" s="41"/>
      <c r="NLT69" s="41"/>
      <c r="NLU69" s="41"/>
      <c r="NLV69" s="41"/>
      <c r="NNR69" s="39"/>
      <c r="NNU69" s="41"/>
      <c r="NNV69" s="41"/>
      <c r="NNW69" s="41"/>
      <c r="NNX69" s="41"/>
      <c r="NNY69" s="41"/>
      <c r="NPU69" s="39"/>
      <c r="NPX69" s="41"/>
      <c r="NPY69" s="41"/>
      <c r="NPZ69" s="41"/>
      <c r="NQA69" s="41"/>
      <c r="NQB69" s="41"/>
      <c r="NRX69" s="39"/>
      <c r="NSA69" s="41"/>
      <c r="NSB69" s="41"/>
      <c r="NSC69" s="41"/>
      <c r="NSD69" s="41"/>
      <c r="NSE69" s="41"/>
      <c r="NUA69" s="39"/>
      <c r="NUD69" s="41"/>
      <c r="NUE69" s="41"/>
      <c r="NUF69" s="41"/>
      <c r="NUG69" s="41"/>
      <c r="NUH69" s="41"/>
      <c r="NWD69" s="39"/>
      <c r="NWG69" s="41"/>
      <c r="NWH69" s="41"/>
      <c r="NWI69" s="41"/>
      <c r="NWJ69" s="41"/>
      <c r="NWK69" s="41"/>
      <c r="NYG69" s="39"/>
      <c r="NYJ69" s="41"/>
      <c r="NYK69" s="41"/>
      <c r="NYL69" s="41"/>
      <c r="NYM69" s="41"/>
      <c r="NYN69" s="41"/>
      <c r="OAJ69" s="39"/>
      <c r="OAM69" s="41"/>
      <c r="OAN69" s="41"/>
      <c r="OAO69" s="41"/>
      <c r="OAP69" s="41"/>
      <c r="OAQ69" s="41"/>
      <c r="OCM69" s="39"/>
      <c r="OCP69" s="41"/>
      <c r="OCQ69" s="41"/>
      <c r="OCR69" s="41"/>
      <c r="OCS69" s="41"/>
      <c r="OCT69" s="41"/>
      <c r="OEP69" s="39"/>
      <c r="OES69" s="41"/>
      <c r="OET69" s="41"/>
      <c r="OEU69" s="41"/>
      <c r="OEV69" s="41"/>
      <c r="OEW69" s="41"/>
      <c r="OGS69" s="39"/>
      <c r="OGV69" s="41"/>
      <c r="OGW69" s="41"/>
      <c r="OGX69" s="41"/>
      <c r="OGY69" s="41"/>
      <c r="OGZ69" s="41"/>
      <c r="OIV69" s="39"/>
      <c r="OIY69" s="41"/>
      <c r="OIZ69" s="41"/>
      <c r="OJA69" s="41"/>
      <c r="OJB69" s="41"/>
      <c r="OJC69" s="41"/>
      <c r="OKY69" s="39"/>
      <c r="OLB69" s="41"/>
      <c r="OLC69" s="41"/>
      <c r="OLD69" s="41"/>
      <c r="OLE69" s="41"/>
      <c r="OLF69" s="41"/>
      <c r="ONB69" s="39"/>
      <c r="ONE69" s="41"/>
      <c r="ONF69" s="41"/>
      <c r="ONG69" s="41"/>
      <c r="ONH69" s="41"/>
      <c r="ONI69" s="41"/>
      <c r="OPE69" s="39"/>
      <c r="OPH69" s="41"/>
      <c r="OPI69" s="41"/>
      <c r="OPJ69" s="41"/>
      <c r="OPK69" s="41"/>
      <c r="OPL69" s="41"/>
      <c r="ORH69" s="39"/>
      <c r="ORK69" s="41"/>
      <c r="ORL69" s="41"/>
      <c r="ORM69" s="41"/>
      <c r="ORN69" s="41"/>
      <c r="ORO69" s="41"/>
      <c r="OTK69" s="39"/>
      <c r="OTN69" s="41"/>
      <c r="OTO69" s="41"/>
      <c r="OTP69" s="41"/>
      <c r="OTQ69" s="41"/>
      <c r="OTR69" s="41"/>
      <c r="OVN69" s="39"/>
      <c r="OVQ69" s="41"/>
      <c r="OVR69" s="41"/>
      <c r="OVS69" s="41"/>
      <c r="OVT69" s="41"/>
      <c r="OVU69" s="41"/>
      <c r="OXQ69" s="39"/>
      <c r="OXT69" s="41"/>
      <c r="OXU69" s="41"/>
      <c r="OXV69" s="41"/>
      <c r="OXW69" s="41"/>
      <c r="OXX69" s="41"/>
      <c r="OZT69" s="39"/>
      <c r="OZW69" s="41"/>
      <c r="OZX69" s="41"/>
      <c r="OZY69" s="41"/>
      <c r="OZZ69" s="41"/>
      <c r="PAA69" s="41"/>
      <c r="PBW69" s="39"/>
      <c r="PBZ69" s="41"/>
      <c r="PCA69" s="41"/>
      <c r="PCB69" s="41"/>
      <c r="PCC69" s="41"/>
      <c r="PCD69" s="41"/>
      <c r="PDZ69" s="39"/>
      <c r="PEC69" s="41"/>
      <c r="PED69" s="41"/>
      <c r="PEE69" s="41"/>
      <c r="PEF69" s="41"/>
      <c r="PEG69" s="41"/>
      <c r="PGC69" s="39"/>
      <c r="PGF69" s="41"/>
      <c r="PGG69" s="41"/>
      <c r="PGH69" s="41"/>
      <c r="PGI69" s="41"/>
      <c r="PGJ69" s="41"/>
      <c r="PIF69" s="39"/>
      <c r="PII69" s="41"/>
      <c r="PIJ69" s="41"/>
      <c r="PIK69" s="41"/>
      <c r="PIL69" s="41"/>
      <c r="PIM69" s="41"/>
      <c r="PKI69" s="39"/>
      <c r="PKL69" s="41"/>
      <c r="PKM69" s="41"/>
      <c r="PKN69" s="41"/>
      <c r="PKO69" s="41"/>
      <c r="PKP69" s="41"/>
      <c r="PML69" s="39"/>
      <c r="PMO69" s="41"/>
      <c r="PMP69" s="41"/>
      <c r="PMQ69" s="41"/>
      <c r="PMR69" s="41"/>
      <c r="PMS69" s="41"/>
      <c r="POO69" s="39"/>
      <c r="POR69" s="41"/>
      <c r="POS69" s="41"/>
      <c r="POT69" s="41"/>
      <c r="POU69" s="41"/>
      <c r="POV69" s="41"/>
      <c r="PQR69" s="39"/>
      <c r="PQU69" s="41"/>
      <c r="PQV69" s="41"/>
      <c r="PQW69" s="41"/>
      <c r="PQX69" s="41"/>
      <c r="PQY69" s="41"/>
      <c r="PSU69" s="39"/>
      <c r="PSX69" s="41"/>
      <c r="PSY69" s="41"/>
      <c r="PSZ69" s="41"/>
      <c r="PTA69" s="41"/>
      <c r="PTB69" s="41"/>
      <c r="PUX69" s="39"/>
      <c r="PVA69" s="41"/>
      <c r="PVB69" s="41"/>
      <c r="PVC69" s="41"/>
      <c r="PVD69" s="41"/>
      <c r="PVE69" s="41"/>
      <c r="PXA69" s="39"/>
      <c r="PXD69" s="41"/>
      <c r="PXE69" s="41"/>
      <c r="PXF69" s="41"/>
      <c r="PXG69" s="41"/>
      <c r="PXH69" s="41"/>
      <c r="PZD69" s="39"/>
      <c r="PZG69" s="41"/>
      <c r="PZH69" s="41"/>
      <c r="PZI69" s="41"/>
      <c r="PZJ69" s="41"/>
      <c r="PZK69" s="41"/>
      <c r="QBG69" s="39"/>
      <c r="QBJ69" s="41"/>
      <c r="QBK69" s="41"/>
      <c r="QBL69" s="41"/>
      <c r="QBM69" s="41"/>
      <c r="QBN69" s="41"/>
      <c r="QDJ69" s="39"/>
      <c r="QDM69" s="41"/>
      <c r="QDN69" s="41"/>
      <c r="QDO69" s="41"/>
      <c r="QDP69" s="41"/>
      <c r="QDQ69" s="41"/>
      <c r="QFM69" s="39"/>
      <c r="QFP69" s="41"/>
      <c r="QFQ69" s="41"/>
      <c r="QFR69" s="41"/>
      <c r="QFS69" s="41"/>
      <c r="QFT69" s="41"/>
      <c r="QHP69" s="39"/>
      <c r="QHS69" s="41"/>
      <c r="QHT69" s="41"/>
      <c r="QHU69" s="41"/>
      <c r="QHV69" s="41"/>
      <c r="QHW69" s="41"/>
      <c r="QJS69" s="39"/>
      <c r="QJV69" s="41"/>
      <c r="QJW69" s="41"/>
      <c r="QJX69" s="41"/>
      <c r="QJY69" s="41"/>
      <c r="QJZ69" s="41"/>
      <c r="QLV69" s="39"/>
      <c r="QLY69" s="41"/>
      <c r="QLZ69" s="41"/>
      <c r="QMA69" s="41"/>
      <c r="QMB69" s="41"/>
      <c r="QMC69" s="41"/>
      <c r="QNY69" s="39"/>
      <c r="QOB69" s="41"/>
      <c r="QOC69" s="41"/>
      <c r="QOD69" s="41"/>
      <c r="QOE69" s="41"/>
      <c r="QOF69" s="41"/>
      <c r="QQB69" s="39"/>
      <c r="QQE69" s="41"/>
      <c r="QQF69" s="41"/>
      <c r="QQG69" s="41"/>
      <c r="QQH69" s="41"/>
      <c r="QQI69" s="41"/>
      <c r="QSE69" s="39"/>
      <c r="QSH69" s="41"/>
      <c r="QSI69" s="41"/>
      <c r="QSJ69" s="41"/>
      <c r="QSK69" s="41"/>
      <c r="QSL69" s="41"/>
      <c r="QUH69" s="39"/>
      <c r="QUK69" s="41"/>
      <c r="QUL69" s="41"/>
      <c r="QUM69" s="41"/>
      <c r="QUN69" s="41"/>
      <c r="QUO69" s="41"/>
      <c r="QWK69" s="39"/>
      <c r="QWN69" s="41"/>
      <c r="QWO69" s="41"/>
      <c r="QWP69" s="41"/>
      <c r="QWQ69" s="41"/>
      <c r="QWR69" s="41"/>
      <c r="QYN69" s="39"/>
      <c r="QYQ69" s="41"/>
      <c r="QYR69" s="41"/>
      <c r="QYS69" s="41"/>
      <c r="QYT69" s="41"/>
      <c r="QYU69" s="41"/>
      <c r="RAQ69" s="39"/>
      <c r="RAT69" s="41"/>
      <c r="RAU69" s="41"/>
      <c r="RAV69" s="41"/>
      <c r="RAW69" s="41"/>
      <c r="RAX69" s="41"/>
      <c r="RCT69" s="39"/>
      <c r="RCW69" s="41"/>
      <c r="RCX69" s="41"/>
      <c r="RCY69" s="41"/>
      <c r="RCZ69" s="41"/>
      <c r="RDA69" s="41"/>
      <c r="REW69" s="39"/>
      <c r="REZ69" s="41"/>
      <c r="RFA69" s="41"/>
      <c r="RFB69" s="41"/>
      <c r="RFC69" s="41"/>
      <c r="RFD69" s="41"/>
      <c r="RGZ69" s="39"/>
      <c r="RHC69" s="41"/>
      <c r="RHD69" s="41"/>
      <c r="RHE69" s="41"/>
      <c r="RHF69" s="41"/>
      <c r="RHG69" s="41"/>
      <c r="RJC69" s="39"/>
      <c r="RJF69" s="41"/>
      <c r="RJG69" s="41"/>
      <c r="RJH69" s="41"/>
      <c r="RJI69" s="41"/>
      <c r="RJJ69" s="41"/>
      <c r="RLF69" s="39"/>
      <c r="RLI69" s="41"/>
      <c r="RLJ69" s="41"/>
      <c r="RLK69" s="41"/>
      <c r="RLL69" s="41"/>
      <c r="RLM69" s="41"/>
      <c r="RNI69" s="39"/>
      <c r="RNL69" s="41"/>
      <c r="RNM69" s="41"/>
      <c r="RNN69" s="41"/>
      <c r="RNO69" s="41"/>
      <c r="RNP69" s="41"/>
      <c r="RPL69" s="39"/>
      <c r="RPO69" s="41"/>
      <c r="RPP69" s="41"/>
      <c r="RPQ69" s="41"/>
      <c r="RPR69" s="41"/>
      <c r="RPS69" s="41"/>
      <c r="RRO69" s="39"/>
      <c r="RRR69" s="41"/>
      <c r="RRS69" s="41"/>
      <c r="RRT69" s="41"/>
      <c r="RRU69" s="41"/>
      <c r="RRV69" s="41"/>
      <c r="RTR69" s="39"/>
      <c r="RTU69" s="41"/>
      <c r="RTV69" s="41"/>
      <c r="RTW69" s="41"/>
      <c r="RTX69" s="41"/>
      <c r="RTY69" s="41"/>
      <c r="RVU69" s="39"/>
      <c r="RVX69" s="41"/>
      <c r="RVY69" s="41"/>
      <c r="RVZ69" s="41"/>
      <c r="RWA69" s="41"/>
      <c r="RWB69" s="41"/>
      <c r="RXX69" s="39"/>
      <c r="RYA69" s="41"/>
      <c r="RYB69" s="41"/>
      <c r="RYC69" s="41"/>
      <c r="RYD69" s="41"/>
      <c r="RYE69" s="41"/>
      <c r="SAA69" s="39"/>
      <c r="SAD69" s="41"/>
      <c r="SAE69" s="41"/>
      <c r="SAF69" s="41"/>
      <c r="SAG69" s="41"/>
      <c r="SAH69" s="41"/>
      <c r="SCD69" s="39"/>
      <c r="SCG69" s="41"/>
      <c r="SCH69" s="41"/>
      <c r="SCI69" s="41"/>
      <c r="SCJ69" s="41"/>
      <c r="SCK69" s="41"/>
      <c r="SEG69" s="39"/>
      <c r="SEJ69" s="41"/>
      <c r="SEK69" s="41"/>
      <c r="SEL69" s="41"/>
      <c r="SEM69" s="41"/>
      <c r="SEN69" s="41"/>
      <c r="SGJ69" s="39"/>
      <c r="SGM69" s="41"/>
      <c r="SGN69" s="41"/>
      <c r="SGO69" s="41"/>
      <c r="SGP69" s="41"/>
      <c r="SGQ69" s="41"/>
      <c r="SIM69" s="39"/>
      <c r="SIP69" s="41"/>
      <c r="SIQ69" s="41"/>
      <c r="SIR69" s="41"/>
      <c r="SIS69" s="41"/>
      <c r="SIT69" s="41"/>
      <c r="SKP69" s="39"/>
      <c r="SKS69" s="41"/>
      <c r="SKT69" s="41"/>
      <c r="SKU69" s="41"/>
      <c r="SKV69" s="41"/>
      <c r="SKW69" s="41"/>
      <c r="SMS69" s="39"/>
      <c r="SMV69" s="41"/>
      <c r="SMW69" s="41"/>
      <c r="SMX69" s="41"/>
      <c r="SMY69" s="41"/>
      <c r="SMZ69" s="41"/>
      <c r="SOV69" s="39"/>
      <c r="SOY69" s="41"/>
      <c r="SOZ69" s="41"/>
      <c r="SPA69" s="41"/>
      <c r="SPB69" s="41"/>
      <c r="SPC69" s="41"/>
      <c r="SQY69" s="39"/>
      <c r="SRB69" s="41"/>
      <c r="SRC69" s="41"/>
      <c r="SRD69" s="41"/>
      <c r="SRE69" s="41"/>
      <c r="SRF69" s="41"/>
      <c r="STB69" s="39"/>
      <c r="STE69" s="41"/>
      <c r="STF69" s="41"/>
      <c r="STG69" s="41"/>
      <c r="STH69" s="41"/>
      <c r="STI69" s="41"/>
      <c r="SVE69" s="39"/>
      <c r="SVH69" s="41"/>
      <c r="SVI69" s="41"/>
      <c r="SVJ69" s="41"/>
      <c r="SVK69" s="41"/>
      <c r="SVL69" s="41"/>
      <c r="SXH69" s="39"/>
      <c r="SXK69" s="41"/>
      <c r="SXL69" s="41"/>
      <c r="SXM69" s="41"/>
      <c r="SXN69" s="41"/>
      <c r="SXO69" s="41"/>
      <c r="SZK69" s="39"/>
      <c r="SZN69" s="41"/>
      <c r="SZO69" s="41"/>
      <c r="SZP69" s="41"/>
      <c r="SZQ69" s="41"/>
      <c r="SZR69" s="41"/>
      <c r="TBN69" s="39"/>
      <c r="TBQ69" s="41"/>
      <c r="TBR69" s="41"/>
      <c r="TBS69" s="41"/>
      <c r="TBT69" s="41"/>
      <c r="TBU69" s="41"/>
      <c r="TDQ69" s="39"/>
      <c r="TDT69" s="41"/>
      <c r="TDU69" s="41"/>
      <c r="TDV69" s="41"/>
      <c r="TDW69" s="41"/>
      <c r="TDX69" s="41"/>
      <c r="TFT69" s="39"/>
      <c r="TFW69" s="41"/>
      <c r="TFX69" s="41"/>
      <c r="TFY69" s="41"/>
      <c r="TFZ69" s="41"/>
      <c r="TGA69" s="41"/>
      <c r="THW69" s="39"/>
      <c r="THZ69" s="41"/>
      <c r="TIA69" s="41"/>
      <c r="TIB69" s="41"/>
      <c r="TIC69" s="41"/>
      <c r="TID69" s="41"/>
      <c r="TJZ69" s="39"/>
      <c r="TKC69" s="41"/>
      <c r="TKD69" s="41"/>
      <c r="TKE69" s="41"/>
      <c r="TKF69" s="41"/>
      <c r="TKG69" s="41"/>
      <c r="TMC69" s="39"/>
      <c r="TMF69" s="41"/>
      <c r="TMG69" s="41"/>
      <c r="TMH69" s="41"/>
      <c r="TMI69" s="41"/>
      <c r="TMJ69" s="41"/>
      <c r="TOF69" s="39"/>
      <c r="TOI69" s="41"/>
      <c r="TOJ69" s="41"/>
      <c r="TOK69" s="41"/>
      <c r="TOL69" s="41"/>
      <c r="TOM69" s="41"/>
      <c r="TQI69" s="39"/>
      <c r="TQL69" s="41"/>
      <c r="TQM69" s="41"/>
      <c r="TQN69" s="41"/>
      <c r="TQO69" s="41"/>
      <c r="TQP69" s="41"/>
      <c r="TSL69" s="39"/>
      <c r="TSO69" s="41"/>
      <c r="TSP69" s="41"/>
      <c r="TSQ69" s="41"/>
      <c r="TSR69" s="41"/>
      <c r="TSS69" s="41"/>
      <c r="TUO69" s="39"/>
      <c r="TUR69" s="41"/>
      <c r="TUS69" s="41"/>
      <c r="TUT69" s="41"/>
      <c r="TUU69" s="41"/>
      <c r="TUV69" s="41"/>
      <c r="TWR69" s="39"/>
      <c r="TWU69" s="41"/>
      <c r="TWV69" s="41"/>
      <c r="TWW69" s="41"/>
      <c r="TWX69" s="41"/>
      <c r="TWY69" s="41"/>
      <c r="TYU69" s="39"/>
      <c r="TYX69" s="41"/>
      <c r="TYY69" s="41"/>
      <c r="TYZ69" s="41"/>
      <c r="TZA69" s="41"/>
      <c r="TZB69" s="41"/>
      <c r="UAX69" s="39"/>
      <c r="UBA69" s="41"/>
      <c r="UBB69" s="41"/>
      <c r="UBC69" s="41"/>
      <c r="UBD69" s="41"/>
      <c r="UBE69" s="41"/>
      <c r="UDA69" s="39"/>
      <c r="UDD69" s="41"/>
      <c r="UDE69" s="41"/>
      <c r="UDF69" s="41"/>
      <c r="UDG69" s="41"/>
      <c r="UDH69" s="41"/>
      <c r="UFD69" s="39"/>
      <c r="UFG69" s="41"/>
      <c r="UFH69" s="41"/>
      <c r="UFI69" s="41"/>
      <c r="UFJ69" s="41"/>
      <c r="UFK69" s="41"/>
      <c r="UHG69" s="39"/>
      <c r="UHJ69" s="41"/>
      <c r="UHK69" s="41"/>
      <c r="UHL69" s="41"/>
      <c r="UHM69" s="41"/>
      <c r="UHN69" s="41"/>
      <c r="UJJ69" s="39"/>
      <c r="UJM69" s="41"/>
      <c r="UJN69" s="41"/>
      <c r="UJO69" s="41"/>
      <c r="UJP69" s="41"/>
      <c r="UJQ69" s="41"/>
      <c r="ULM69" s="39"/>
      <c r="ULP69" s="41"/>
      <c r="ULQ69" s="41"/>
      <c r="ULR69" s="41"/>
      <c r="ULS69" s="41"/>
      <c r="ULT69" s="41"/>
      <c r="UNP69" s="39"/>
      <c r="UNS69" s="41"/>
      <c r="UNT69" s="41"/>
      <c r="UNU69" s="41"/>
      <c r="UNV69" s="41"/>
      <c r="UNW69" s="41"/>
      <c r="UPS69" s="39"/>
      <c r="UPV69" s="41"/>
      <c r="UPW69" s="41"/>
      <c r="UPX69" s="41"/>
      <c r="UPY69" s="41"/>
      <c r="UPZ69" s="41"/>
      <c r="URV69" s="39"/>
      <c r="URY69" s="41"/>
      <c r="URZ69" s="41"/>
      <c r="USA69" s="41"/>
      <c r="USB69" s="41"/>
      <c r="USC69" s="41"/>
      <c r="UTY69" s="39"/>
      <c r="UUB69" s="41"/>
      <c r="UUC69" s="41"/>
      <c r="UUD69" s="41"/>
      <c r="UUE69" s="41"/>
      <c r="UUF69" s="41"/>
      <c r="UWB69" s="39"/>
      <c r="UWE69" s="41"/>
      <c r="UWF69" s="41"/>
      <c r="UWG69" s="41"/>
      <c r="UWH69" s="41"/>
      <c r="UWI69" s="41"/>
      <c r="UYE69" s="39"/>
      <c r="UYH69" s="41"/>
      <c r="UYI69" s="41"/>
      <c r="UYJ69" s="41"/>
      <c r="UYK69" s="41"/>
      <c r="UYL69" s="41"/>
      <c r="VAH69" s="39"/>
      <c r="VAK69" s="41"/>
      <c r="VAL69" s="41"/>
      <c r="VAM69" s="41"/>
      <c r="VAN69" s="41"/>
      <c r="VAO69" s="41"/>
      <c r="VCK69" s="39"/>
      <c r="VCN69" s="41"/>
      <c r="VCO69" s="41"/>
      <c r="VCP69" s="41"/>
      <c r="VCQ69" s="41"/>
      <c r="VCR69" s="41"/>
      <c r="VEN69" s="39"/>
      <c r="VEQ69" s="41"/>
      <c r="VER69" s="41"/>
      <c r="VES69" s="41"/>
      <c r="VET69" s="41"/>
      <c r="VEU69" s="41"/>
      <c r="VGQ69" s="39"/>
      <c r="VGT69" s="41"/>
      <c r="VGU69" s="41"/>
      <c r="VGV69" s="41"/>
      <c r="VGW69" s="41"/>
      <c r="VGX69" s="41"/>
      <c r="VIT69" s="39"/>
      <c r="VIW69" s="41"/>
      <c r="VIX69" s="41"/>
      <c r="VIY69" s="41"/>
      <c r="VIZ69" s="41"/>
      <c r="VJA69" s="41"/>
      <c r="VKW69" s="39"/>
      <c r="VKZ69" s="41"/>
      <c r="VLA69" s="41"/>
      <c r="VLB69" s="41"/>
      <c r="VLC69" s="41"/>
      <c r="VLD69" s="41"/>
      <c r="VMZ69" s="39"/>
      <c r="VNC69" s="41"/>
      <c r="VND69" s="41"/>
      <c r="VNE69" s="41"/>
      <c r="VNF69" s="41"/>
      <c r="VNG69" s="41"/>
      <c r="VPC69" s="39"/>
      <c r="VPF69" s="41"/>
      <c r="VPG69" s="41"/>
      <c r="VPH69" s="41"/>
      <c r="VPI69" s="41"/>
      <c r="VPJ69" s="41"/>
      <c r="VRF69" s="39"/>
      <c r="VRI69" s="41"/>
      <c r="VRJ69" s="41"/>
      <c r="VRK69" s="41"/>
      <c r="VRL69" s="41"/>
      <c r="VRM69" s="41"/>
      <c r="VTI69" s="39"/>
      <c r="VTL69" s="41"/>
      <c r="VTM69" s="41"/>
      <c r="VTN69" s="41"/>
      <c r="VTO69" s="41"/>
      <c r="VTP69" s="41"/>
      <c r="VVL69" s="39"/>
      <c r="VVO69" s="41"/>
      <c r="VVP69" s="41"/>
      <c r="VVQ69" s="41"/>
      <c r="VVR69" s="41"/>
      <c r="VVS69" s="41"/>
      <c r="VXO69" s="39"/>
      <c r="VXR69" s="41"/>
      <c r="VXS69" s="41"/>
      <c r="VXT69" s="41"/>
      <c r="VXU69" s="41"/>
      <c r="VXV69" s="41"/>
      <c r="VZR69" s="39"/>
      <c r="VZU69" s="41"/>
      <c r="VZV69" s="41"/>
      <c r="VZW69" s="41"/>
      <c r="VZX69" s="41"/>
      <c r="VZY69" s="41"/>
      <c r="WBU69" s="39"/>
      <c r="WBX69" s="41"/>
      <c r="WBY69" s="41"/>
      <c r="WBZ69" s="41"/>
      <c r="WCA69" s="41"/>
      <c r="WCB69" s="41"/>
      <c r="WDX69" s="39"/>
      <c r="WEA69" s="41"/>
      <c r="WEB69" s="41"/>
      <c r="WEC69" s="41"/>
      <c r="WED69" s="41"/>
      <c r="WEE69" s="41"/>
      <c r="WGA69" s="39"/>
      <c r="WGD69" s="41"/>
      <c r="WGE69" s="41"/>
      <c r="WGF69" s="41"/>
      <c r="WGG69" s="41"/>
      <c r="WGH69" s="41"/>
      <c r="WID69" s="39"/>
      <c r="WIG69" s="41"/>
      <c r="WIH69" s="41"/>
      <c r="WII69" s="41"/>
      <c r="WIJ69" s="41"/>
      <c r="WIK69" s="41"/>
      <c r="WKG69" s="39"/>
      <c r="WKJ69" s="41"/>
      <c r="WKK69" s="41"/>
      <c r="WKL69" s="41"/>
      <c r="WKM69" s="41"/>
      <c r="WKN69" s="41"/>
      <c r="WMJ69" s="39"/>
      <c r="WMM69" s="41"/>
      <c r="WMN69" s="41"/>
      <c r="WMO69" s="41"/>
      <c r="WMP69" s="41"/>
      <c r="WMQ69" s="41"/>
      <c r="WOM69" s="39"/>
      <c r="WOP69" s="41"/>
      <c r="WOQ69" s="41"/>
      <c r="WOR69" s="41"/>
      <c r="WOS69" s="41"/>
      <c r="WOT69" s="41"/>
      <c r="WQP69" s="39"/>
      <c r="WQS69" s="41"/>
      <c r="WQT69" s="41"/>
      <c r="WQU69" s="41"/>
      <c r="WQV69" s="41"/>
      <c r="WQW69" s="41"/>
      <c r="WSS69" s="39"/>
      <c r="WSV69" s="41"/>
      <c r="WSW69" s="41"/>
      <c r="WSX69" s="41"/>
      <c r="WSY69" s="41"/>
      <c r="WSZ69" s="41"/>
      <c r="WUV69" s="39"/>
      <c r="WUY69" s="41"/>
      <c r="WUZ69" s="41"/>
      <c r="WVA69" s="41"/>
      <c r="WVB69" s="41"/>
      <c r="WVC69" s="41"/>
      <c r="WWY69" s="39"/>
      <c r="WXB69" s="41"/>
      <c r="WXC69" s="41"/>
      <c r="WXD69" s="41"/>
      <c r="WXE69" s="41"/>
      <c r="WXF69" s="41"/>
      <c r="WZB69" s="39"/>
      <c r="WZE69" s="41"/>
      <c r="WZF69" s="41"/>
      <c r="WZG69" s="41"/>
      <c r="WZH69" s="41"/>
      <c r="WZI69" s="41"/>
      <c r="XBE69" s="39"/>
      <c r="XBH69" s="41"/>
      <c r="XBI69" s="41"/>
      <c r="XBJ69" s="41"/>
      <c r="XBK69" s="41"/>
      <c r="XBL69" s="41"/>
      <c r="XDH69" s="39"/>
      <c r="XDK69" s="41"/>
      <c r="XDL69" s="41"/>
      <c r="XDM69" s="41"/>
      <c r="XDN69" s="41"/>
      <c r="XDO69" s="41"/>
    </row>
    <row r="70" spans="1:998 1046:2043 2091:3033 3081:4078 4126:6113 6161:7158 7206:8148 8196:9193 9241:10238 10286:11228 11276:12273 12321:13311 13314:14308 14356:15353 15401:16343" s="40" customFormat="1" ht="15" customHeight="1" x14ac:dyDescent="0.25">
      <c r="A70" s="22" t="s">
        <v>540</v>
      </c>
      <c r="B70" s="23">
        <v>500</v>
      </c>
      <c r="C70" s="23">
        <v>40</v>
      </c>
      <c r="D70" s="24">
        <v>30</v>
      </c>
      <c r="E70" s="24" t="s">
        <v>469</v>
      </c>
      <c r="F70" s="24">
        <v>0</v>
      </c>
      <c r="G70" s="24">
        <f t="shared" si="18"/>
        <v>480</v>
      </c>
      <c r="H70" s="24">
        <f t="shared" si="19"/>
        <v>247</v>
      </c>
      <c r="I70" s="23">
        <f t="shared" si="20"/>
        <v>235</v>
      </c>
      <c r="J70" s="23">
        <f t="shared" si="21"/>
        <v>22.5</v>
      </c>
      <c r="K70" s="23">
        <v>1.8125</v>
      </c>
      <c r="L70" s="23">
        <v>16</v>
      </c>
      <c r="M70" s="23">
        <v>20</v>
      </c>
      <c r="N70" s="23">
        <f t="shared" si="22"/>
        <v>9</v>
      </c>
      <c r="O70" s="23">
        <f t="shared" si="23"/>
        <v>20</v>
      </c>
      <c r="P70" s="23">
        <f t="shared" si="24"/>
        <v>40</v>
      </c>
      <c r="Q70" s="23">
        <f t="shared" si="25"/>
        <v>40</v>
      </c>
      <c r="R70" s="23">
        <f t="shared" si="26"/>
        <v>20</v>
      </c>
      <c r="BD70" s="39"/>
      <c r="BG70" s="41"/>
      <c r="BH70" s="41"/>
      <c r="BI70" s="41"/>
      <c r="BJ70" s="41"/>
      <c r="BK70" s="41"/>
      <c r="DG70" s="39"/>
      <c r="DJ70" s="41"/>
      <c r="DK70" s="41"/>
      <c r="DL70" s="41"/>
      <c r="DM70" s="41"/>
      <c r="DN70" s="41"/>
      <c r="FJ70" s="39"/>
      <c r="FM70" s="41"/>
      <c r="FN70" s="41"/>
      <c r="FO70" s="41"/>
      <c r="FP70" s="41"/>
      <c r="FQ70" s="41"/>
      <c r="HM70" s="39"/>
      <c r="HP70" s="41"/>
      <c r="HQ70" s="41"/>
      <c r="HR70" s="41"/>
      <c r="HS70" s="41"/>
      <c r="HT70" s="41"/>
      <c r="JP70" s="39"/>
      <c r="JS70" s="41"/>
      <c r="JT70" s="41"/>
      <c r="JU70" s="41"/>
      <c r="JV70" s="41"/>
      <c r="JW70" s="41"/>
      <c r="LS70" s="39"/>
      <c r="LV70" s="41"/>
      <c r="LW70" s="41"/>
      <c r="LX70" s="41"/>
      <c r="LY70" s="41"/>
      <c r="LZ70" s="41"/>
      <c r="NV70" s="39"/>
      <c r="NY70" s="41"/>
      <c r="NZ70" s="41"/>
      <c r="OA70" s="41"/>
      <c r="OB70" s="41"/>
      <c r="OC70" s="41"/>
      <c r="PY70" s="39"/>
      <c r="QB70" s="41"/>
      <c r="QC70" s="41"/>
      <c r="QD70" s="41"/>
      <c r="QE70" s="41"/>
      <c r="QF70" s="41"/>
      <c r="SB70" s="39"/>
      <c r="SE70" s="41"/>
      <c r="SF70" s="41"/>
      <c r="SG70" s="41"/>
      <c r="SH70" s="41"/>
      <c r="SI70" s="41"/>
      <c r="UE70" s="39"/>
      <c r="UH70" s="41"/>
      <c r="UI70" s="41"/>
      <c r="UJ70" s="41"/>
      <c r="UK70" s="41"/>
      <c r="UL70" s="41"/>
      <c r="WH70" s="39"/>
      <c r="WK70" s="41"/>
      <c r="WL70" s="41"/>
      <c r="WM70" s="41"/>
      <c r="WN70" s="41"/>
      <c r="WO70" s="41"/>
      <c r="YK70" s="39"/>
      <c r="YN70" s="41"/>
      <c r="YO70" s="41"/>
      <c r="YP70" s="41"/>
      <c r="YQ70" s="41"/>
      <c r="YR70" s="41"/>
      <c r="AAN70" s="39"/>
      <c r="AAQ70" s="41"/>
      <c r="AAR70" s="41"/>
      <c r="AAS70" s="41"/>
      <c r="AAT70" s="41"/>
      <c r="AAU70" s="41"/>
      <c r="ACQ70" s="39"/>
      <c r="ACT70" s="41"/>
      <c r="ACU70" s="41"/>
      <c r="ACV70" s="41"/>
      <c r="ACW70" s="41"/>
      <c r="ACX70" s="41"/>
      <c r="AET70" s="39"/>
      <c r="AEW70" s="41"/>
      <c r="AEX70" s="41"/>
      <c r="AEY70" s="41"/>
      <c r="AEZ70" s="41"/>
      <c r="AFA70" s="41"/>
      <c r="AGW70" s="39"/>
      <c r="AGZ70" s="41"/>
      <c r="AHA70" s="41"/>
      <c r="AHB70" s="41"/>
      <c r="AHC70" s="41"/>
      <c r="AHD70" s="41"/>
      <c r="AIZ70" s="39"/>
      <c r="AJC70" s="41"/>
      <c r="AJD70" s="41"/>
      <c r="AJE70" s="41"/>
      <c r="AJF70" s="41"/>
      <c r="AJG70" s="41"/>
      <c r="ALC70" s="39"/>
      <c r="ALF70" s="41"/>
      <c r="ALG70" s="41"/>
      <c r="ALH70" s="41"/>
      <c r="ALI70" s="41"/>
      <c r="ALJ70" s="41"/>
      <c r="ANF70" s="39"/>
      <c r="ANI70" s="41"/>
      <c r="ANJ70" s="41"/>
      <c r="ANK70" s="41"/>
      <c r="ANL70" s="41"/>
      <c r="ANM70" s="41"/>
      <c r="API70" s="39"/>
      <c r="APL70" s="41"/>
      <c r="APM70" s="41"/>
      <c r="APN70" s="41"/>
      <c r="APO70" s="41"/>
      <c r="APP70" s="41"/>
      <c r="ARL70" s="39"/>
      <c r="ARO70" s="41"/>
      <c r="ARP70" s="41"/>
      <c r="ARQ70" s="41"/>
      <c r="ARR70" s="41"/>
      <c r="ARS70" s="41"/>
      <c r="ATO70" s="39"/>
      <c r="ATR70" s="41"/>
      <c r="ATS70" s="41"/>
      <c r="ATT70" s="41"/>
      <c r="ATU70" s="41"/>
      <c r="ATV70" s="41"/>
      <c r="AVR70" s="39"/>
      <c r="AVU70" s="41"/>
      <c r="AVV70" s="41"/>
      <c r="AVW70" s="41"/>
      <c r="AVX70" s="41"/>
      <c r="AVY70" s="41"/>
      <c r="AXU70" s="39"/>
      <c r="AXX70" s="41"/>
      <c r="AXY70" s="41"/>
      <c r="AXZ70" s="41"/>
      <c r="AYA70" s="41"/>
      <c r="AYB70" s="41"/>
      <c r="AZX70" s="39"/>
      <c r="BAA70" s="41"/>
      <c r="BAB70" s="41"/>
      <c r="BAC70" s="41"/>
      <c r="BAD70" s="41"/>
      <c r="BAE70" s="41"/>
      <c r="BCA70" s="39"/>
      <c r="BCD70" s="41"/>
      <c r="BCE70" s="41"/>
      <c r="BCF70" s="41"/>
      <c r="BCG70" s="41"/>
      <c r="BCH70" s="41"/>
      <c r="BED70" s="39"/>
      <c r="BEG70" s="41"/>
      <c r="BEH70" s="41"/>
      <c r="BEI70" s="41"/>
      <c r="BEJ70" s="41"/>
      <c r="BEK70" s="41"/>
      <c r="BGG70" s="39"/>
      <c r="BGJ70" s="41"/>
      <c r="BGK70" s="41"/>
      <c r="BGL70" s="41"/>
      <c r="BGM70" s="41"/>
      <c r="BGN70" s="41"/>
      <c r="BIJ70" s="39"/>
      <c r="BIM70" s="41"/>
      <c r="BIN70" s="41"/>
      <c r="BIO70" s="41"/>
      <c r="BIP70" s="41"/>
      <c r="BIQ70" s="41"/>
      <c r="BKM70" s="39"/>
      <c r="BKP70" s="41"/>
      <c r="BKQ70" s="41"/>
      <c r="BKR70" s="41"/>
      <c r="BKS70" s="41"/>
      <c r="BKT70" s="41"/>
      <c r="BMP70" s="39"/>
      <c r="BMS70" s="41"/>
      <c r="BMT70" s="41"/>
      <c r="BMU70" s="41"/>
      <c r="BMV70" s="41"/>
      <c r="BMW70" s="41"/>
      <c r="BOS70" s="39"/>
      <c r="BOV70" s="41"/>
      <c r="BOW70" s="41"/>
      <c r="BOX70" s="41"/>
      <c r="BOY70" s="41"/>
      <c r="BOZ70" s="41"/>
      <c r="BQV70" s="39"/>
      <c r="BQY70" s="41"/>
      <c r="BQZ70" s="41"/>
      <c r="BRA70" s="41"/>
      <c r="BRB70" s="41"/>
      <c r="BRC70" s="41"/>
      <c r="BSY70" s="39"/>
      <c r="BTB70" s="41"/>
      <c r="BTC70" s="41"/>
      <c r="BTD70" s="41"/>
      <c r="BTE70" s="41"/>
      <c r="BTF70" s="41"/>
      <c r="BVB70" s="39"/>
      <c r="BVE70" s="41"/>
      <c r="BVF70" s="41"/>
      <c r="BVG70" s="41"/>
      <c r="BVH70" s="41"/>
      <c r="BVI70" s="41"/>
      <c r="BXE70" s="39"/>
      <c r="BXH70" s="41"/>
      <c r="BXI70" s="41"/>
      <c r="BXJ70" s="41"/>
      <c r="BXK70" s="41"/>
      <c r="BXL70" s="41"/>
      <c r="BZH70" s="39"/>
      <c r="BZK70" s="41"/>
      <c r="BZL70" s="41"/>
      <c r="BZM70" s="41"/>
      <c r="BZN70" s="41"/>
      <c r="BZO70" s="41"/>
      <c r="CBK70" s="39"/>
      <c r="CBN70" s="41"/>
      <c r="CBO70" s="41"/>
      <c r="CBP70" s="41"/>
      <c r="CBQ70" s="41"/>
      <c r="CBR70" s="41"/>
      <c r="CDN70" s="39"/>
      <c r="CDQ70" s="41"/>
      <c r="CDR70" s="41"/>
      <c r="CDS70" s="41"/>
      <c r="CDT70" s="41"/>
      <c r="CDU70" s="41"/>
      <c r="CFQ70" s="39"/>
      <c r="CFT70" s="41"/>
      <c r="CFU70" s="41"/>
      <c r="CFV70" s="41"/>
      <c r="CFW70" s="41"/>
      <c r="CFX70" s="41"/>
      <c r="CHT70" s="39"/>
      <c r="CHW70" s="41"/>
      <c r="CHX70" s="41"/>
      <c r="CHY70" s="41"/>
      <c r="CHZ70" s="41"/>
      <c r="CIA70" s="41"/>
      <c r="CJW70" s="39"/>
      <c r="CJZ70" s="41"/>
      <c r="CKA70" s="41"/>
      <c r="CKB70" s="41"/>
      <c r="CKC70" s="41"/>
      <c r="CKD70" s="41"/>
      <c r="CLZ70" s="39"/>
      <c r="CMC70" s="41"/>
      <c r="CMD70" s="41"/>
      <c r="CME70" s="41"/>
      <c r="CMF70" s="41"/>
      <c r="CMG70" s="41"/>
      <c r="COC70" s="39"/>
      <c r="COF70" s="41"/>
      <c r="COG70" s="41"/>
      <c r="COH70" s="41"/>
      <c r="COI70" s="41"/>
      <c r="COJ70" s="41"/>
      <c r="CQF70" s="39"/>
      <c r="CQI70" s="41"/>
      <c r="CQJ70" s="41"/>
      <c r="CQK70" s="41"/>
      <c r="CQL70" s="41"/>
      <c r="CQM70" s="41"/>
      <c r="CSI70" s="39"/>
      <c r="CSL70" s="41"/>
      <c r="CSM70" s="41"/>
      <c r="CSN70" s="41"/>
      <c r="CSO70" s="41"/>
      <c r="CSP70" s="41"/>
      <c r="CUL70" s="39"/>
      <c r="CUO70" s="41"/>
      <c r="CUP70" s="41"/>
      <c r="CUQ70" s="41"/>
      <c r="CUR70" s="41"/>
      <c r="CUS70" s="41"/>
      <c r="CWO70" s="39"/>
      <c r="CWR70" s="41"/>
      <c r="CWS70" s="41"/>
      <c r="CWT70" s="41"/>
      <c r="CWU70" s="41"/>
      <c r="CWV70" s="41"/>
      <c r="CYR70" s="39"/>
      <c r="CYU70" s="41"/>
      <c r="CYV70" s="41"/>
      <c r="CYW70" s="41"/>
      <c r="CYX70" s="41"/>
      <c r="CYY70" s="41"/>
      <c r="DAU70" s="39"/>
      <c r="DAX70" s="41"/>
      <c r="DAY70" s="41"/>
      <c r="DAZ70" s="41"/>
      <c r="DBA70" s="41"/>
      <c r="DBB70" s="41"/>
      <c r="DCX70" s="39"/>
      <c r="DDA70" s="41"/>
      <c r="DDB70" s="41"/>
      <c r="DDC70" s="41"/>
      <c r="DDD70" s="41"/>
      <c r="DDE70" s="41"/>
      <c r="DFA70" s="39"/>
      <c r="DFD70" s="41"/>
      <c r="DFE70" s="41"/>
      <c r="DFF70" s="41"/>
      <c r="DFG70" s="41"/>
      <c r="DFH70" s="41"/>
      <c r="DHD70" s="39"/>
      <c r="DHG70" s="41"/>
      <c r="DHH70" s="41"/>
      <c r="DHI70" s="41"/>
      <c r="DHJ70" s="41"/>
      <c r="DHK70" s="41"/>
      <c r="DJG70" s="39"/>
      <c r="DJJ70" s="41"/>
      <c r="DJK70" s="41"/>
      <c r="DJL70" s="41"/>
      <c r="DJM70" s="41"/>
      <c r="DJN70" s="41"/>
      <c r="DLJ70" s="39"/>
      <c r="DLM70" s="41"/>
      <c r="DLN70" s="41"/>
      <c r="DLO70" s="41"/>
      <c r="DLP70" s="41"/>
      <c r="DLQ70" s="41"/>
      <c r="DNM70" s="39"/>
      <c r="DNP70" s="41"/>
      <c r="DNQ70" s="41"/>
      <c r="DNR70" s="41"/>
      <c r="DNS70" s="41"/>
      <c r="DNT70" s="41"/>
      <c r="DPP70" s="39"/>
      <c r="DPS70" s="41"/>
      <c r="DPT70" s="41"/>
      <c r="DPU70" s="41"/>
      <c r="DPV70" s="41"/>
      <c r="DPW70" s="41"/>
      <c r="DRS70" s="39"/>
      <c r="DRV70" s="41"/>
      <c r="DRW70" s="41"/>
      <c r="DRX70" s="41"/>
      <c r="DRY70" s="41"/>
      <c r="DRZ70" s="41"/>
      <c r="DTV70" s="39"/>
      <c r="DTY70" s="41"/>
      <c r="DTZ70" s="41"/>
      <c r="DUA70" s="41"/>
      <c r="DUB70" s="41"/>
      <c r="DUC70" s="41"/>
      <c r="DVY70" s="39"/>
      <c r="DWB70" s="41"/>
      <c r="DWC70" s="41"/>
      <c r="DWD70" s="41"/>
      <c r="DWE70" s="41"/>
      <c r="DWF70" s="41"/>
      <c r="DYB70" s="39"/>
      <c r="DYE70" s="41"/>
      <c r="DYF70" s="41"/>
      <c r="DYG70" s="41"/>
      <c r="DYH70" s="41"/>
      <c r="DYI70" s="41"/>
      <c r="EAE70" s="39"/>
      <c r="EAH70" s="41"/>
      <c r="EAI70" s="41"/>
      <c r="EAJ70" s="41"/>
      <c r="EAK70" s="41"/>
      <c r="EAL70" s="41"/>
      <c r="ECH70" s="39"/>
      <c r="ECK70" s="41"/>
      <c r="ECL70" s="41"/>
      <c r="ECM70" s="41"/>
      <c r="ECN70" s="41"/>
      <c r="ECO70" s="41"/>
      <c r="EEK70" s="39"/>
      <c r="EEN70" s="41"/>
      <c r="EEO70" s="41"/>
      <c r="EEP70" s="41"/>
      <c r="EEQ70" s="41"/>
      <c r="EER70" s="41"/>
      <c r="EGN70" s="39"/>
      <c r="EGQ70" s="41"/>
      <c r="EGR70" s="41"/>
      <c r="EGS70" s="41"/>
      <c r="EGT70" s="41"/>
      <c r="EGU70" s="41"/>
      <c r="EIQ70" s="39"/>
      <c r="EIT70" s="41"/>
      <c r="EIU70" s="41"/>
      <c r="EIV70" s="41"/>
      <c r="EIW70" s="41"/>
      <c r="EIX70" s="41"/>
      <c r="EKT70" s="39"/>
      <c r="EKW70" s="41"/>
      <c r="EKX70" s="41"/>
      <c r="EKY70" s="41"/>
      <c r="EKZ70" s="41"/>
      <c r="ELA70" s="41"/>
      <c r="EMW70" s="39"/>
      <c r="EMZ70" s="41"/>
      <c r="ENA70" s="41"/>
      <c r="ENB70" s="41"/>
      <c r="ENC70" s="41"/>
      <c r="END70" s="41"/>
      <c r="EOZ70" s="39"/>
      <c r="EPC70" s="41"/>
      <c r="EPD70" s="41"/>
      <c r="EPE70" s="41"/>
      <c r="EPF70" s="41"/>
      <c r="EPG70" s="41"/>
      <c r="ERC70" s="39"/>
      <c r="ERF70" s="41"/>
      <c r="ERG70" s="41"/>
      <c r="ERH70" s="41"/>
      <c r="ERI70" s="41"/>
      <c r="ERJ70" s="41"/>
      <c r="ETF70" s="39"/>
      <c r="ETI70" s="41"/>
      <c r="ETJ70" s="41"/>
      <c r="ETK70" s="41"/>
      <c r="ETL70" s="41"/>
      <c r="ETM70" s="41"/>
      <c r="EVI70" s="39"/>
      <c r="EVL70" s="41"/>
      <c r="EVM70" s="41"/>
      <c r="EVN70" s="41"/>
      <c r="EVO70" s="41"/>
      <c r="EVP70" s="41"/>
      <c r="EXL70" s="39"/>
      <c r="EXO70" s="41"/>
      <c r="EXP70" s="41"/>
      <c r="EXQ70" s="41"/>
      <c r="EXR70" s="41"/>
      <c r="EXS70" s="41"/>
      <c r="EZO70" s="39"/>
      <c r="EZR70" s="41"/>
      <c r="EZS70" s="41"/>
      <c r="EZT70" s="41"/>
      <c r="EZU70" s="41"/>
      <c r="EZV70" s="41"/>
      <c r="FBR70" s="39"/>
      <c r="FBU70" s="41"/>
      <c r="FBV70" s="41"/>
      <c r="FBW70" s="41"/>
      <c r="FBX70" s="41"/>
      <c r="FBY70" s="41"/>
      <c r="FDU70" s="39"/>
      <c r="FDX70" s="41"/>
      <c r="FDY70" s="41"/>
      <c r="FDZ70" s="41"/>
      <c r="FEA70" s="41"/>
      <c r="FEB70" s="41"/>
      <c r="FFX70" s="39"/>
      <c r="FGA70" s="41"/>
      <c r="FGB70" s="41"/>
      <c r="FGC70" s="41"/>
      <c r="FGD70" s="41"/>
      <c r="FGE70" s="41"/>
      <c r="FIA70" s="39"/>
      <c r="FID70" s="41"/>
      <c r="FIE70" s="41"/>
      <c r="FIF70" s="41"/>
      <c r="FIG70" s="41"/>
      <c r="FIH70" s="41"/>
      <c r="FKD70" s="39"/>
      <c r="FKG70" s="41"/>
      <c r="FKH70" s="41"/>
      <c r="FKI70" s="41"/>
      <c r="FKJ70" s="41"/>
      <c r="FKK70" s="41"/>
      <c r="FMG70" s="39"/>
      <c r="FMJ70" s="41"/>
      <c r="FMK70" s="41"/>
      <c r="FML70" s="41"/>
      <c r="FMM70" s="41"/>
      <c r="FMN70" s="41"/>
      <c r="FOJ70" s="39"/>
      <c r="FOM70" s="41"/>
      <c r="FON70" s="41"/>
      <c r="FOO70" s="41"/>
      <c r="FOP70" s="41"/>
      <c r="FOQ70" s="41"/>
      <c r="FQM70" s="39"/>
      <c r="FQP70" s="41"/>
      <c r="FQQ70" s="41"/>
      <c r="FQR70" s="41"/>
      <c r="FQS70" s="41"/>
      <c r="FQT70" s="41"/>
      <c r="FSP70" s="39"/>
      <c r="FSS70" s="41"/>
      <c r="FST70" s="41"/>
      <c r="FSU70" s="41"/>
      <c r="FSV70" s="41"/>
      <c r="FSW70" s="41"/>
      <c r="FUS70" s="39"/>
      <c r="FUV70" s="41"/>
      <c r="FUW70" s="41"/>
      <c r="FUX70" s="41"/>
      <c r="FUY70" s="41"/>
      <c r="FUZ70" s="41"/>
      <c r="FWV70" s="39"/>
      <c r="FWY70" s="41"/>
      <c r="FWZ70" s="41"/>
      <c r="FXA70" s="41"/>
      <c r="FXB70" s="41"/>
      <c r="FXC70" s="41"/>
      <c r="FYY70" s="39"/>
      <c r="FZB70" s="41"/>
      <c r="FZC70" s="41"/>
      <c r="FZD70" s="41"/>
      <c r="FZE70" s="41"/>
      <c r="FZF70" s="41"/>
      <c r="GBB70" s="39"/>
      <c r="GBE70" s="41"/>
      <c r="GBF70" s="41"/>
      <c r="GBG70" s="41"/>
      <c r="GBH70" s="41"/>
      <c r="GBI70" s="41"/>
      <c r="GDE70" s="39"/>
      <c r="GDH70" s="41"/>
      <c r="GDI70" s="41"/>
      <c r="GDJ70" s="41"/>
      <c r="GDK70" s="41"/>
      <c r="GDL70" s="41"/>
      <c r="GFH70" s="39"/>
      <c r="GFK70" s="41"/>
      <c r="GFL70" s="41"/>
      <c r="GFM70" s="41"/>
      <c r="GFN70" s="41"/>
      <c r="GFO70" s="41"/>
      <c r="GHK70" s="39"/>
      <c r="GHN70" s="41"/>
      <c r="GHO70" s="41"/>
      <c r="GHP70" s="41"/>
      <c r="GHQ70" s="41"/>
      <c r="GHR70" s="41"/>
      <c r="GJN70" s="39"/>
      <c r="GJQ70" s="41"/>
      <c r="GJR70" s="41"/>
      <c r="GJS70" s="41"/>
      <c r="GJT70" s="41"/>
      <c r="GJU70" s="41"/>
      <c r="GLQ70" s="39"/>
      <c r="GLT70" s="41"/>
      <c r="GLU70" s="41"/>
      <c r="GLV70" s="41"/>
      <c r="GLW70" s="41"/>
      <c r="GLX70" s="41"/>
      <c r="GNT70" s="39"/>
      <c r="GNW70" s="41"/>
      <c r="GNX70" s="41"/>
      <c r="GNY70" s="41"/>
      <c r="GNZ70" s="41"/>
      <c r="GOA70" s="41"/>
      <c r="GPW70" s="39"/>
      <c r="GPZ70" s="41"/>
      <c r="GQA70" s="41"/>
      <c r="GQB70" s="41"/>
      <c r="GQC70" s="41"/>
      <c r="GQD70" s="41"/>
      <c r="GRZ70" s="39"/>
      <c r="GSC70" s="41"/>
      <c r="GSD70" s="41"/>
      <c r="GSE70" s="41"/>
      <c r="GSF70" s="41"/>
      <c r="GSG70" s="41"/>
      <c r="GUC70" s="39"/>
      <c r="GUF70" s="41"/>
      <c r="GUG70" s="41"/>
      <c r="GUH70" s="41"/>
      <c r="GUI70" s="41"/>
      <c r="GUJ70" s="41"/>
      <c r="GWF70" s="39"/>
      <c r="GWI70" s="41"/>
      <c r="GWJ70" s="41"/>
      <c r="GWK70" s="41"/>
      <c r="GWL70" s="41"/>
      <c r="GWM70" s="41"/>
      <c r="GYI70" s="39"/>
      <c r="GYL70" s="41"/>
      <c r="GYM70" s="41"/>
      <c r="GYN70" s="41"/>
      <c r="GYO70" s="41"/>
      <c r="GYP70" s="41"/>
      <c r="HAL70" s="39"/>
      <c r="HAO70" s="41"/>
      <c r="HAP70" s="41"/>
      <c r="HAQ70" s="41"/>
      <c r="HAR70" s="41"/>
      <c r="HAS70" s="41"/>
      <c r="HCO70" s="39"/>
      <c r="HCR70" s="41"/>
      <c r="HCS70" s="41"/>
      <c r="HCT70" s="41"/>
      <c r="HCU70" s="41"/>
      <c r="HCV70" s="41"/>
      <c r="HER70" s="39"/>
      <c r="HEU70" s="41"/>
      <c r="HEV70" s="41"/>
      <c r="HEW70" s="41"/>
      <c r="HEX70" s="41"/>
      <c r="HEY70" s="41"/>
      <c r="HGU70" s="39"/>
      <c r="HGX70" s="41"/>
      <c r="HGY70" s="41"/>
      <c r="HGZ70" s="41"/>
      <c r="HHA70" s="41"/>
      <c r="HHB70" s="41"/>
      <c r="HIX70" s="39"/>
      <c r="HJA70" s="41"/>
      <c r="HJB70" s="41"/>
      <c r="HJC70" s="41"/>
      <c r="HJD70" s="41"/>
      <c r="HJE70" s="41"/>
      <c r="HLA70" s="39"/>
      <c r="HLD70" s="41"/>
      <c r="HLE70" s="41"/>
      <c r="HLF70" s="41"/>
      <c r="HLG70" s="41"/>
      <c r="HLH70" s="41"/>
      <c r="HND70" s="39"/>
      <c r="HNG70" s="41"/>
      <c r="HNH70" s="41"/>
      <c r="HNI70" s="41"/>
      <c r="HNJ70" s="41"/>
      <c r="HNK70" s="41"/>
      <c r="HPG70" s="39"/>
      <c r="HPJ70" s="41"/>
      <c r="HPK70" s="41"/>
      <c r="HPL70" s="41"/>
      <c r="HPM70" s="41"/>
      <c r="HPN70" s="41"/>
      <c r="HRJ70" s="39"/>
      <c r="HRM70" s="41"/>
      <c r="HRN70" s="41"/>
      <c r="HRO70" s="41"/>
      <c r="HRP70" s="41"/>
      <c r="HRQ70" s="41"/>
      <c r="HTM70" s="39"/>
      <c r="HTP70" s="41"/>
      <c r="HTQ70" s="41"/>
      <c r="HTR70" s="41"/>
      <c r="HTS70" s="41"/>
      <c r="HTT70" s="41"/>
      <c r="HVP70" s="39"/>
      <c r="HVS70" s="41"/>
      <c r="HVT70" s="41"/>
      <c r="HVU70" s="41"/>
      <c r="HVV70" s="41"/>
      <c r="HVW70" s="41"/>
      <c r="HXS70" s="39"/>
      <c r="HXV70" s="41"/>
      <c r="HXW70" s="41"/>
      <c r="HXX70" s="41"/>
      <c r="HXY70" s="41"/>
      <c r="HXZ70" s="41"/>
      <c r="HZV70" s="39"/>
      <c r="HZY70" s="41"/>
      <c r="HZZ70" s="41"/>
      <c r="IAA70" s="41"/>
      <c r="IAB70" s="41"/>
      <c r="IAC70" s="41"/>
      <c r="IBY70" s="39"/>
      <c r="ICB70" s="41"/>
      <c r="ICC70" s="41"/>
      <c r="ICD70" s="41"/>
      <c r="ICE70" s="41"/>
      <c r="ICF70" s="41"/>
      <c r="IEB70" s="39"/>
      <c r="IEE70" s="41"/>
      <c r="IEF70" s="41"/>
      <c r="IEG70" s="41"/>
      <c r="IEH70" s="41"/>
      <c r="IEI70" s="41"/>
      <c r="IGE70" s="39"/>
      <c r="IGH70" s="41"/>
      <c r="IGI70" s="41"/>
      <c r="IGJ70" s="41"/>
      <c r="IGK70" s="41"/>
      <c r="IGL70" s="41"/>
      <c r="IIH70" s="39"/>
      <c r="IIK70" s="41"/>
      <c r="IIL70" s="41"/>
      <c r="IIM70" s="41"/>
      <c r="IIN70" s="41"/>
      <c r="IIO70" s="41"/>
      <c r="IKK70" s="39"/>
      <c r="IKN70" s="41"/>
      <c r="IKO70" s="41"/>
      <c r="IKP70" s="41"/>
      <c r="IKQ70" s="41"/>
      <c r="IKR70" s="41"/>
      <c r="IMN70" s="39"/>
      <c r="IMQ70" s="41"/>
      <c r="IMR70" s="41"/>
      <c r="IMS70" s="41"/>
      <c r="IMT70" s="41"/>
      <c r="IMU70" s="41"/>
      <c r="IOQ70" s="39"/>
      <c r="IOT70" s="41"/>
      <c r="IOU70" s="41"/>
      <c r="IOV70" s="41"/>
      <c r="IOW70" s="41"/>
      <c r="IOX70" s="41"/>
      <c r="IQT70" s="39"/>
      <c r="IQW70" s="41"/>
      <c r="IQX70" s="41"/>
      <c r="IQY70" s="41"/>
      <c r="IQZ70" s="41"/>
      <c r="IRA70" s="41"/>
      <c r="ISW70" s="39"/>
      <c r="ISZ70" s="41"/>
      <c r="ITA70" s="41"/>
      <c r="ITB70" s="41"/>
      <c r="ITC70" s="41"/>
      <c r="ITD70" s="41"/>
      <c r="IUZ70" s="39"/>
      <c r="IVC70" s="41"/>
      <c r="IVD70" s="41"/>
      <c r="IVE70" s="41"/>
      <c r="IVF70" s="41"/>
      <c r="IVG70" s="41"/>
      <c r="IXC70" s="39"/>
      <c r="IXF70" s="41"/>
      <c r="IXG70" s="41"/>
      <c r="IXH70" s="41"/>
      <c r="IXI70" s="41"/>
      <c r="IXJ70" s="41"/>
      <c r="IZF70" s="39"/>
      <c r="IZI70" s="41"/>
      <c r="IZJ70" s="41"/>
      <c r="IZK70" s="41"/>
      <c r="IZL70" s="41"/>
      <c r="IZM70" s="41"/>
      <c r="JBI70" s="39"/>
      <c r="JBL70" s="41"/>
      <c r="JBM70" s="41"/>
      <c r="JBN70" s="41"/>
      <c r="JBO70" s="41"/>
      <c r="JBP70" s="41"/>
      <c r="JDL70" s="39"/>
      <c r="JDO70" s="41"/>
      <c r="JDP70" s="41"/>
      <c r="JDQ70" s="41"/>
      <c r="JDR70" s="41"/>
      <c r="JDS70" s="41"/>
      <c r="JFO70" s="39"/>
      <c r="JFR70" s="41"/>
      <c r="JFS70" s="41"/>
      <c r="JFT70" s="41"/>
      <c r="JFU70" s="41"/>
      <c r="JFV70" s="41"/>
      <c r="JHR70" s="39"/>
      <c r="JHU70" s="41"/>
      <c r="JHV70" s="41"/>
      <c r="JHW70" s="41"/>
      <c r="JHX70" s="41"/>
      <c r="JHY70" s="41"/>
      <c r="JJU70" s="39"/>
      <c r="JJX70" s="41"/>
      <c r="JJY70" s="41"/>
      <c r="JJZ70" s="41"/>
      <c r="JKA70" s="41"/>
      <c r="JKB70" s="41"/>
      <c r="JLX70" s="39"/>
      <c r="JMA70" s="41"/>
      <c r="JMB70" s="41"/>
      <c r="JMC70" s="41"/>
      <c r="JMD70" s="41"/>
      <c r="JME70" s="41"/>
      <c r="JOA70" s="39"/>
      <c r="JOD70" s="41"/>
      <c r="JOE70" s="41"/>
      <c r="JOF70" s="41"/>
      <c r="JOG70" s="41"/>
      <c r="JOH70" s="41"/>
      <c r="JQD70" s="39"/>
      <c r="JQG70" s="41"/>
      <c r="JQH70" s="41"/>
      <c r="JQI70" s="41"/>
      <c r="JQJ70" s="41"/>
      <c r="JQK70" s="41"/>
      <c r="JSG70" s="39"/>
      <c r="JSJ70" s="41"/>
      <c r="JSK70" s="41"/>
      <c r="JSL70" s="41"/>
      <c r="JSM70" s="41"/>
      <c r="JSN70" s="41"/>
      <c r="JUJ70" s="39"/>
      <c r="JUM70" s="41"/>
      <c r="JUN70" s="41"/>
      <c r="JUO70" s="41"/>
      <c r="JUP70" s="41"/>
      <c r="JUQ70" s="41"/>
      <c r="JWM70" s="39"/>
      <c r="JWP70" s="41"/>
      <c r="JWQ70" s="41"/>
      <c r="JWR70" s="41"/>
      <c r="JWS70" s="41"/>
      <c r="JWT70" s="41"/>
      <c r="JYP70" s="39"/>
      <c r="JYS70" s="41"/>
      <c r="JYT70" s="41"/>
      <c r="JYU70" s="41"/>
      <c r="JYV70" s="41"/>
      <c r="JYW70" s="41"/>
      <c r="KAS70" s="39"/>
      <c r="KAV70" s="41"/>
      <c r="KAW70" s="41"/>
      <c r="KAX70" s="41"/>
      <c r="KAY70" s="41"/>
      <c r="KAZ70" s="41"/>
      <c r="KCV70" s="39"/>
      <c r="KCY70" s="41"/>
      <c r="KCZ70" s="41"/>
      <c r="KDA70" s="41"/>
      <c r="KDB70" s="41"/>
      <c r="KDC70" s="41"/>
      <c r="KEY70" s="39"/>
      <c r="KFB70" s="41"/>
      <c r="KFC70" s="41"/>
      <c r="KFD70" s="41"/>
      <c r="KFE70" s="41"/>
      <c r="KFF70" s="41"/>
      <c r="KHB70" s="39"/>
      <c r="KHE70" s="41"/>
      <c r="KHF70" s="41"/>
      <c r="KHG70" s="41"/>
      <c r="KHH70" s="41"/>
      <c r="KHI70" s="41"/>
      <c r="KJE70" s="39"/>
      <c r="KJH70" s="41"/>
      <c r="KJI70" s="41"/>
      <c r="KJJ70" s="41"/>
      <c r="KJK70" s="41"/>
      <c r="KJL70" s="41"/>
      <c r="KLH70" s="39"/>
      <c r="KLK70" s="41"/>
      <c r="KLL70" s="41"/>
      <c r="KLM70" s="41"/>
      <c r="KLN70" s="41"/>
      <c r="KLO70" s="41"/>
      <c r="KNK70" s="39"/>
      <c r="KNN70" s="41"/>
      <c r="KNO70" s="41"/>
      <c r="KNP70" s="41"/>
      <c r="KNQ70" s="41"/>
      <c r="KNR70" s="41"/>
      <c r="KPN70" s="39"/>
      <c r="KPQ70" s="41"/>
      <c r="KPR70" s="41"/>
      <c r="KPS70" s="41"/>
      <c r="KPT70" s="41"/>
      <c r="KPU70" s="41"/>
      <c r="KRQ70" s="39"/>
      <c r="KRT70" s="41"/>
      <c r="KRU70" s="41"/>
      <c r="KRV70" s="41"/>
      <c r="KRW70" s="41"/>
      <c r="KRX70" s="41"/>
      <c r="KTT70" s="39"/>
      <c r="KTW70" s="41"/>
      <c r="KTX70" s="41"/>
      <c r="KTY70" s="41"/>
      <c r="KTZ70" s="41"/>
      <c r="KUA70" s="41"/>
      <c r="KVW70" s="39"/>
      <c r="KVZ70" s="41"/>
      <c r="KWA70" s="41"/>
      <c r="KWB70" s="41"/>
      <c r="KWC70" s="41"/>
      <c r="KWD70" s="41"/>
      <c r="KXZ70" s="39"/>
      <c r="KYC70" s="41"/>
      <c r="KYD70" s="41"/>
      <c r="KYE70" s="41"/>
      <c r="KYF70" s="41"/>
      <c r="KYG70" s="41"/>
      <c r="LAC70" s="39"/>
      <c r="LAF70" s="41"/>
      <c r="LAG70" s="41"/>
      <c r="LAH70" s="41"/>
      <c r="LAI70" s="41"/>
      <c r="LAJ70" s="41"/>
      <c r="LCF70" s="39"/>
      <c r="LCI70" s="41"/>
      <c r="LCJ70" s="41"/>
      <c r="LCK70" s="41"/>
      <c r="LCL70" s="41"/>
      <c r="LCM70" s="41"/>
      <c r="LEI70" s="39"/>
      <c r="LEL70" s="41"/>
      <c r="LEM70" s="41"/>
      <c r="LEN70" s="41"/>
      <c r="LEO70" s="41"/>
      <c r="LEP70" s="41"/>
      <c r="LGL70" s="39"/>
      <c r="LGO70" s="41"/>
      <c r="LGP70" s="41"/>
      <c r="LGQ70" s="41"/>
      <c r="LGR70" s="41"/>
      <c r="LGS70" s="41"/>
      <c r="LIO70" s="39"/>
      <c r="LIR70" s="41"/>
      <c r="LIS70" s="41"/>
      <c r="LIT70" s="41"/>
      <c r="LIU70" s="41"/>
      <c r="LIV70" s="41"/>
      <c r="LKR70" s="39"/>
      <c r="LKU70" s="41"/>
      <c r="LKV70" s="41"/>
      <c r="LKW70" s="41"/>
      <c r="LKX70" s="41"/>
      <c r="LKY70" s="41"/>
      <c r="LMU70" s="39"/>
      <c r="LMX70" s="41"/>
      <c r="LMY70" s="41"/>
      <c r="LMZ70" s="41"/>
      <c r="LNA70" s="41"/>
      <c r="LNB70" s="41"/>
      <c r="LOX70" s="39"/>
      <c r="LPA70" s="41"/>
      <c r="LPB70" s="41"/>
      <c r="LPC70" s="41"/>
      <c r="LPD70" s="41"/>
      <c r="LPE70" s="41"/>
      <c r="LRA70" s="39"/>
      <c r="LRD70" s="41"/>
      <c r="LRE70" s="41"/>
      <c r="LRF70" s="41"/>
      <c r="LRG70" s="41"/>
      <c r="LRH70" s="41"/>
      <c r="LTD70" s="39"/>
      <c r="LTG70" s="41"/>
      <c r="LTH70" s="41"/>
      <c r="LTI70" s="41"/>
      <c r="LTJ70" s="41"/>
      <c r="LTK70" s="41"/>
      <c r="LVG70" s="39"/>
      <c r="LVJ70" s="41"/>
      <c r="LVK70" s="41"/>
      <c r="LVL70" s="41"/>
      <c r="LVM70" s="41"/>
      <c r="LVN70" s="41"/>
      <c r="LXJ70" s="39"/>
      <c r="LXM70" s="41"/>
      <c r="LXN70" s="41"/>
      <c r="LXO70" s="41"/>
      <c r="LXP70" s="41"/>
      <c r="LXQ70" s="41"/>
      <c r="LZM70" s="39"/>
      <c r="LZP70" s="41"/>
      <c r="LZQ70" s="41"/>
      <c r="LZR70" s="41"/>
      <c r="LZS70" s="41"/>
      <c r="LZT70" s="41"/>
      <c r="MBP70" s="39"/>
      <c r="MBS70" s="41"/>
      <c r="MBT70" s="41"/>
      <c r="MBU70" s="41"/>
      <c r="MBV70" s="41"/>
      <c r="MBW70" s="41"/>
      <c r="MDS70" s="39"/>
      <c r="MDV70" s="41"/>
      <c r="MDW70" s="41"/>
      <c r="MDX70" s="41"/>
      <c r="MDY70" s="41"/>
      <c r="MDZ70" s="41"/>
      <c r="MFV70" s="39"/>
      <c r="MFY70" s="41"/>
      <c r="MFZ70" s="41"/>
      <c r="MGA70" s="41"/>
      <c r="MGB70" s="41"/>
      <c r="MGC70" s="41"/>
      <c r="MHY70" s="39"/>
      <c r="MIB70" s="41"/>
      <c r="MIC70" s="41"/>
      <c r="MID70" s="41"/>
      <c r="MIE70" s="41"/>
      <c r="MIF70" s="41"/>
      <c r="MKB70" s="39"/>
      <c r="MKE70" s="41"/>
      <c r="MKF70" s="41"/>
      <c r="MKG70" s="41"/>
      <c r="MKH70" s="41"/>
      <c r="MKI70" s="41"/>
      <c r="MME70" s="39"/>
      <c r="MMH70" s="41"/>
      <c r="MMI70" s="41"/>
      <c r="MMJ70" s="41"/>
      <c r="MMK70" s="41"/>
      <c r="MML70" s="41"/>
      <c r="MOH70" s="39"/>
      <c r="MOK70" s="41"/>
      <c r="MOL70" s="41"/>
      <c r="MOM70" s="41"/>
      <c r="MON70" s="41"/>
      <c r="MOO70" s="41"/>
      <c r="MQK70" s="39"/>
      <c r="MQN70" s="41"/>
      <c r="MQO70" s="41"/>
      <c r="MQP70" s="41"/>
      <c r="MQQ70" s="41"/>
      <c r="MQR70" s="41"/>
      <c r="MSN70" s="39"/>
      <c r="MSQ70" s="41"/>
      <c r="MSR70" s="41"/>
      <c r="MSS70" s="41"/>
      <c r="MST70" s="41"/>
      <c r="MSU70" s="41"/>
      <c r="MUQ70" s="39"/>
      <c r="MUT70" s="41"/>
      <c r="MUU70" s="41"/>
      <c r="MUV70" s="41"/>
      <c r="MUW70" s="41"/>
      <c r="MUX70" s="41"/>
      <c r="MWT70" s="39"/>
      <c r="MWW70" s="41"/>
      <c r="MWX70" s="41"/>
      <c r="MWY70" s="41"/>
      <c r="MWZ70" s="41"/>
      <c r="MXA70" s="41"/>
      <c r="MYW70" s="39"/>
      <c r="MYZ70" s="41"/>
      <c r="MZA70" s="41"/>
      <c r="MZB70" s="41"/>
      <c r="MZC70" s="41"/>
      <c r="MZD70" s="41"/>
      <c r="NAZ70" s="39"/>
      <c r="NBC70" s="41"/>
      <c r="NBD70" s="41"/>
      <c r="NBE70" s="41"/>
      <c r="NBF70" s="41"/>
      <c r="NBG70" s="41"/>
      <c r="NDC70" s="39"/>
      <c r="NDF70" s="41"/>
      <c r="NDG70" s="41"/>
      <c r="NDH70" s="41"/>
      <c r="NDI70" s="41"/>
      <c r="NDJ70" s="41"/>
      <c r="NFF70" s="39"/>
      <c r="NFI70" s="41"/>
      <c r="NFJ70" s="41"/>
      <c r="NFK70" s="41"/>
      <c r="NFL70" s="41"/>
      <c r="NFM70" s="41"/>
      <c r="NHI70" s="39"/>
      <c r="NHL70" s="41"/>
      <c r="NHM70" s="41"/>
      <c r="NHN70" s="41"/>
      <c r="NHO70" s="41"/>
      <c r="NHP70" s="41"/>
      <c r="NJL70" s="39"/>
      <c r="NJO70" s="41"/>
      <c r="NJP70" s="41"/>
      <c r="NJQ70" s="41"/>
      <c r="NJR70" s="41"/>
      <c r="NJS70" s="41"/>
      <c r="NLO70" s="39"/>
      <c r="NLR70" s="41"/>
      <c r="NLS70" s="41"/>
      <c r="NLT70" s="41"/>
      <c r="NLU70" s="41"/>
      <c r="NLV70" s="41"/>
      <c r="NNR70" s="39"/>
      <c r="NNU70" s="41"/>
      <c r="NNV70" s="41"/>
      <c r="NNW70" s="41"/>
      <c r="NNX70" s="41"/>
      <c r="NNY70" s="41"/>
      <c r="NPU70" s="39"/>
      <c r="NPX70" s="41"/>
      <c r="NPY70" s="41"/>
      <c r="NPZ70" s="41"/>
      <c r="NQA70" s="41"/>
      <c r="NQB70" s="41"/>
      <c r="NRX70" s="39"/>
      <c r="NSA70" s="41"/>
      <c r="NSB70" s="41"/>
      <c r="NSC70" s="41"/>
      <c r="NSD70" s="41"/>
      <c r="NSE70" s="41"/>
      <c r="NUA70" s="39"/>
      <c r="NUD70" s="41"/>
      <c r="NUE70" s="41"/>
      <c r="NUF70" s="41"/>
      <c r="NUG70" s="41"/>
      <c r="NUH70" s="41"/>
      <c r="NWD70" s="39"/>
      <c r="NWG70" s="41"/>
      <c r="NWH70" s="41"/>
      <c r="NWI70" s="41"/>
      <c r="NWJ70" s="41"/>
      <c r="NWK70" s="41"/>
      <c r="NYG70" s="39"/>
      <c r="NYJ70" s="41"/>
      <c r="NYK70" s="41"/>
      <c r="NYL70" s="41"/>
      <c r="NYM70" s="41"/>
      <c r="NYN70" s="41"/>
      <c r="OAJ70" s="39"/>
      <c r="OAM70" s="41"/>
      <c r="OAN70" s="41"/>
      <c r="OAO70" s="41"/>
      <c r="OAP70" s="41"/>
      <c r="OAQ70" s="41"/>
      <c r="OCM70" s="39"/>
      <c r="OCP70" s="41"/>
      <c r="OCQ70" s="41"/>
      <c r="OCR70" s="41"/>
      <c r="OCS70" s="41"/>
      <c r="OCT70" s="41"/>
      <c r="OEP70" s="39"/>
      <c r="OES70" s="41"/>
      <c r="OET70" s="41"/>
      <c r="OEU70" s="41"/>
      <c r="OEV70" s="41"/>
      <c r="OEW70" s="41"/>
      <c r="OGS70" s="39"/>
      <c r="OGV70" s="41"/>
      <c r="OGW70" s="41"/>
      <c r="OGX70" s="41"/>
      <c r="OGY70" s="41"/>
      <c r="OGZ70" s="41"/>
      <c r="OIV70" s="39"/>
      <c r="OIY70" s="41"/>
      <c r="OIZ70" s="41"/>
      <c r="OJA70" s="41"/>
      <c r="OJB70" s="41"/>
      <c r="OJC70" s="41"/>
      <c r="OKY70" s="39"/>
      <c r="OLB70" s="41"/>
      <c r="OLC70" s="41"/>
      <c r="OLD70" s="41"/>
      <c r="OLE70" s="41"/>
      <c r="OLF70" s="41"/>
      <c r="ONB70" s="39"/>
      <c r="ONE70" s="41"/>
      <c r="ONF70" s="41"/>
      <c r="ONG70" s="41"/>
      <c r="ONH70" s="41"/>
      <c r="ONI70" s="41"/>
      <c r="OPE70" s="39"/>
      <c r="OPH70" s="41"/>
      <c r="OPI70" s="41"/>
      <c r="OPJ70" s="41"/>
      <c r="OPK70" s="41"/>
      <c r="OPL70" s="41"/>
      <c r="ORH70" s="39"/>
      <c r="ORK70" s="41"/>
      <c r="ORL70" s="41"/>
      <c r="ORM70" s="41"/>
      <c r="ORN70" s="41"/>
      <c r="ORO70" s="41"/>
      <c r="OTK70" s="39"/>
      <c r="OTN70" s="41"/>
      <c r="OTO70" s="41"/>
      <c r="OTP70" s="41"/>
      <c r="OTQ70" s="41"/>
      <c r="OTR70" s="41"/>
      <c r="OVN70" s="39"/>
      <c r="OVQ70" s="41"/>
      <c r="OVR70" s="41"/>
      <c r="OVS70" s="41"/>
      <c r="OVT70" s="41"/>
      <c r="OVU70" s="41"/>
      <c r="OXQ70" s="39"/>
      <c r="OXT70" s="41"/>
      <c r="OXU70" s="41"/>
      <c r="OXV70" s="41"/>
      <c r="OXW70" s="41"/>
      <c r="OXX70" s="41"/>
      <c r="OZT70" s="39"/>
      <c r="OZW70" s="41"/>
      <c r="OZX70" s="41"/>
      <c r="OZY70" s="41"/>
      <c r="OZZ70" s="41"/>
      <c r="PAA70" s="41"/>
      <c r="PBW70" s="39"/>
      <c r="PBZ70" s="41"/>
      <c r="PCA70" s="41"/>
      <c r="PCB70" s="41"/>
      <c r="PCC70" s="41"/>
      <c r="PCD70" s="41"/>
      <c r="PDZ70" s="39"/>
      <c r="PEC70" s="41"/>
      <c r="PED70" s="41"/>
      <c r="PEE70" s="41"/>
      <c r="PEF70" s="41"/>
      <c r="PEG70" s="41"/>
      <c r="PGC70" s="39"/>
      <c r="PGF70" s="41"/>
      <c r="PGG70" s="41"/>
      <c r="PGH70" s="41"/>
      <c r="PGI70" s="41"/>
      <c r="PGJ70" s="41"/>
      <c r="PIF70" s="39"/>
      <c r="PII70" s="41"/>
      <c r="PIJ70" s="41"/>
      <c r="PIK70" s="41"/>
      <c r="PIL70" s="41"/>
      <c r="PIM70" s="41"/>
      <c r="PKI70" s="39"/>
      <c r="PKL70" s="41"/>
      <c r="PKM70" s="41"/>
      <c r="PKN70" s="41"/>
      <c r="PKO70" s="41"/>
      <c r="PKP70" s="41"/>
      <c r="PML70" s="39"/>
      <c r="PMO70" s="41"/>
      <c r="PMP70" s="41"/>
      <c r="PMQ70" s="41"/>
      <c r="PMR70" s="41"/>
      <c r="PMS70" s="41"/>
      <c r="POO70" s="39"/>
      <c r="POR70" s="41"/>
      <c r="POS70" s="41"/>
      <c r="POT70" s="41"/>
      <c r="POU70" s="41"/>
      <c r="POV70" s="41"/>
      <c r="PQR70" s="39"/>
      <c r="PQU70" s="41"/>
      <c r="PQV70" s="41"/>
      <c r="PQW70" s="41"/>
      <c r="PQX70" s="41"/>
      <c r="PQY70" s="41"/>
      <c r="PSU70" s="39"/>
      <c r="PSX70" s="41"/>
      <c r="PSY70" s="41"/>
      <c r="PSZ70" s="41"/>
      <c r="PTA70" s="41"/>
      <c r="PTB70" s="41"/>
      <c r="PUX70" s="39"/>
      <c r="PVA70" s="41"/>
      <c r="PVB70" s="41"/>
      <c r="PVC70" s="41"/>
      <c r="PVD70" s="41"/>
      <c r="PVE70" s="41"/>
      <c r="PXA70" s="39"/>
      <c r="PXD70" s="41"/>
      <c r="PXE70" s="41"/>
      <c r="PXF70" s="41"/>
      <c r="PXG70" s="41"/>
      <c r="PXH70" s="41"/>
      <c r="PZD70" s="39"/>
      <c r="PZG70" s="41"/>
      <c r="PZH70" s="41"/>
      <c r="PZI70" s="41"/>
      <c r="PZJ70" s="41"/>
      <c r="PZK70" s="41"/>
      <c r="QBG70" s="39"/>
      <c r="QBJ70" s="41"/>
      <c r="QBK70" s="41"/>
      <c r="QBL70" s="41"/>
      <c r="QBM70" s="41"/>
      <c r="QBN70" s="41"/>
      <c r="QDJ70" s="39"/>
      <c r="QDM70" s="41"/>
      <c r="QDN70" s="41"/>
      <c r="QDO70" s="41"/>
      <c r="QDP70" s="41"/>
      <c r="QDQ70" s="41"/>
      <c r="QFM70" s="39"/>
      <c r="QFP70" s="41"/>
      <c r="QFQ70" s="41"/>
      <c r="QFR70" s="41"/>
      <c r="QFS70" s="41"/>
      <c r="QFT70" s="41"/>
      <c r="QHP70" s="39"/>
      <c r="QHS70" s="41"/>
      <c r="QHT70" s="41"/>
      <c r="QHU70" s="41"/>
      <c r="QHV70" s="41"/>
      <c r="QHW70" s="41"/>
      <c r="QJS70" s="39"/>
      <c r="QJV70" s="41"/>
      <c r="QJW70" s="41"/>
      <c r="QJX70" s="41"/>
      <c r="QJY70" s="41"/>
      <c r="QJZ70" s="41"/>
      <c r="QLV70" s="39"/>
      <c r="QLY70" s="41"/>
      <c r="QLZ70" s="41"/>
      <c r="QMA70" s="41"/>
      <c r="QMB70" s="41"/>
      <c r="QMC70" s="41"/>
      <c r="QNY70" s="39"/>
      <c r="QOB70" s="41"/>
      <c r="QOC70" s="41"/>
      <c r="QOD70" s="41"/>
      <c r="QOE70" s="41"/>
      <c r="QOF70" s="41"/>
      <c r="QQB70" s="39"/>
      <c r="QQE70" s="41"/>
      <c r="QQF70" s="41"/>
      <c r="QQG70" s="41"/>
      <c r="QQH70" s="41"/>
      <c r="QQI70" s="41"/>
      <c r="QSE70" s="39"/>
      <c r="QSH70" s="41"/>
      <c r="QSI70" s="41"/>
      <c r="QSJ70" s="41"/>
      <c r="QSK70" s="41"/>
      <c r="QSL70" s="41"/>
      <c r="QUH70" s="39"/>
      <c r="QUK70" s="41"/>
      <c r="QUL70" s="41"/>
      <c r="QUM70" s="41"/>
      <c r="QUN70" s="41"/>
      <c r="QUO70" s="41"/>
      <c r="QWK70" s="39"/>
      <c r="QWN70" s="41"/>
      <c r="QWO70" s="41"/>
      <c r="QWP70" s="41"/>
      <c r="QWQ70" s="41"/>
      <c r="QWR70" s="41"/>
      <c r="QYN70" s="39"/>
      <c r="QYQ70" s="41"/>
      <c r="QYR70" s="41"/>
      <c r="QYS70" s="41"/>
      <c r="QYT70" s="41"/>
      <c r="QYU70" s="41"/>
      <c r="RAQ70" s="39"/>
      <c r="RAT70" s="41"/>
      <c r="RAU70" s="41"/>
      <c r="RAV70" s="41"/>
      <c r="RAW70" s="41"/>
      <c r="RAX70" s="41"/>
      <c r="RCT70" s="39"/>
      <c r="RCW70" s="41"/>
      <c r="RCX70" s="41"/>
      <c r="RCY70" s="41"/>
      <c r="RCZ70" s="41"/>
      <c r="RDA70" s="41"/>
      <c r="REW70" s="39"/>
      <c r="REZ70" s="41"/>
      <c r="RFA70" s="41"/>
      <c r="RFB70" s="41"/>
      <c r="RFC70" s="41"/>
      <c r="RFD70" s="41"/>
      <c r="RGZ70" s="39"/>
      <c r="RHC70" s="41"/>
      <c r="RHD70" s="41"/>
      <c r="RHE70" s="41"/>
      <c r="RHF70" s="41"/>
      <c r="RHG70" s="41"/>
      <c r="RJC70" s="39"/>
      <c r="RJF70" s="41"/>
      <c r="RJG70" s="41"/>
      <c r="RJH70" s="41"/>
      <c r="RJI70" s="41"/>
      <c r="RJJ70" s="41"/>
      <c r="RLF70" s="39"/>
      <c r="RLI70" s="41"/>
      <c r="RLJ70" s="41"/>
      <c r="RLK70" s="41"/>
      <c r="RLL70" s="41"/>
      <c r="RLM70" s="41"/>
      <c r="RNI70" s="39"/>
      <c r="RNL70" s="41"/>
      <c r="RNM70" s="41"/>
      <c r="RNN70" s="41"/>
      <c r="RNO70" s="41"/>
      <c r="RNP70" s="41"/>
      <c r="RPL70" s="39"/>
      <c r="RPO70" s="41"/>
      <c r="RPP70" s="41"/>
      <c r="RPQ70" s="41"/>
      <c r="RPR70" s="41"/>
      <c r="RPS70" s="41"/>
      <c r="RRO70" s="39"/>
      <c r="RRR70" s="41"/>
      <c r="RRS70" s="41"/>
      <c r="RRT70" s="41"/>
      <c r="RRU70" s="41"/>
      <c r="RRV70" s="41"/>
      <c r="RTR70" s="39"/>
      <c r="RTU70" s="41"/>
      <c r="RTV70" s="41"/>
      <c r="RTW70" s="41"/>
      <c r="RTX70" s="41"/>
      <c r="RTY70" s="41"/>
      <c r="RVU70" s="39"/>
      <c r="RVX70" s="41"/>
      <c r="RVY70" s="41"/>
      <c r="RVZ70" s="41"/>
      <c r="RWA70" s="41"/>
      <c r="RWB70" s="41"/>
      <c r="RXX70" s="39"/>
      <c r="RYA70" s="41"/>
      <c r="RYB70" s="41"/>
      <c r="RYC70" s="41"/>
      <c r="RYD70" s="41"/>
      <c r="RYE70" s="41"/>
      <c r="SAA70" s="39"/>
      <c r="SAD70" s="41"/>
      <c r="SAE70" s="41"/>
      <c r="SAF70" s="41"/>
      <c r="SAG70" s="41"/>
      <c r="SAH70" s="41"/>
      <c r="SCD70" s="39"/>
      <c r="SCG70" s="41"/>
      <c r="SCH70" s="41"/>
      <c r="SCI70" s="41"/>
      <c r="SCJ70" s="41"/>
      <c r="SCK70" s="41"/>
      <c r="SEG70" s="39"/>
      <c r="SEJ70" s="41"/>
      <c r="SEK70" s="41"/>
      <c r="SEL70" s="41"/>
      <c r="SEM70" s="41"/>
      <c r="SEN70" s="41"/>
      <c r="SGJ70" s="39"/>
      <c r="SGM70" s="41"/>
      <c r="SGN70" s="41"/>
      <c r="SGO70" s="41"/>
      <c r="SGP70" s="41"/>
      <c r="SGQ70" s="41"/>
      <c r="SIM70" s="39"/>
      <c r="SIP70" s="41"/>
      <c r="SIQ70" s="41"/>
      <c r="SIR70" s="41"/>
      <c r="SIS70" s="41"/>
      <c r="SIT70" s="41"/>
      <c r="SKP70" s="39"/>
      <c r="SKS70" s="41"/>
      <c r="SKT70" s="41"/>
      <c r="SKU70" s="41"/>
      <c r="SKV70" s="41"/>
      <c r="SKW70" s="41"/>
      <c r="SMS70" s="39"/>
      <c r="SMV70" s="41"/>
      <c r="SMW70" s="41"/>
      <c r="SMX70" s="41"/>
      <c r="SMY70" s="41"/>
      <c r="SMZ70" s="41"/>
      <c r="SOV70" s="39"/>
      <c r="SOY70" s="41"/>
      <c r="SOZ70" s="41"/>
      <c r="SPA70" s="41"/>
      <c r="SPB70" s="41"/>
      <c r="SPC70" s="41"/>
      <c r="SQY70" s="39"/>
      <c r="SRB70" s="41"/>
      <c r="SRC70" s="41"/>
      <c r="SRD70" s="41"/>
      <c r="SRE70" s="41"/>
      <c r="SRF70" s="41"/>
      <c r="STB70" s="39"/>
      <c r="STE70" s="41"/>
      <c r="STF70" s="41"/>
      <c r="STG70" s="41"/>
      <c r="STH70" s="41"/>
      <c r="STI70" s="41"/>
      <c r="SVE70" s="39"/>
      <c r="SVH70" s="41"/>
      <c r="SVI70" s="41"/>
      <c r="SVJ70" s="41"/>
      <c r="SVK70" s="41"/>
      <c r="SVL70" s="41"/>
      <c r="SXH70" s="39"/>
      <c r="SXK70" s="41"/>
      <c r="SXL70" s="41"/>
      <c r="SXM70" s="41"/>
      <c r="SXN70" s="41"/>
      <c r="SXO70" s="41"/>
      <c r="SZK70" s="39"/>
      <c r="SZN70" s="41"/>
      <c r="SZO70" s="41"/>
      <c r="SZP70" s="41"/>
      <c r="SZQ70" s="41"/>
      <c r="SZR70" s="41"/>
      <c r="TBN70" s="39"/>
      <c r="TBQ70" s="41"/>
      <c r="TBR70" s="41"/>
      <c r="TBS70" s="41"/>
      <c r="TBT70" s="41"/>
      <c r="TBU70" s="41"/>
      <c r="TDQ70" s="39"/>
      <c r="TDT70" s="41"/>
      <c r="TDU70" s="41"/>
      <c r="TDV70" s="41"/>
      <c r="TDW70" s="41"/>
      <c r="TDX70" s="41"/>
      <c r="TFT70" s="39"/>
      <c r="TFW70" s="41"/>
      <c r="TFX70" s="41"/>
      <c r="TFY70" s="41"/>
      <c r="TFZ70" s="41"/>
      <c r="TGA70" s="41"/>
      <c r="THW70" s="39"/>
      <c r="THZ70" s="41"/>
      <c r="TIA70" s="41"/>
      <c r="TIB70" s="41"/>
      <c r="TIC70" s="41"/>
      <c r="TID70" s="41"/>
      <c r="TJZ70" s="39"/>
      <c r="TKC70" s="41"/>
      <c r="TKD70" s="41"/>
      <c r="TKE70" s="41"/>
      <c r="TKF70" s="41"/>
      <c r="TKG70" s="41"/>
      <c r="TMC70" s="39"/>
      <c r="TMF70" s="41"/>
      <c r="TMG70" s="41"/>
      <c r="TMH70" s="41"/>
      <c r="TMI70" s="41"/>
      <c r="TMJ70" s="41"/>
      <c r="TOF70" s="39"/>
      <c r="TOI70" s="41"/>
      <c r="TOJ70" s="41"/>
      <c r="TOK70" s="41"/>
      <c r="TOL70" s="41"/>
      <c r="TOM70" s="41"/>
      <c r="TQI70" s="39"/>
      <c r="TQL70" s="41"/>
      <c r="TQM70" s="41"/>
      <c r="TQN70" s="41"/>
      <c r="TQO70" s="41"/>
      <c r="TQP70" s="41"/>
      <c r="TSL70" s="39"/>
      <c r="TSO70" s="41"/>
      <c r="TSP70" s="41"/>
      <c r="TSQ70" s="41"/>
      <c r="TSR70" s="41"/>
      <c r="TSS70" s="41"/>
      <c r="TUO70" s="39"/>
      <c r="TUR70" s="41"/>
      <c r="TUS70" s="41"/>
      <c r="TUT70" s="41"/>
      <c r="TUU70" s="41"/>
      <c r="TUV70" s="41"/>
      <c r="TWR70" s="39"/>
      <c r="TWU70" s="41"/>
      <c r="TWV70" s="41"/>
      <c r="TWW70" s="41"/>
      <c r="TWX70" s="41"/>
      <c r="TWY70" s="41"/>
      <c r="TYU70" s="39"/>
      <c r="TYX70" s="41"/>
      <c r="TYY70" s="41"/>
      <c r="TYZ70" s="41"/>
      <c r="TZA70" s="41"/>
      <c r="TZB70" s="41"/>
      <c r="UAX70" s="39"/>
      <c r="UBA70" s="41"/>
      <c r="UBB70" s="41"/>
      <c r="UBC70" s="41"/>
      <c r="UBD70" s="41"/>
      <c r="UBE70" s="41"/>
      <c r="UDA70" s="39"/>
      <c r="UDD70" s="41"/>
      <c r="UDE70" s="41"/>
      <c r="UDF70" s="41"/>
      <c r="UDG70" s="41"/>
      <c r="UDH70" s="41"/>
      <c r="UFD70" s="39"/>
      <c r="UFG70" s="41"/>
      <c r="UFH70" s="41"/>
      <c r="UFI70" s="41"/>
      <c r="UFJ70" s="41"/>
      <c r="UFK70" s="41"/>
      <c r="UHG70" s="39"/>
      <c r="UHJ70" s="41"/>
      <c r="UHK70" s="41"/>
      <c r="UHL70" s="41"/>
      <c r="UHM70" s="41"/>
      <c r="UHN70" s="41"/>
      <c r="UJJ70" s="39"/>
      <c r="UJM70" s="41"/>
      <c r="UJN70" s="41"/>
      <c r="UJO70" s="41"/>
      <c r="UJP70" s="41"/>
      <c r="UJQ70" s="41"/>
      <c r="ULM70" s="39"/>
      <c r="ULP70" s="41"/>
      <c r="ULQ70" s="41"/>
      <c r="ULR70" s="41"/>
      <c r="ULS70" s="41"/>
      <c r="ULT70" s="41"/>
      <c r="UNP70" s="39"/>
      <c r="UNS70" s="41"/>
      <c r="UNT70" s="41"/>
      <c r="UNU70" s="41"/>
      <c r="UNV70" s="41"/>
      <c r="UNW70" s="41"/>
      <c r="UPS70" s="39"/>
      <c r="UPV70" s="41"/>
      <c r="UPW70" s="41"/>
      <c r="UPX70" s="41"/>
      <c r="UPY70" s="41"/>
      <c r="UPZ70" s="41"/>
      <c r="URV70" s="39"/>
      <c r="URY70" s="41"/>
      <c r="URZ70" s="41"/>
      <c r="USA70" s="41"/>
      <c r="USB70" s="41"/>
      <c r="USC70" s="41"/>
      <c r="UTY70" s="39"/>
      <c r="UUB70" s="41"/>
      <c r="UUC70" s="41"/>
      <c r="UUD70" s="41"/>
      <c r="UUE70" s="41"/>
      <c r="UUF70" s="41"/>
      <c r="UWB70" s="39"/>
      <c r="UWE70" s="41"/>
      <c r="UWF70" s="41"/>
      <c r="UWG70" s="41"/>
      <c r="UWH70" s="41"/>
      <c r="UWI70" s="41"/>
      <c r="UYE70" s="39"/>
      <c r="UYH70" s="41"/>
      <c r="UYI70" s="41"/>
      <c r="UYJ70" s="41"/>
      <c r="UYK70" s="41"/>
      <c r="UYL70" s="41"/>
      <c r="VAH70" s="39"/>
      <c r="VAK70" s="41"/>
      <c r="VAL70" s="41"/>
      <c r="VAM70" s="41"/>
      <c r="VAN70" s="41"/>
      <c r="VAO70" s="41"/>
      <c r="VCK70" s="39"/>
      <c r="VCN70" s="41"/>
      <c r="VCO70" s="41"/>
      <c r="VCP70" s="41"/>
      <c r="VCQ70" s="41"/>
      <c r="VCR70" s="41"/>
      <c r="VEN70" s="39"/>
      <c r="VEQ70" s="41"/>
      <c r="VER70" s="41"/>
      <c r="VES70" s="41"/>
      <c r="VET70" s="41"/>
      <c r="VEU70" s="41"/>
      <c r="VGQ70" s="39"/>
      <c r="VGT70" s="41"/>
      <c r="VGU70" s="41"/>
      <c r="VGV70" s="41"/>
      <c r="VGW70" s="41"/>
      <c r="VGX70" s="41"/>
      <c r="VIT70" s="39"/>
      <c r="VIW70" s="41"/>
      <c r="VIX70" s="41"/>
      <c r="VIY70" s="41"/>
      <c r="VIZ70" s="41"/>
      <c r="VJA70" s="41"/>
      <c r="VKW70" s="39"/>
      <c r="VKZ70" s="41"/>
      <c r="VLA70" s="41"/>
      <c r="VLB70" s="41"/>
      <c r="VLC70" s="41"/>
      <c r="VLD70" s="41"/>
      <c r="VMZ70" s="39"/>
      <c r="VNC70" s="41"/>
      <c r="VND70" s="41"/>
      <c r="VNE70" s="41"/>
      <c r="VNF70" s="41"/>
      <c r="VNG70" s="41"/>
      <c r="VPC70" s="39"/>
      <c r="VPF70" s="41"/>
      <c r="VPG70" s="41"/>
      <c r="VPH70" s="41"/>
      <c r="VPI70" s="41"/>
      <c r="VPJ70" s="41"/>
      <c r="VRF70" s="39"/>
      <c r="VRI70" s="41"/>
      <c r="VRJ70" s="41"/>
      <c r="VRK70" s="41"/>
      <c r="VRL70" s="41"/>
      <c r="VRM70" s="41"/>
      <c r="VTI70" s="39"/>
      <c r="VTL70" s="41"/>
      <c r="VTM70" s="41"/>
      <c r="VTN70" s="41"/>
      <c r="VTO70" s="41"/>
      <c r="VTP70" s="41"/>
      <c r="VVL70" s="39"/>
      <c r="VVO70" s="41"/>
      <c r="VVP70" s="41"/>
      <c r="VVQ70" s="41"/>
      <c r="VVR70" s="41"/>
      <c r="VVS70" s="41"/>
      <c r="VXO70" s="39"/>
      <c r="VXR70" s="41"/>
      <c r="VXS70" s="41"/>
      <c r="VXT70" s="41"/>
      <c r="VXU70" s="41"/>
      <c r="VXV70" s="41"/>
      <c r="VZR70" s="39"/>
      <c r="VZU70" s="41"/>
      <c r="VZV70" s="41"/>
      <c r="VZW70" s="41"/>
      <c r="VZX70" s="41"/>
      <c r="VZY70" s="41"/>
      <c r="WBU70" s="39"/>
      <c r="WBX70" s="41"/>
      <c r="WBY70" s="41"/>
      <c r="WBZ70" s="41"/>
      <c r="WCA70" s="41"/>
      <c r="WCB70" s="41"/>
      <c r="WDX70" s="39"/>
      <c r="WEA70" s="41"/>
      <c r="WEB70" s="41"/>
      <c r="WEC70" s="41"/>
      <c r="WED70" s="41"/>
      <c r="WEE70" s="41"/>
      <c r="WGA70" s="39"/>
      <c r="WGD70" s="41"/>
      <c r="WGE70" s="41"/>
      <c r="WGF70" s="41"/>
      <c r="WGG70" s="41"/>
      <c r="WGH70" s="41"/>
      <c r="WID70" s="39"/>
      <c r="WIG70" s="41"/>
      <c r="WIH70" s="41"/>
      <c r="WII70" s="41"/>
      <c r="WIJ70" s="41"/>
      <c r="WIK70" s="41"/>
      <c r="WKG70" s="39"/>
      <c r="WKJ70" s="41"/>
      <c r="WKK70" s="41"/>
      <c r="WKL70" s="41"/>
      <c r="WKM70" s="41"/>
      <c r="WKN70" s="41"/>
      <c r="WMJ70" s="39"/>
      <c r="WMM70" s="41"/>
      <c r="WMN70" s="41"/>
      <c r="WMO70" s="41"/>
      <c r="WMP70" s="41"/>
      <c r="WMQ70" s="41"/>
      <c r="WOM70" s="39"/>
      <c r="WOP70" s="41"/>
      <c r="WOQ70" s="41"/>
      <c r="WOR70" s="41"/>
      <c r="WOS70" s="41"/>
      <c r="WOT70" s="41"/>
      <c r="WQP70" s="39"/>
      <c r="WQS70" s="41"/>
      <c r="WQT70" s="41"/>
      <c r="WQU70" s="41"/>
      <c r="WQV70" s="41"/>
      <c r="WQW70" s="41"/>
      <c r="WSS70" s="39"/>
      <c r="WSV70" s="41"/>
      <c r="WSW70" s="41"/>
      <c r="WSX70" s="41"/>
      <c r="WSY70" s="41"/>
      <c r="WSZ70" s="41"/>
      <c r="WUV70" s="39"/>
      <c r="WUY70" s="41"/>
      <c r="WUZ70" s="41"/>
      <c r="WVA70" s="41"/>
      <c r="WVB70" s="41"/>
      <c r="WVC70" s="41"/>
      <c r="WWY70" s="39"/>
      <c r="WXB70" s="41"/>
      <c r="WXC70" s="41"/>
      <c r="WXD70" s="41"/>
      <c r="WXE70" s="41"/>
      <c r="WXF70" s="41"/>
      <c r="WZB70" s="39"/>
      <c r="WZE70" s="41"/>
      <c r="WZF70" s="41"/>
      <c r="WZG70" s="41"/>
      <c r="WZH70" s="41"/>
      <c r="WZI70" s="41"/>
      <c r="XBE70" s="39"/>
      <c r="XBH70" s="41"/>
      <c r="XBI70" s="41"/>
      <c r="XBJ70" s="41"/>
      <c r="XBK70" s="41"/>
      <c r="XBL70" s="41"/>
      <c r="XDH70" s="39"/>
      <c r="XDK70" s="41"/>
      <c r="XDL70" s="41"/>
      <c r="XDM70" s="41"/>
      <c r="XDN70" s="41"/>
      <c r="XDO70" s="41"/>
    </row>
    <row r="71" spans="1:998 1046:2043 2091:3033 3081:4078 4126:6113 6161:7158 7206:8148 8196:9193 9241:10238 10286:11228 11276:12273 12321:13311 13314:14308 14356:15353 15401:16343" s="40" customFormat="1" ht="15" customHeight="1" x14ac:dyDescent="0.25">
      <c r="A71" s="22" t="s">
        <v>542</v>
      </c>
      <c r="B71" s="23">
        <v>600</v>
      </c>
      <c r="C71" s="23">
        <v>28</v>
      </c>
      <c r="D71" s="24">
        <v>25</v>
      </c>
      <c r="E71" s="24" t="s">
        <v>469</v>
      </c>
      <c r="F71" s="24">
        <v>0</v>
      </c>
      <c r="G71" s="24">
        <f t="shared" si="18"/>
        <v>336</v>
      </c>
      <c r="H71" s="24">
        <f t="shared" si="19"/>
        <v>175</v>
      </c>
      <c r="I71" s="23">
        <f t="shared" si="20"/>
        <v>163</v>
      </c>
      <c r="J71" s="23">
        <f t="shared" si="21"/>
        <v>40</v>
      </c>
      <c r="K71" s="23">
        <v>1.75</v>
      </c>
      <c r="L71" s="23">
        <v>9</v>
      </c>
      <c r="M71" s="23">
        <v>16</v>
      </c>
      <c r="N71" s="23">
        <f t="shared" si="22"/>
        <v>11.25</v>
      </c>
      <c r="O71" s="23">
        <f t="shared" si="23"/>
        <v>16</v>
      </c>
      <c r="P71" s="23">
        <f t="shared" si="24"/>
        <v>32</v>
      </c>
      <c r="Q71" s="23">
        <f t="shared" si="25"/>
        <v>32</v>
      </c>
      <c r="R71" s="23">
        <f t="shared" si="26"/>
        <v>16</v>
      </c>
      <c r="BD71" s="39"/>
      <c r="BG71" s="41"/>
      <c r="BH71" s="41"/>
      <c r="BI71" s="41"/>
      <c r="BJ71" s="41"/>
      <c r="BK71" s="41"/>
      <c r="DG71" s="39"/>
      <c r="DJ71" s="41"/>
      <c r="DK71" s="41"/>
      <c r="DL71" s="41"/>
      <c r="DM71" s="41"/>
      <c r="DN71" s="41"/>
      <c r="FJ71" s="39"/>
      <c r="FM71" s="41"/>
      <c r="FN71" s="41"/>
      <c r="FO71" s="41"/>
      <c r="FP71" s="41"/>
      <c r="FQ71" s="41"/>
      <c r="HM71" s="39"/>
      <c r="HP71" s="41"/>
      <c r="HQ71" s="41"/>
      <c r="HR71" s="41"/>
      <c r="HS71" s="41"/>
      <c r="HT71" s="41"/>
      <c r="JP71" s="39"/>
      <c r="JS71" s="41"/>
      <c r="JT71" s="41"/>
      <c r="JU71" s="41"/>
      <c r="JV71" s="41"/>
      <c r="JW71" s="41"/>
      <c r="LS71" s="39"/>
      <c r="LV71" s="41"/>
      <c r="LW71" s="41"/>
      <c r="LX71" s="41"/>
      <c r="LY71" s="41"/>
      <c r="LZ71" s="41"/>
      <c r="NV71" s="39"/>
      <c r="NY71" s="41"/>
      <c r="NZ71" s="41"/>
      <c r="OA71" s="41"/>
      <c r="OB71" s="41"/>
      <c r="OC71" s="41"/>
      <c r="PY71" s="39"/>
      <c r="QB71" s="41"/>
      <c r="QC71" s="41"/>
      <c r="QD71" s="41"/>
      <c r="QE71" s="41"/>
      <c r="QF71" s="41"/>
      <c r="SB71" s="39"/>
      <c r="SE71" s="41"/>
      <c r="SF71" s="41"/>
      <c r="SG71" s="41"/>
      <c r="SH71" s="41"/>
      <c r="SI71" s="41"/>
      <c r="UE71" s="39"/>
      <c r="UH71" s="41"/>
      <c r="UI71" s="41"/>
      <c r="UJ71" s="41"/>
      <c r="UK71" s="41"/>
      <c r="UL71" s="41"/>
      <c r="WH71" s="39"/>
      <c r="WK71" s="41"/>
      <c r="WL71" s="41"/>
      <c r="WM71" s="41"/>
      <c r="WN71" s="41"/>
      <c r="WO71" s="41"/>
      <c r="YK71" s="39"/>
      <c r="YN71" s="41"/>
      <c r="YO71" s="41"/>
      <c r="YP71" s="41"/>
      <c r="YQ71" s="41"/>
      <c r="YR71" s="41"/>
      <c r="AAN71" s="39"/>
      <c r="AAQ71" s="41"/>
      <c r="AAR71" s="41"/>
      <c r="AAS71" s="41"/>
      <c r="AAT71" s="41"/>
      <c r="AAU71" s="41"/>
      <c r="ACQ71" s="39"/>
      <c r="ACT71" s="41"/>
      <c r="ACU71" s="41"/>
      <c r="ACV71" s="41"/>
      <c r="ACW71" s="41"/>
      <c r="ACX71" s="41"/>
      <c r="AET71" s="39"/>
      <c r="AEW71" s="41"/>
      <c r="AEX71" s="41"/>
      <c r="AEY71" s="41"/>
      <c r="AEZ71" s="41"/>
      <c r="AFA71" s="41"/>
      <c r="AGW71" s="39"/>
      <c r="AGZ71" s="41"/>
      <c r="AHA71" s="41"/>
      <c r="AHB71" s="41"/>
      <c r="AHC71" s="41"/>
      <c r="AHD71" s="41"/>
      <c r="AIZ71" s="39"/>
      <c r="AJC71" s="41"/>
      <c r="AJD71" s="41"/>
      <c r="AJE71" s="41"/>
      <c r="AJF71" s="41"/>
      <c r="AJG71" s="41"/>
      <c r="ALC71" s="39"/>
      <c r="ALF71" s="41"/>
      <c r="ALG71" s="41"/>
      <c r="ALH71" s="41"/>
      <c r="ALI71" s="41"/>
      <c r="ALJ71" s="41"/>
      <c r="ANF71" s="39"/>
      <c r="ANI71" s="41"/>
      <c r="ANJ71" s="41"/>
      <c r="ANK71" s="41"/>
      <c r="ANL71" s="41"/>
      <c r="ANM71" s="41"/>
      <c r="API71" s="39"/>
      <c r="APL71" s="41"/>
      <c r="APM71" s="41"/>
      <c r="APN71" s="41"/>
      <c r="APO71" s="41"/>
      <c r="APP71" s="41"/>
      <c r="ARL71" s="39"/>
      <c r="ARO71" s="41"/>
      <c r="ARP71" s="41"/>
      <c r="ARQ71" s="41"/>
      <c r="ARR71" s="41"/>
      <c r="ARS71" s="41"/>
      <c r="ATO71" s="39"/>
      <c r="ATR71" s="41"/>
      <c r="ATS71" s="41"/>
      <c r="ATT71" s="41"/>
      <c r="ATU71" s="41"/>
      <c r="ATV71" s="41"/>
      <c r="AVR71" s="39"/>
      <c r="AVU71" s="41"/>
      <c r="AVV71" s="41"/>
      <c r="AVW71" s="41"/>
      <c r="AVX71" s="41"/>
      <c r="AVY71" s="41"/>
      <c r="AXU71" s="39"/>
      <c r="AXX71" s="41"/>
      <c r="AXY71" s="41"/>
      <c r="AXZ71" s="41"/>
      <c r="AYA71" s="41"/>
      <c r="AYB71" s="41"/>
      <c r="AZX71" s="39"/>
      <c r="BAA71" s="41"/>
      <c r="BAB71" s="41"/>
      <c r="BAC71" s="41"/>
      <c r="BAD71" s="41"/>
      <c r="BAE71" s="41"/>
      <c r="BCA71" s="39"/>
      <c r="BCD71" s="41"/>
      <c r="BCE71" s="41"/>
      <c r="BCF71" s="41"/>
      <c r="BCG71" s="41"/>
      <c r="BCH71" s="41"/>
      <c r="BED71" s="39"/>
      <c r="BEG71" s="41"/>
      <c r="BEH71" s="41"/>
      <c r="BEI71" s="41"/>
      <c r="BEJ71" s="41"/>
      <c r="BEK71" s="41"/>
      <c r="BGG71" s="39"/>
      <c r="BGJ71" s="41"/>
      <c r="BGK71" s="41"/>
      <c r="BGL71" s="41"/>
      <c r="BGM71" s="41"/>
      <c r="BGN71" s="41"/>
      <c r="BIJ71" s="39"/>
      <c r="BIM71" s="41"/>
      <c r="BIN71" s="41"/>
      <c r="BIO71" s="41"/>
      <c r="BIP71" s="41"/>
      <c r="BIQ71" s="41"/>
      <c r="BKM71" s="39"/>
      <c r="BKP71" s="41"/>
      <c r="BKQ71" s="41"/>
      <c r="BKR71" s="41"/>
      <c r="BKS71" s="41"/>
      <c r="BKT71" s="41"/>
      <c r="BMP71" s="39"/>
      <c r="BMS71" s="41"/>
      <c r="BMT71" s="41"/>
      <c r="BMU71" s="41"/>
      <c r="BMV71" s="41"/>
      <c r="BMW71" s="41"/>
      <c r="BOS71" s="39"/>
      <c r="BOV71" s="41"/>
      <c r="BOW71" s="41"/>
      <c r="BOX71" s="41"/>
      <c r="BOY71" s="41"/>
      <c r="BOZ71" s="41"/>
      <c r="BQV71" s="39"/>
      <c r="BQY71" s="41"/>
      <c r="BQZ71" s="41"/>
      <c r="BRA71" s="41"/>
      <c r="BRB71" s="41"/>
      <c r="BRC71" s="41"/>
      <c r="BSY71" s="39"/>
      <c r="BTB71" s="41"/>
      <c r="BTC71" s="41"/>
      <c r="BTD71" s="41"/>
      <c r="BTE71" s="41"/>
      <c r="BTF71" s="41"/>
      <c r="BVB71" s="39"/>
      <c r="BVE71" s="41"/>
      <c r="BVF71" s="41"/>
      <c r="BVG71" s="41"/>
      <c r="BVH71" s="41"/>
      <c r="BVI71" s="41"/>
      <c r="BXE71" s="39"/>
      <c r="BXH71" s="41"/>
      <c r="BXI71" s="41"/>
      <c r="BXJ71" s="41"/>
      <c r="BXK71" s="41"/>
      <c r="BXL71" s="41"/>
      <c r="BZH71" s="39"/>
      <c r="BZK71" s="41"/>
      <c r="BZL71" s="41"/>
      <c r="BZM71" s="41"/>
      <c r="BZN71" s="41"/>
      <c r="BZO71" s="41"/>
      <c r="CBK71" s="39"/>
      <c r="CBN71" s="41"/>
      <c r="CBO71" s="41"/>
      <c r="CBP71" s="41"/>
      <c r="CBQ71" s="41"/>
      <c r="CBR71" s="41"/>
      <c r="CDN71" s="39"/>
      <c r="CDQ71" s="41"/>
      <c r="CDR71" s="41"/>
      <c r="CDS71" s="41"/>
      <c r="CDT71" s="41"/>
      <c r="CDU71" s="41"/>
      <c r="CFQ71" s="39"/>
      <c r="CFT71" s="41"/>
      <c r="CFU71" s="41"/>
      <c r="CFV71" s="41"/>
      <c r="CFW71" s="41"/>
      <c r="CFX71" s="41"/>
      <c r="CHT71" s="39"/>
      <c r="CHW71" s="41"/>
      <c r="CHX71" s="41"/>
      <c r="CHY71" s="41"/>
      <c r="CHZ71" s="41"/>
      <c r="CIA71" s="41"/>
      <c r="CJW71" s="39"/>
      <c r="CJZ71" s="41"/>
      <c r="CKA71" s="41"/>
      <c r="CKB71" s="41"/>
      <c r="CKC71" s="41"/>
      <c r="CKD71" s="41"/>
      <c r="CLZ71" s="39"/>
      <c r="CMC71" s="41"/>
      <c r="CMD71" s="41"/>
      <c r="CME71" s="41"/>
      <c r="CMF71" s="41"/>
      <c r="CMG71" s="41"/>
      <c r="COC71" s="39"/>
      <c r="COF71" s="41"/>
      <c r="COG71" s="41"/>
      <c r="COH71" s="41"/>
      <c r="COI71" s="41"/>
      <c r="COJ71" s="41"/>
      <c r="CQF71" s="39"/>
      <c r="CQI71" s="41"/>
      <c r="CQJ71" s="41"/>
      <c r="CQK71" s="41"/>
      <c r="CQL71" s="41"/>
      <c r="CQM71" s="41"/>
      <c r="CSI71" s="39"/>
      <c r="CSL71" s="41"/>
      <c r="CSM71" s="41"/>
      <c r="CSN71" s="41"/>
      <c r="CSO71" s="41"/>
      <c r="CSP71" s="41"/>
      <c r="CUL71" s="39"/>
      <c r="CUO71" s="41"/>
      <c r="CUP71" s="41"/>
      <c r="CUQ71" s="41"/>
      <c r="CUR71" s="41"/>
      <c r="CUS71" s="41"/>
      <c r="CWO71" s="39"/>
      <c r="CWR71" s="41"/>
      <c r="CWS71" s="41"/>
      <c r="CWT71" s="41"/>
      <c r="CWU71" s="41"/>
      <c r="CWV71" s="41"/>
      <c r="CYR71" s="39"/>
      <c r="CYU71" s="41"/>
      <c r="CYV71" s="41"/>
      <c r="CYW71" s="41"/>
      <c r="CYX71" s="41"/>
      <c r="CYY71" s="41"/>
      <c r="DAU71" s="39"/>
      <c r="DAX71" s="41"/>
      <c r="DAY71" s="41"/>
      <c r="DAZ71" s="41"/>
      <c r="DBA71" s="41"/>
      <c r="DBB71" s="41"/>
      <c r="DCX71" s="39"/>
      <c r="DDA71" s="41"/>
      <c r="DDB71" s="41"/>
      <c r="DDC71" s="41"/>
      <c r="DDD71" s="41"/>
      <c r="DDE71" s="41"/>
      <c r="DFA71" s="39"/>
      <c r="DFD71" s="41"/>
      <c r="DFE71" s="41"/>
      <c r="DFF71" s="41"/>
      <c r="DFG71" s="41"/>
      <c r="DFH71" s="41"/>
      <c r="DHD71" s="39"/>
      <c r="DHG71" s="41"/>
      <c r="DHH71" s="41"/>
      <c r="DHI71" s="41"/>
      <c r="DHJ71" s="41"/>
      <c r="DHK71" s="41"/>
      <c r="DJG71" s="39"/>
      <c r="DJJ71" s="41"/>
      <c r="DJK71" s="41"/>
      <c r="DJL71" s="41"/>
      <c r="DJM71" s="41"/>
      <c r="DJN71" s="41"/>
      <c r="DLJ71" s="39"/>
      <c r="DLM71" s="41"/>
      <c r="DLN71" s="41"/>
      <c r="DLO71" s="41"/>
      <c r="DLP71" s="41"/>
      <c r="DLQ71" s="41"/>
      <c r="DNM71" s="39"/>
      <c r="DNP71" s="41"/>
      <c r="DNQ71" s="41"/>
      <c r="DNR71" s="41"/>
      <c r="DNS71" s="41"/>
      <c r="DNT71" s="41"/>
      <c r="DPP71" s="39"/>
      <c r="DPS71" s="41"/>
      <c r="DPT71" s="41"/>
      <c r="DPU71" s="41"/>
      <c r="DPV71" s="41"/>
      <c r="DPW71" s="41"/>
      <c r="DRS71" s="39"/>
      <c r="DRV71" s="41"/>
      <c r="DRW71" s="41"/>
      <c r="DRX71" s="41"/>
      <c r="DRY71" s="41"/>
      <c r="DRZ71" s="41"/>
      <c r="DTV71" s="39"/>
      <c r="DTY71" s="41"/>
      <c r="DTZ71" s="41"/>
      <c r="DUA71" s="41"/>
      <c r="DUB71" s="41"/>
      <c r="DUC71" s="41"/>
      <c r="DVY71" s="39"/>
      <c r="DWB71" s="41"/>
      <c r="DWC71" s="41"/>
      <c r="DWD71" s="41"/>
      <c r="DWE71" s="41"/>
      <c r="DWF71" s="41"/>
      <c r="DYB71" s="39"/>
      <c r="DYE71" s="41"/>
      <c r="DYF71" s="41"/>
      <c r="DYG71" s="41"/>
      <c r="DYH71" s="41"/>
      <c r="DYI71" s="41"/>
      <c r="EAE71" s="39"/>
      <c r="EAH71" s="41"/>
      <c r="EAI71" s="41"/>
      <c r="EAJ71" s="41"/>
      <c r="EAK71" s="41"/>
      <c r="EAL71" s="41"/>
      <c r="ECH71" s="39"/>
      <c r="ECK71" s="41"/>
      <c r="ECL71" s="41"/>
      <c r="ECM71" s="41"/>
      <c r="ECN71" s="41"/>
      <c r="ECO71" s="41"/>
      <c r="EEK71" s="39"/>
      <c r="EEN71" s="41"/>
      <c r="EEO71" s="41"/>
      <c r="EEP71" s="41"/>
      <c r="EEQ71" s="41"/>
      <c r="EER71" s="41"/>
      <c r="EGN71" s="39"/>
      <c r="EGQ71" s="41"/>
      <c r="EGR71" s="41"/>
      <c r="EGS71" s="41"/>
      <c r="EGT71" s="41"/>
      <c r="EGU71" s="41"/>
      <c r="EIQ71" s="39"/>
      <c r="EIT71" s="41"/>
      <c r="EIU71" s="41"/>
      <c r="EIV71" s="41"/>
      <c r="EIW71" s="41"/>
      <c r="EIX71" s="41"/>
      <c r="EKT71" s="39"/>
      <c r="EKW71" s="41"/>
      <c r="EKX71" s="41"/>
      <c r="EKY71" s="41"/>
      <c r="EKZ71" s="41"/>
      <c r="ELA71" s="41"/>
      <c r="EMW71" s="39"/>
      <c r="EMZ71" s="41"/>
      <c r="ENA71" s="41"/>
      <c r="ENB71" s="41"/>
      <c r="ENC71" s="41"/>
      <c r="END71" s="41"/>
      <c r="EOZ71" s="39"/>
      <c r="EPC71" s="41"/>
      <c r="EPD71" s="41"/>
      <c r="EPE71" s="41"/>
      <c r="EPF71" s="41"/>
      <c r="EPG71" s="41"/>
      <c r="ERC71" s="39"/>
      <c r="ERF71" s="41"/>
      <c r="ERG71" s="41"/>
      <c r="ERH71" s="41"/>
      <c r="ERI71" s="41"/>
      <c r="ERJ71" s="41"/>
      <c r="ETF71" s="39"/>
      <c r="ETI71" s="41"/>
      <c r="ETJ71" s="41"/>
      <c r="ETK71" s="41"/>
      <c r="ETL71" s="41"/>
      <c r="ETM71" s="41"/>
      <c r="EVI71" s="39"/>
      <c r="EVL71" s="41"/>
      <c r="EVM71" s="41"/>
      <c r="EVN71" s="41"/>
      <c r="EVO71" s="41"/>
      <c r="EVP71" s="41"/>
      <c r="EXL71" s="39"/>
      <c r="EXO71" s="41"/>
      <c r="EXP71" s="41"/>
      <c r="EXQ71" s="41"/>
      <c r="EXR71" s="41"/>
      <c r="EXS71" s="41"/>
      <c r="EZO71" s="39"/>
      <c r="EZR71" s="41"/>
      <c r="EZS71" s="41"/>
      <c r="EZT71" s="41"/>
      <c r="EZU71" s="41"/>
      <c r="EZV71" s="41"/>
      <c r="FBR71" s="39"/>
      <c r="FBU71" s="41"/>
      <c r="FBV71" s="41"/>
      <c r="FBW71" s="41"/>
      <c r="FBX71" s="41"/>
      <c r="FBY71" s="41"/>
      <c r="FDU71" s="39"/>
      <c r="FDX71" s="41"/>
      <c r="FDY71" s="41"/>
      <c r="FDZ71" s="41"/>
      <c r="FEA71" s="41"/>
      <c r="FEB71" s="41"/>
      <c r="FFX71" s="39"/>
      <c r="FGA71" s="41"/>
      <c r="FGB71" s="41"/>
      <c r="FGC71" s="41"/>
      <c r="FGD71" s="41"/>
      <c r="FGE71" s="41"/>
      <c r="FIA71" s="39"/>
      <c r="FID71" s="41"/>
      <c r="FIE71" s="41"/>
      <c r="FIF71" s="41"/>
      <c r="FIG71" s="41"/>
      <c r="FIH71" s="41"/>
      <c r="FKD71" s="39"/>
      <c r="FKG71" s="41"/>
      <c r="FKH71" s="41"/>
      <c r="FKI71" s="41"/>
      <c r="FKJ71" s="41"/>
      <c r="FKK71" s="41"/>
      <c r="FMG71" s="39"/>
      <c r="FMJ71" s="41"/>
      <c r="FMK71" s="41"/>
      <c r="FML71" s="41"/>
      <c r="FMM71" s="41"/>
      <c r="FMN71" s="41"/>
      <c r="FOJ71" s="39"/>
      <c r="FOM71" s="41"/>
      <c r="FON71" s="41"/>
      <c r="FOO71" s="41"/>
      <c r="FOP71" s="41"/>
      <c r="FOQ71" s="41"/>
      <c r="FQM71" s="39"/>
      <c r="FQP71" s="41"/>
      <c r="FQQ71" s="41"/>
      <c r="FQR71" s="41"/>
      <c r="FQS71" s="41"/>
      <c r="FQT71" s="41"/>
      <c r="FSP71" s="39"/>
      <c r="FSS71" s="41"/>
      <c r="FST71" s="41"/>
      <c r="FSU71" s="41"/>
      <c r="FSV71" s="41"/>
      <c r="FSW71" s="41"/>
      <c r="FUS71" s="39"/>
      <c r="FUV71" s="41"/>
      <c r="FUW71" s="41"/>
      <c r="FUX71" s="41"/>
      <c r="FUY71" s="41"/>
      <c r="FUZ71" s="41"/>
      <c r="FWV71" s="39"/>
      <c r="FWY71" s="41"/>
      <c r="FWZ71" s="41"/>
      <c r="FXA71" s="41"/>
      <c r="FXB71" s="41"/>
      <c r="FXC71" s="41"/>
      <c r="FYY71" s="39"/>
      <c r="FZB71" s="41"/>
      <c r="FZC71" s="41"/>
      <c r="FZD71" s="41"/>
      <c r="FZE71" s="41"/>
      <c r="FZF71" s="41"/>
      <c r="GBB71" s="39"/>
      <c r="GBE71" s="41"/>
      <c r="GBF71" s="41"/>
      <c r="GBG71" s="41"/>
      <c r="GBH71" s="41"/>
      <c r="GBI71" s="41"/>
      <c r="GDE71" s="39"/>
      <c r="GDH71" s="41"/>
      <c r="GDI71" s="41"/>
      <c r="GDJ71" s="41"/>
      <c r="GDK71" s="41"/>
      <c r="GDL71" s="41"/>
      <c r="GFH71" s="39"/>
      <c r="GFK71" s="41"/>
      <c r="GFL71" s="41"/>
      <c r="GFM71" s="41"/>
      <c r="GFN71" s="41"/>
      <c r="GFO71" s="41"/>
      <c r="GHK71" s="39"/>
      <c r="GHN71" s="41"/>
      <c r="GHO71" s="41"/>
      <c r="GHP71" s="41"/>
      <c r="GHQ71" s="41"/>
      <c r="GHR71" s="41"/>
      <c r="GJN71" s="39"/>
      <c r="GJQ71" s="41"/>
      <c r="GJR71" s="41"/>
      <c r="GJS71" s="41"/>
      <c r="GJT71" s="41"/>
      <c r="GJU71" s="41"/>
      <c r="GLQ71" s="39"/>
      <c r="GLT71" s="41"/>
      <c r="GLU71" s="41"/>
      <c r="GLV71" s="41"/>
      <c r="GLW71" s="41"/>
      <c r="GLX71" s="41"/>
      <c r="GNT71" s="39"/>
      <c r="GNW71" s="41"/>
      <c r="GNX71" s="41"/>
      <c r="GNY71" s="41"/>
      <c r="GNZ71" s="41"/>
      <c r="GOA71" s="41"/>
      <c r="GPW71" s="39"/>
      <c r="GPZ71" s="41"/>
      <c r="GQA71" s="41"/>
      <c r="GQB71" s="41"/>
      <c r="GQC71" s="41"/>
      <c r="GQD71" s="41"/>
      <c r="GRZ71" s="39"/>
      <c r="GSC71" s="41"/>
      <c r="GSD71" s="41"/>
      <c r="GSE71" s="41"/>
      <c r="GSF71" s="41"/>
      <c r="GSG71" s="41"/>
      <c r="GUC71" s="39"/>
      <c r="GUF71" s="41"/>
      <c r="GUG71" s="41"/>
      <c r="GUH71" s="41"/>
      <c r="GUI71" s="41"/>
      <c r="GUJ71" s="41"/>
      <c r="GWF71" s="39"/>
      <c r="GWI71" s="41"/>
      <c r="GWJ71" s="41"/>
      <c r="GWK71" s="41"/>
      <c r="GWL71" s="41"/>
      <c r="GWM71" s="41"/>
      <c r="GYI71" s="39"/>
      <c r="GYL71" s="41"/>
      <c r="GYM71" s="41"/>
      <c r="GYN71" s="41"/>
      <c r="GYO71" s="41"/>
      <c r="GYP71" s="41"/>
      <c r="HAL71" s="39"/>
      <c r="HAO71" s="41"/>
      <c r="HAP71" s="41"/>
      <c r="HAQ71" s="41"/>
      <c r="HAR71" s="41"/>
      <c r="HAS71" s="41"/>
      <c r="HCO71" s="39"/>
      <c r="HCR71" s="41"/>
      <c r="HCS71" s="41"/>
      <c r="HCT71" s="41"/>
      <c r="HCU71" s="41"/>
      <c r="HCV71" s="41"/>
      <c r="HER71" s="39"/>
      <c r="HEU71" s="41"/>
      <c r="HEV71" s="41"/>
      <c r="HEW71" s="41"/>
      <c r="HEX71" s="41"/>
      <c r="HEY71" s="41"/>
      <c r="HGU71" s="39"/>
      <c r="HGX71" s="41"/>
      <c r="HGY71" s="41"/>
      <c r="HGZ71" s="41"/>
      <c r="HHA71" s="41"/>
      <c r="HHB71" s="41"/>
      <c r="HIX71" s="39"/>
      <c r="HJA71" s="41"/>
      <c r="HJB71" s="41"/>
      <c r="HJC71" s="41"/>
      <c r="HJD71" s="41"/>
      <c r="HJE71" s="41"/>
      <c r="HLA71" s="39"/>
      <c r="HLD71" s="41"/>
      <c r="HLE71" s="41"/>
      <c r="HLF71" s="41"/>
      <c r="HLG71" s="41"/>
      <c r="HLH71" s="41"/>
      <c r="HND71" s="39"/>
      <c r="HNG71" s="41"/>
      <c r="HNH71" s="41"/>
      <c r="HNI71" s="41"/>
      <c r="HNJ71" s="41"/>
      <c r="HNK71" s="41"/>
      <c r="HPG71" s="39"/>
      <c r="HPJ71" s="41"/>
      <c r="HPK71" s="41"/>
      <c r="HPL71" s="41"/>
      <c r="HPM71" s="41"/>
      <c r="HPN71" s="41"/>
      <c r="HRJ71" s="39"/>
      <c r="HRM71" s="41"/>
      <c r="HRN71" s="41"/>
      <c r="HRO71" s="41"/>
      <c r="HRP71" s="41"/>
      <c r="HRQ71" s="41"/>
      <c r="HTM71" s="39"/>
      <c r="HTP71" s="41"/>
      <c r="HTQ71" s="41"/>
      <c r="HTR71" s="41"/>
      <c r="HTS71" s="41"/>
      <c r="HTT71" s="41"/>
      <c r="HVP71" s="39"/>
      <c r="HVS71" s="41"/>
      <c r="HVT71" s="41"/>
      <c r="HVU71" s="41"/>
      <c r="HVV71" s="41"/>
      <c r="HVW71" s="41"/>
      <c r="HXS71" s="39"/>
      <c r="HXV71" s="41"/>
      <c r="HXW71" s="41"/>
      <c r="HXX71" s="41"/>
      <c r="HXY71" s="41"/>
      <c r="HXZ71" s="41"/>
      <c r="HZV71" s="39"/>
      <c r="HZY71" s="41"/>
      <c r="HZZ71" s="41"/>
      <c r="IAA71" s="41"/>
      <c r="IAB71" s="41"/>
      <c r="IAC71" s="41"/>
      <c r="IBY71" s="39"/>
      <c r="ICB71" s="41"/>
      <c r="ICC71" s="41"/>
      <c r="ICD71" s="41"/>
      <c r="ICE71" s="41"/>
      <c r="ICF71" s="41"/>
      <c r="IEB71" s="39"/>
      <c r="IEE71" s="41"/>
      <c r="IEF71" s="41"/>
      <c r="IEG71" s="41"/>
      <c r="IEH71" s="41"/>
      <c r="IEI71" s="41"/>
      <c r="IGE71" s="39"/>
      <c r="IGH71" s="41"/>
      <c r="IGI71" s="41"/>
      <c r="IGJ71" s="41"/>
      <c r="IGK71" s="41"/>
      <c r="IGL71" s="41"/>
      <c r="IIH71" s="39"/>
      <c r="IIK71" s="41"/>
      <c r="IIL71" s="41"/>
      <c r="IIM71" s="41"/>
      <c r="IIN71" s="41"/>
      <c r="IIO71" s="41"/>
      <c r="IKK71" s="39"/>
      <c r="IKN71" s="41"/>
      <c r="IKO71" s="41"/>
      <c r="IKP71" s="41"/>
      <c r="IKQ71" s="41"/>
      <c r="IKR71" s="41"/>
      <c r="IMN71" s="39"/>
      <c r="IMQ71" s="41"/>
      <c r="IMR71" s="41"/>
      <c r="IMS71" s="41"/>
      <c r="IMT71" s="41"/>
      <c r="IMU71" s="41"/>
      <c r="IOQ71" s="39"/>
      <c r="IOT71" s="41"/>
      <c r="IOU71" s="41"/>
      <c r="IOV71" s="41"/>
      <c r="IOW71" s="41"/>
      <c r="IOX71" s="41"/>
      <c r="IQT71" s="39"/>
      <c r="IQW71" s="41"/>
      <c r="IQX71" s="41"/>
      <c r="IQY71" s="41"/>
      <c r="IQZ71" s="41"/>
      <c r="IRA71" s="41"/>
      <c r="ISW71" s="39"/>
      <c r="ISZ71" s="41"/>
      <c r="ITA71" s="41"/>
      <c r="ITB71" s="41"/>
      <c r="ITC71" s="41"/>
      <c r="ITD71" s="41"/>
      <c r="IUZ71" s="39"/>
      <c r="IVC71" s="41"/>
      <c r="IVD71" s="41"/>
      <c r="IVE71" s="41"/>
      <c r="IVF71" s="41"/>
      <c r="IVG71" s="41"/>
      <c r="IXC71" s="39"/>
      <c r="IXF71" s="41"/>
      <c r="IXG71" s="41"/>
      <c r="IXH71" s="41"/>
      <c r="IXI71" s="41"/>
      <c r="IXJ71" s="41"/>
      <c r="IZF71" s="39"/>
      <c r="IZI71" s="41"/>
      <c r="IZJ71" s="41"/>
      <c r="IZK71" s="41"/>
      <c r="IZL71" s="41"/>
      <c r="IZM71" s="41"/>
      <c r="JBI71" s="39"/>
      <c r="JBL71" s="41"/>
      <c r="JBM71" s="41"/>
      <c r="JBN71" s="41"/>
      <c r="JBO71" s="41"/>
      <c r="JBP71" s="41"/>
      <c r="JDL71" s="39"/>
      <c r="JDO71" s="41"/>
      <c r="JDP71" s="41"/>
      <c r="JDQ71" s="41"/>
      <c r="JDR71" s="41"/>
      <c r="JDS71" s="41"/>
      <c r="JFO71" s="39"/>
      <c r="JFR71" s="41"/>
      <c r="JFS71" s="41"/>
      <c r="JFT71" s="41"/>
      <c r="JFU71" s="41"/>
      <c r="JFV71" s="41"/>
      <c r="JHR71" s="39"/>
      <c r="JHU71" s="41"/>
      <c r="JHV71" s="41"/>
      <c r="JHW71" s="41"/>
      <c r="JHX71" s="41"/>
      <c r="JHY71" s="41"/>
      <c r="JJU71" s="39"/>
      <c r="JJX71" s="41"/>
      <c r="JJY71" s="41"/>
      <c r="JJZ71" s="41"/>
      <c r="JKA71" s="41"/>
      <c r="JKB71" s="41"/>
      <c r="JLX71" s="39"/>
      <c r="JMA71" s="41"/>
      <c r="JMB71" s="41"/>
      <c r="JMC71" s="41"/>
      <c r="JMD71" s="41"/>
      <c r="JME71" s="41"/>
      <c r="JOA71" s="39"/>
      <c r="JOD71" s="41"/>
      <c r="JOE71" s="41"/>
      <c r="JOF71" s="41"/>
      <c r="JOG71" s="41"/>
      <c r="JOH71" s="41"/>
      <c r="JQD71" s="39"/>
      <c r="JQG71" s="41"/>
      <c r="JQH71" s="41"/>
      <c r="JQI71" s="41"/>
      <c r="JQJ71" s="41"/>
      <c r="JQK71" s="41"/>
      <c r="JSG71" s="39"/>
      <c r="JSJ71" s="41"/>
      <c r="JSK71" s="41"/>
      <c r="JSL71" s="41"/>
      <c r="JSM71" s="41"/>
      <c r="JSN71" s="41"/>
      <c r="JUJ71" s="39"/>
      <c r="JUM71" s="41"/>
      <c r="JUN71" s="41"/>
      <c r="JUO71" s="41"/>
      <c r="JUP71" s="41"/>
      <c r="JUQ71" s="41"/>
      <c r="JWM71" s="39"/>
      <c r="JWP71" s="41"/>
      <c r="JWQ71" s="41"/>
      <c r="JWR71" s="41"/>
      <c r="JWS71" s="41"/>
      <c r="JWT71" s="41"/>
      <c r="JYP71" s="39"/>
      <c r="JYS71" s="41"/>
      <c r="JYT71" s="41"/>
      <c r="JYU71" s="41"/>
      <c r="JYV71" s="41"/>
      <c r="JYW71" s="41"/>
      <c r="KAS71" s="39"/>
      <c r="KAV71" s="41"/>
      <c r="KAW71" s="41"/>
      <c r="KAX71" s="41"/>
      <c r="KAY71" s="41"/>
      <c r="KAZ71" s="41"/>
      <c r="KCV71" s="39"/>
      <c r="KCY71" s="41"/>
      <c r="KCZ71" s="41"/>
      <c r="KDA71" s="41"/>
      <c r="KDB71" s="41"/>
      <c r="KDC71" s="41"/>
      <c r="KEY71" s="39"/>
      <c r="KFB71" s="41"/>
      <c r="KFC71" s="41"/>
      <c r="KFD71" s="41"/>
      <c r="KFE71" s="41"/>
      <c r="KFF71" s="41"/>
      <c r="KHB71" s="39"/>
      <c r="KHE71" s="41"/>
      <c r="KHF71" s="41"/>
      <c r="KHG71" s="41"/>
      <c r="KHH71" s="41"/>
      <c r="KHI71" s="41"/>
      <c r="KJE71" s="39"/>
      <c r="KJH71" s="41"/>
      <c r="KJI71" s="41"/>
      <c r="KJJ71" s="41"/>
      <c r="KJK71" s="41"/>
      <c r="KJL71" s="41"/>
      <c r="KLH71" s="39"/>
      <c r="KLK71" s="41"/>
      <c r="KLL71" s="41"/>
      <c r="KLM71" s="41"/>
      <c r="KLN71" s="41"/>
      <c r="KLO71" s="41"/>
      <c r="KNK71" s="39"/>
      <c r="KNN71" s="41"/>
      <c r="KNO71" s="41"/>
      <c r="KNP71" s="41"/>
      <c r="KNQ71" s="41"/>
      <c r="KNR71" s="41"/>
      <c r="KPN71" s="39"/>
      <c r="KPQ71" s="41"/>
      <c r="KPR71" s="41"/>
      <c r="KPS71" s="41"/>
      <c r="KPT71" s="41"/>
      <c r="KPU71" s="41"/>
      <c r="KRQ71" s="39"/>
      <c r="KRT71" s="41"/>
      <c r="KRU71" s="41"/>
      <c r="KRV71" s="41"/>
      <c r="KRW71" s="41"/>
      <c r="KRX71" s="41"/>
      <c r="KTT71" s="39"/>
      <c r="KTW71" s="41"/>
      <c r="KTX71" s="41"/>
      <c r="KTY71" s="41"/>
      <c r="KTZ71" s="41"/>
      <c r="KUA71" s="41"/>
      <c r="KVW71" s="39"/>
      <c r="KVZ71" s="41"/>
      <c r="KWA71" s="41"/>
      <c r="KWB71" s="41"/>
      <c r="KWC71" s="41"/>
      <c r="KWD71" s="41"/>
      <c r="KXZ71" s="39"/>
      <c r="KYC71" s="41"/>
      <c r="KYD71" s="41"/>
      <c r="KYE71" s="41"/>
      <c r="KYF71" s="41"/>
      <c r="KYG71" s="41"/>
      <c r="LAC71" s="39"/>
      <c r="LAF71" s="41"/>
      <c r="LAG71" s="41"/>
      <c r="LAH71" s="41"/>
      <c r="LAI71" s="41"/>
      <c r="LAJ71" s="41"/>
      <c r="LCF71" s="39"/>
      <c r="LCI71" s="41"/>
      <c r="LCJ71" s="41"/>
      <c r="LCK71" s="41"/>
      <c r="LCL71" s="41"/>
      <c r="LCM71" s="41"/>
      <c r="LEI71" s="39"/>
      <c r="LEL71" s="41"/>
      <c r="LEM71" s="41"/>
      <c r="LEN71" s="41"/>
      <c r="LEO71" s="41"/>
      <c r="LEP71" s="41"/>
      <c r="LGL71" s="39"/>
      <c r="LGO71" s="41"/>
      <c r="LGP71" s="41"/>
      <c r="LGQ71" s="41"/>
      <c r="LGR71" s="41"/>
      <c r="LGS71" s="41"/>
      <c r="LIO71" s="39"/>
      <c r="LIR71" s="41"/>
      <c r="LIS71" s="41"/>
      <c r="LIT71" s="41"/>
      <c r="LIU71" s="41"/>
      <c r="LIV71" s="41"/>
      <c r="LKR71" s="39"/>
      <c r="LKU71" s="41"/>
      <c r="LKV71" s="41"/>
      <c r="LKW71" s="41"/>
      <c r="LKX71" s="41"/>
      <c r="LKY71" s="41"/>
      <c r="LMU71" s="39"/>
      <c r="LMX71" s="41"/>
      <c r="LMY71" s="41"/>
      <c r="LMZ71" s="41"/>
      <c r="LNA71" s="41"/>
      <c r="LNB71" s="41"/>
      <c r="LOX71" s="39"/>
      <c r="LPA71" s="41"/>
      <c r="LPB71" s="41"/>
      <c r="LPC71" s="41"/>
      <c r="LPD71" s="41"/>
      <c r="LPE71" s="41"/>
      <c r="LRA71" s="39"/>
      <c r="LRD71" s="41"/>
      <c r="LRE71" s="41"/>
      <c r="LRF71" s="41"/>
      <c r="LRG71" s="41"/>
      <c r="LRH71" s="41"/>
      <c r="LTD71" s="39"/>
      <c r="LTG71" s="41"/>
      <c r="LTH71" s="41"/>
      <c r="LTI71" s="41"/>
      <c r="LTJ71" s="41"/>
      <c r="LTK71" s="41"/>
      <c r="LVG71" s="39"/>
      <c r="LVJ71" s="41"/>
      <c r="LVK71" s="41"/>
      <c r="LVL71" s="41"/>
      <c r="LVM71" s="41"/>
      <c r="LVN71" s="41"/>
      <c r="LXJ71" s="39"/>
      <c r="LXM71" s="41"/>
      <c r="LXN71" s="41"/>
      <c r="LXO71" s="41"/>
      <c r="LXP71" s="41"/>
      <c r="LXQ71" s="41"/>
      <c r="LZM71" s="39"/>
      <c r="LZP71" s="41"/>
      <c r="LZQ71" s="41"/>
      <c r="LZR71" s="41"/>
      <c r="LZS71" s="41"/>
      <c r="LZT71" s="41"/>
      <c r="MBP71" s="39"/>
      <c r="MBS71" s="41"/>
      <c r="MBT71" s="41"/>
      <c r="MBU71" s="41"/>
      <c r="MBV71" s="41"/>
      <c r="MBW71" s="41"/>
      <c r="MDS71" s="39"/>
      <c r="MDV71" s="41"/>
      <c r="MDW71" s="41"/>
      <c r="MDX71" s="41"/>
      <c r="MDY71" s="41"/>
      <c r="MDZ71" s="41"/>
      <c r="MFV71" s="39"/>
      <c r="MFY71" s="41"/>
      <c r="MFZ71" s="41"/>
      <c r="MGA71" s="41"/>
      <c r="MGB71" s="41"/>
      <c r="MGC71" s="41"/>
      <c r="MHY71" s="39"/>
      <c r="MIB71" s="41"/>
      <c r="MIC71" s="41"/>
      <c r="MID71" s="41"/>
      <c r="MIE71" s="41"/>
      <c r="MIF71" s="41"/>
      <c r="MKB71" s="39"/>
      <c r="MKE71" s="41"/>
      <c r="MKF71" s="41"/>
      <c r="MKG71" s="41"/>
      <c r="MKH71" s="41"/>
      <c r="MKI71" s="41"/>
      <c r="MME71" s="39"/>
      <c r="MMH71" s="41"/>
      <c r="MMI71" s="41"/>
      <c r="MMJ71" s="41"/>
      <c r="MMK71" s="41"/>
      <c r="MML71" s="41"/>
      <c r="MOH71" s="39"/>
      <c r="MOK71" s="41"/>
      <c r="MOL71" s="41"/>
      <c r="MOM71" s="41"/>
      <c r="MON71" s="41"/>
      <c r="MOO71" s="41"/>
      <c r="MQK71" s="39"/>
      <c r="MQN71" s="41"/>
      <c r="MQO71" s="41"/>
      <c r="MQP71" s="41"/>
      <c r="MQQ71" s="41"/>
      <c r="MQR71" s="41"/>
      <c r="MSN71" s="39"/>
      <c r="MSQ71" s="41"/>
      <c r="MSR71" s="41"/>
      <c r="MSS71" s="41"/>
      <c r="MST71" s="41"/>
      <c r="MSU71" s="41"/>
      <c r="MUQ71" s="39"/>
      <c r="MUT71" s="41"/>
      <c r="MUU71" s="41"/>
      <c r="MUV71" s="41"/>
      <c r="MUW71" s="41"/>
      <c r="MUX71" s="41"/>
      <c r="MWT71" s="39"/>
      <c r="MWW71" s="41"/>
      <c r="MWX71" s="41"/>
      <c r="MWY71" s="41"/>
      <c r="MWZ71" s="41"/>
      <c r="MXA71" s="41"/>
      <c r="MYW71" s="39"/>
      <c r="MYZ71" s="41"/>
      <c r="MZA71" s="41"/>
      <c r="MZB71" s="41"/>
      <c r="MZC71" s="41"/>
      <c r="MZD71" s="41"/>
      <c r="NAZ71" s="39"/>
      <c r="NBC71" s="41"/>
      <c r="NBD71" s="41"/>
      <c r="NBE71" s="41"/>
      <c r="NBF71" s="41"/>
      <c r="NBG71" s="41"/>
      <c r="NDC71" s="39"/>
      <c r="NDF71" s="41"/>
      <c r="NDG71" s="41"/>
      <c r="NDH71" s="41"/>
      <c r="NDI71" s="41"/>
      <c r="NDJ71" s="41"/>
      <c r="NFF71" s="39"/>
      <c r="NFI71" s="41"/>
      <c r="NFJ71" s="41"/>
      <c r="NFK71" s="41"/>
      <c r="NFL71" s="41"/>
      <c r="NFM71" s="41"/>
      <c r="NHI71" s="39"/>
      <c r="NHL71" s="41"/>
      <c r="NHM71" s="41"/>
      <c r="NHN71" s="41"/>
      <c r="NHO71" s="41"/>
      <c r="NHP71" s="41"/>
      <c r="NJL71" s="39"/>
      <c r="NJO71" s="41"/>
      <c r="NJP71" s="41"/>
      <c r="NJQ71" s="41"/>
      <c r="NJR71" s="41"/>
      <c r="NJS71" s="41"/>
      <c r="NLO71" s="39"/>
      <c r="NLR71" s="41"/>
      <c r="NLS71" s="41"/>
      <c r="NLT71" s="41"/>
      <c r="NLU71" s="41"/>
      <c r="NLV71" s="41"/>
      <c r="NNR71" s="39"/>
      <c r="NNU71" s="41"/>
      <c r="NNV71" s="41"/>
      <c r="NNW71" s="41"/>
      <c r="NNX71" s="41"/>
      <c r="NNY71" s="41"/>
      <c r="NPU71" s="39"/>
      <c r="NPX71" s="41"/>
      <c r="NPY71" s="41"/>
      <c r="NPZ71" s="41"/>
      <c r="NQA71" s="41"/>
      <c r="NQB71" s="41"/>
      <c r="NRX71" s="39"/>
      <c r="NSA71" s="41"/>
      <c r="NSB71" s="41"/>
      <c r="NSC71" s="41"/>
      <c r="NSD71" s="41"/>
      <c r="NSE71" s="41"/>
      <c r="NUA71" s="39"/>
      <c r="NUD71" s="41"/>
      <c r="NUE71" s="41"/>
      <c r="NUF71" s="41"/>
      <c r="NUG71" s="41"/>
      <c r="NUH71" s="41"/>
      <c r="NWD71" s="39"/>
      <c r="NWG71" s="41"/>
      <c r="NWH71" s="41"/>
      <c r="NWI71" s="41"/>
      <c r="NWJ71" s="41"/>
      <c r="NWK71" s="41"/>
      <c r="NYG71" s="39"/>
      <c r="NYJ71" s="41"/>
      <c r="NYK71" s="41"/>
      <c r="NYL71" s="41"/>
      <c r="NYM71" s="41"/>
      <c r="NYN71" s="41"/>
      <c r="OAJ71" s="39"/>
      <c r="OAM71" s="41"/>
      <c r="OAN71" s="41"/>
      <c r="OAO71" s="41"/>
      <c r="OAP71" s="41"/>
      <c r="OAQ71" s="41"/>
      <c r="OCM71" s="39"/>
      <c r="OCP71" s="41"/>
      <c r="OCQ71" s="41"/>
      <c r="OCR71" s="41"/>
      <c r="OCS71" s="41"/>
      <c r="OCT71" s="41"/>
      <c r="OEP71" s="39"/>
      <c r="OES71" s="41"/>
      <c r="OET71" s="41"/>
      <c r="OEU71" s="41"/>
      <c r="OEV71" s="41"/>
      <c r="OEW71" s="41"/>
      <c r="OGS71" s="39"/>
      <c r="OGV71" s="41"/>
      <c r="OGW71" s="41"/>
      <c r="OGX71" s="41"/>
      <c r="OGY71" s="41"/>
      <c r="OGZ71" s="41"/>
      <c r="OIV71" s="39"/>
      <c r="OIY71" s="41"/>
      <c r="OIZ71" s="41"/>
      <c r="OJA71" s="41"/>
      <c r="OJB71" s="41"/>
      <c r="OJC71" s="41"/>
      <c r="OKY71" s="39"/>
      <c r="OLB71" s="41"/>
      <c r="OLC71" s="41"/>
      <c r="OLD71" s="41"/>
      <c r="OLE71" s="41"/>
      <c r="OLF71" s="41"/>
      <c r="ONB71" s="39"/>
      <c r="ONE71" s="41"/>
      <c r="ONF71" s="41"/>
      <c r="ONG71" s="41"/>
      <c r="ONH71" s="41"/>
      <c r="ONI71" s="41"/>
      <c r="OPE71" s="39"/>
      <c r="OPH71" s="41"/>
      <c r="OPI71" s="41"/>
      <c r="OPJ71" s="41"/>
      <c r="OPK71" s="41"/>
      <c r="OPL71" s="41"/>
      <c r="ORH71" s="39"/>
      <c r="ORK71" s="41"/>
      <c r="ORL71" s="41"/>
      <c r="ORM71" s="41"/>
      <c r="ORN71" s="41"/>
      <c r="ORO71" s="41"/>
      <c r="OTK71" s="39"/>
      <c r="OTN71" s="41"/>
      <c r="OTO71" s="41"/>
      <c r="OTP71" s="41"/>
      <c r="OTQ71" s="41"/>
      <c r="OTR71" s="41"/>
      <c r="OVN71" s="39"/>
      <c r="OVQ71" s="41"/>
      <c r="OVR71" s="41"/>
      <c r="OVS71" s="41"/>
      <c r="OVT71" s="41"/>
      <c r="OVU71" s="41"/>
      <c r="OXQ71" s="39"/>
      <c r="OXT71" s="41"/>
      <c r="OXU71" s="41"/>
      <c r="OXV71" s="41"/>
      <c r="OXW71" s="41"/>
      <c r="OXX71" s="41"/>
      <c r="OZT71" s="39"/>
      <c r="OZW71" s="41"/>
      <c r="OZX71" s="41"/>
      <c r="OZY71" s="41"/>
      <c r="OZZ71" s="41"/>
      <c r="PAA71" s="41"/>
      <c r="PBW71" s="39"/>
      <c r="PBZ71" s="41"/>
      <c r="PCA71" s="41"/>
      <c r="PCB71" s="41"/>
      <c r="PCC71" s="41"/>
      <c r="PCD71" s="41"/>
      <c r="PDZ71" s="39"/>
      <c r="PEC71" s="41"/>
      <c r="PED71" s="41"/>
      <c r="PEE71" s="41"/>
      <c r="PEF71" s="41"/>
      <c r="PEG71" s="41"/>
      <c r="PGC71" s="39"/>
      <c r="PGF71" s="41"/>
      <c r="PGG71" s="41"/>
      <c r="PGH71" s="41"/>
      <c r="PGI71" s="41"/>
      <c r="PGJ71" s="41"/>
      <c r="PIF71" s="39"/>
      <c r="PII71" s="41"/>
      <c r="PIJ71" s="41"/>
      <c r="PIK71" s="41"/>
      <c r="PIL71" s="41"/>
      <c r="PIM71" s="41"/>
      <c r="PKI71" s="39"/>
      <c r="PKL71" s="41"/>
      <c r="PKM71" s="41"/>
      <c r="PKN71" s="41"/>
      <c r="PKO71" s="41"/>
      <c r="PKP71" s="41"/>
      <c r="PML71" s="39"/>
      <c r="PMO71" s="41"/>
      <c r="PMP71" s="41"/>
      <c r="PMQ71" s="41"/>
      <c r="PMR71" s="41"/>
      <c r="PMS71" s="41"/>
      <c r="POO71" s="39"/>
      <c r="POR71" s="41"/>
      <c r="POS71" s="41"/>
      <c r="POT71" s="41"/>
      <c r="POU71" s="41"/>
      <c r="POV71" s="41"/>
      <c r="PQR71" s="39"/>
      <c r="PQU71" s="41"/>
      <c r="PQV71" s="41"/>
      <c r="PQW71" s="41"/>
      <c r="PQX71" s="41"/>
      <c r="PQY71" s="41"/>
      <c r="PSU71" s="39"/>
      <c r="PSX71" s="41"/>
      <c r="PSY71" s="41"/>
      <c r="PSZ71" s="41"/>
      <c r="PTA71" s="41"/>
      <c r="PTB71" s="41"/>
      <c r="PUX71" s="39"/>
      <c r="PVA71" s="41"/>
      <c r="PVB71" s="41"/>
      <c r="PVC71" s="41"/>
      <c r="PVD71" s="41"/>
      <c r="PVE71" s="41"/>
      <c r="PXA71" s="39"/>
      <c r="PXD71" s="41"/>
      <c r="PXE71" s="41"/>
      <c r="PXF71" s="41"/>
      <c r="PXG71" s="41"/>
      <c r="PXH71" s="41"/>
      <c r="PZD71" s="39"/>
      <c r="PZG71" s="41"/>
      <c r="PZH71" s="41"/>
      <c r="PZI71" s="41"/>
      <c r="PZJ71" s="41"/>
      <c r="PZK71" s="41"/>
      <c r="QBG71" s="39"/>
      <c r="QBJ71" s="41"/>
      <c r="QBK71" s="41"/>
      <c r="QBL71" s="41"/>
      <c r="QBM71" s="41"/>
      <c r="QBN71" s="41"/>
      <c r="QDJ71" s="39"/>
      <c r="QDM71" s="41"/>
      <c r="QDN71" s="41"/>
      <c r="QDO71" s="41"/>
      <c r="QDP71" s="41"/>
      <c r="QDQ71" s="41"/>
      <c r="QFM71" s="39"/>
      <c r="QFP71" s="41"/>
      <c r="QFQ71" s="41"/>
      <c r="QFR71" s="41"/>
      <c r="QFS71" s="41"/>
      <c r="QFT71" s="41"/>
      <c r="QHP71" s="39"/>
      <c r="QHS71" s="41"/>
      <c r="QHT71" s="41"/>
      <c r="QHU71" s="41"/>
      <c r="QHV71" s="41"/>
      <c r="QHW71" s="41"/>
      <c r="QJS71" s="39"/>
      <c r="QJV71" s="41"/>
      <c r="QJW71" s="41"/>
      <c r="QJX71" s="41"/>
      <c r="QJY71" s="41"/>
      <c r="QJZ71" s="41"/>
      <c r="QLV71" s="39"/>
      <c r="QLY71" s="41"/>
      <c r="QLZ71" s="41"/>
      <c r="QMA71" s="41"/>
      <c r="QMB71" s="41"/>
      <c r="QMC71" s="41"/>
      <c r="QNY71" s="39"/>
      <c r="QOB71" s="41"/>
      <c r="QOC71" s="41"/>
      <c r="QOD71" s="41"/>
      <c r="QOE71" s="41"/>
      <c r="QOF71" s="41"/>
      <c r="QQB71" s="39"/>
      <c r="QQE71" s="41"/>
      <c r="QQF71" s="41"/>
      <c r="QQG71" s="41"/>
      <c r="QQH71" s="41"/>
      <c r="QQI71" s="41"/>
      <c r="QSE71" s="39"/>
      <c r="QSH71" s="41"/>
      <c r="QSI71" s="41"/>
      <c r="QSJ71" s="41"/>
      <c r="QSK71" s="41"/>
      <c r="QSL71" s="41"/>
      <c r="QUH71" s="39"/>
      <c r="QUK71" s="41"/>
      <c r="QUL71" s="41"/>
      <c r="QUM71" s="41"/>
      <c r="QUN71" s="41"/>
      <c r="QUO71" s="41"/>
      <c r="QWK71" s="39"/>
      <c r="QWN71" s="41"/>
      <c r="QWO71" s="41"/>
      <c r="QWP71" s="41"/>
      <c r="QWQ71" s="41"/>
      <c r="QWR71" s="41"/>
      <c r="QYN71" s="39"/>
      <c r="QYQ71" s="41"/>
      <c r="QYR71" s="41"/>
      <c r="QYS71" s="41"/>
      <c r="QYT71" s="41"/>
      <c r="QYU71" s="41"/>
      <c r="RAQ71" s="39"/>
      <c r="RAT71" s="41"/>
      <c r="RAU71" s="41"/>
      <c r="RAV71" s="41"/>
      <c r="RAW71" s="41"/>
      <c r="RAX71" s="41"/>
      <c r="RCT71" s="39"/>
      <c r="RCW71" s="41"/>
      <c r="RCX71" s="41"/>
      <c r="RCY71" s="41"/>
      <c r="RCZ71" s="41"/>
      <c r="RDA71" s="41"/>
      <c r="REW71" s="39"/>
      <c r="REZ71" s="41"/>
      <c r="RFA71" s="41"/>
      <c r="RFB71" s="41"/>
      <c r="RFC71" s="41"/>
      <c r="RFD71" s="41"/>
      <c r="RGZ71" s="39"/>
      <c r="RHC71" s="41"/>
      <c r="RHD71" s="41"/>
      <c r="RHE71" s="41"/>
      <c r="RHF71" s="41"/>
      <c r="RHG71" s="41"/>
      <c r="RJC71" s="39"/>
      <c r="RJF71" s="41"/>
      <c r="RJG71" s="41"/>
      <c r="RJH71" s="41"/>
      <c r="RJI71" s="41"/>
      <c r="RJJ71" s="41"/>
      <c r="RLF71" s="39"/>
      <c r="RLI71" s="41"/>
      <c r="RLJ71" s="41"/>
      <c r="RLK71" s="41"/>
      <c r="RLL71" s="41"/>
      <c r="RLM71" s="41"/>
      <c r="RNI71" s="39"/>
      <c r="RNL71" s="41"/>
      <c r="RNM71" s="41"/>
      <c r="RNN71" s="41"/>
      <c r="RNO71" s="41"/>
      <c r="RNP71" s="41"/>
      <c r="RPL71" s="39"/>
      <c r="RPO71" s="41"/>
      <c r="RPP71" s="41"/>
      <c r="RPQ71" s="41"/>
      <c r="RPR71" s="41"/>
      <c r="RPS71" s="41"/>
      <c r="RRO71" s="39"/>
      <c r="RRR71" s="41"/>
      <c r="RRS71" s="41"/>
      <c r="RRT71" s="41"/>
      <c r="RRU71" s="41"/>
      <c r="RRV71" s="41"/>
      <c r="RTR71" s="39"/>
      <c r="RTU71" s="41"/>
      <c r="RTV71" s="41"/>
      <c r="RTW71" s="41"/>
      <c r="RTX71" s="41"/>
      <c r="RTY71" s="41"/>
      <c r="RVU71" s="39"/>
      <c r="RVX71" s="41"/>
      <c r="RVY71" s="41"/>
      <c r="RVZ71" s="41"/>
      <c r="RWA71" s="41"/>
      <c r="RWB71" s="41"/>
      <c r="RXX71" s="39"/>
      <c r="RYA71" s="41"/>
      <c r="RYB71" s="41"/>
      <c r="RYC71" s="41"/>
      <c r="RYD71" s="41"/>
      <c r="RYE71" s="41"/>
      <c r="SAA71" s="39"/>
      <c r="SAD71" s="41"/>
      <c r="SAE71" s="41"/>
      <c r="SAF71" s="41"/>
      <c r="SAG71" s="41"/>
      <c r="SAH71" s="41"/>
      <c r="SCD71" s="39"/>
      <c r="SCG71" s="41"/>
      <c r="SCH71" s="41"/>
      <c r="SCI71" s="41"/>
      <c r="SCJ71" s="41"/>
      <c r="SCK71" s="41"/>
      <c r="SEG71" s="39"/>
      <c r="SEJ71" s="41"/>
      <c r="SEK71" s="41"/>
      <c r="SEL71" s="41"/>
      <c r="SEM71" s="41"/>
      <c r="SEN71" s="41"/>
      <c r="SGJ71" s="39"/>
      <c r="SGM71" s="41"/>
      <c r="SGN71" s="41"/>
      <c r="SGO71" s="41"/>
      <c r="SGP71" s="41"/>
      <c r="SGQ71" s="41"/>
      <c r="SIM71" s="39"/>
      <c r="SIP71" s="41"/>
      <c r="SIQ71" s="41"/>
      <c r="SIR71" s="41"/>
      <c r="SIS71" s="41"/>
      <c r="SIT71" s="41"/>
      <c r="SKP71" s="39"/>
      <c r="SKS71" s="41"/>
      <c r="SKT71" s="41"/>
      <c r="SKU71" s="41"/>
      <c r="SKV71" s="41"/>
      <c r="SKW71" s="41"/>
      <c r="SMS71" s="39"/>
      <c r="SMV71" s="41"/>
      <c r="SMW71" s="41"/>
      <c r="SMX71" s="41"/>
      <c r="SMY71" s="41"/>
      <c r="SMZ71" s="41"/>
      <c r="SOV71" s="39"/>
      <c r="SOY71" s="41"/>
      <c r="SOZ71" s="41"/>
      <c r="SPA71" s="41"/>
      <c r="SPB71" s="41"/>
      <c r="SPC71" s="41"/>
      <c r="SQY71" s="39"/>
      <c r="SRB71" s="41"/>
      <c r="SRC71" s="41"/>
      <c r="SRD71" s="41"/>
      <c r="SRE71" s="41"/>
      <c r="SRF71" s="41"/>
      <c r="STB71" s="39"/>
      <c r="STE71" s="41"/>
      <c r="STF71" s="41"/>
      <c r="STG71" s="41"/>
      <c r="STH71" s="41"/>
      <c r="STI71" s="41"/>
      <c r="SVE71" s="39"/>
      <c r="SVH71" s="41"/>
      <c r="SVI71" s="41"/>
      <c r="SVJ71" s="41"/>
      <c r="SVK71" s="41"/>
      <c r="SVL71" s="41"/>
      <c r="SXH71" s="39"/>
      <c r="SXK71" s="41"/>
      <c r="SXL71" s="41"/>
      <c r="SXM71" s="41"/>
      <c r="SXN71" s="41"/>
      <c r="SXO71" s="41"/>
      <c r="SZK71" s="39"/>
      <c r="SZN71" s="41"/>
      <c r="SZO71" s="41"/>
      <c r="SZP71" s="41"/>
      <c r="SZQ71" s="41"/>
      <c r="SZR71" s="41"/>
      <c r="TBN71" s="39"/>
      <c r="TBQ71" s="41"/>
      <c r="TBR71" s="41"/>
      <c r="TBS71" s="41"/>
      <c r="TBT71" s="41"/>
      <c r="TBU71" s="41"/>
      <c r="TDQ71" s="39"/>
      <c r="TDT71" s="41"/>
      <c r="TDU71" s="41"/>
      <c r="TDV71" s="41"/>
      <c r="TDW71" s="41"/>
      <c r="TDX71" s="41"/>
      <c r="TFT71" s="39"/>
      <c r="TFW71" s="41"/>
      <c r="TFX71" s="41"/>
      <c r="TFY71" s="41"/>
      <c r="TFZ71" s="41"/>
      <c r="TGA71" s="41"/>
      <c r="THW71" s="39"/>
      <c r="THZ71" s="41"/>
      <c r="TIA71" s="41"/>
      <c r="TIB71" s="41"/>
      <c r="TIC71" s="41"/>
      <c r="TID71" s="41"/>
      <c r="TJZ71" s="39"/>
      <c r="TKC71" s="41"/>
      <c r="TKD71" s="41"/>
      <c r="TKE71" s="41"/>
      <c r="TKF71" s="41"/>
      <c r="TKG71" s="41"/>
      <c r="TMC71" s="39"/>
      <c r="TMF71" s="41"/>
      <c r="TMG71" s="41"/>
      <c r="TMH71" s="41"/>
      <c r="TMI71" s="41"/>
      <c r="TMJ71" s="41"/>
      <c r="TOF71" s="39"/>
      <c r="TOI71" s="41"/>
      <c r="TOJ71" s="41"/>
      <c r="TOK71" s="41"/>
      <c r="TOL71" s="41"/>
      <c r="TOM71" s="41"/>
      <c r="TQI71" s="39"/>
      <c r="TQL71" s="41"/>
      <c r="TQM71" s="41"/>
      <c r="TQN71" s="41"/>
      <c r="TQO71" s="41"/>
      <c r="TQP71" s="41"/>
      <c r="TSL71" s="39"/>
      <c r="TSO71" s="41"/>
      <c r="TSP71" s="41"/>
      <c r="TSQ71" s="41"/>
      <c r="TSR71" s="41"/>
      <c r="TSS71" s="41"/>
      <c r="TUO71" s="39"/>
      <c r="TUR71" s="41"/>
      <c r="TUS71" s="41"/>
      <c r="TUT71" s="41"/>
      <c r="TUU71" s="41"/>
      <c r="TUV71" s="41"/>
      <c r="TWR71" s="39"/>
      <c r="TWU71" s="41"/>
      <c r="TWV71" s="41"/>
      <c r="TWW71" s="41"/>
      <c r="TWX71" s="41"/>
      <c r="TWY71" s="41"/>
      <c r="TYU71" s="39"/>
      <c r="TYX71" s="41"/>
      <c r="TYY71" s="41"/>
      <c r="TYZ71" s="41"/>
      <c r="TZA71" s="41"/>
      <c r="TZB71" s="41"/>
      <c r="UAX71" s="39"/>
      <c r="UBA71" s="41"/>
      <c r="UBB71" s="41"/>
      <c r="UBC71" s="41"/>
      <c r="UBD71" s="41"/>
      <c r="UBE71" s="41"/>
      <c r="UDA71" s="39"/>
      <c r="UDD71" s="41"/>
      <c r="UDE71" s="41"/>
      <c r="UDF71" s="41"/>
      <c r="UDG71" s="41"/>
      <c r="UDH71" s="41"/>
      <c r="UFD71" s="39"/>
      <c r="UFG71" s="41"/>
      <c r="UFH71" s="41"/>
      <c r="UFI71" s="41"/>
      <c r="UFJ71" s="41"/>
      <c r="UFK71" s="41"/>
      <c r="UHG71" s="39"/>
      <c r="UHJ71" s="41"/>
      <c r="UHK71" s="41"/>
      <c r="UHL71" s="41"/>
      <c r="UHM71" s="41"/>
      <c r="UHN71" s="41"/>
      <c r="UJJ71" s="39"/>
      <c r="UJM71" s="41"/>
      <c r="UJN71" s="41"/>
      <c r="UJO71" s="41"/>
      <c r="UJP71" s="41"/>
      <c r="UJQ71" s="41"/>
      <c r="ULM71" s="39"/>
      <c r="ULP71" s="41"/>
      <c r="ULQ71" s="41"/>
      <c r="ULR71" s="41"/>
      <c r="ULS71" s="41"/>
      <c r="ULT71" s="41"/>
      <c r="UNP71" s="39"/>
      <c r="UNS71" s="41"/>
      <c r="UNT71" s="41"/>
      <c r="UNU71" s="41"/>
      <c r="UNV71" s="41"/>
      <c r="UNW71" s="41"/>
      <c r="UPS71" s="39"/>
      <c r="UPV71" s="41"/>
      <c r="UPW71" s="41"/>
      <c r="UPX71" s="41"/>
      <c r="UPY71" s="41"/>
      <c r="UPZ71" s="41"/>
      <c r="URV71" s="39"/>
      <c r="URY71" s="41"/>
      <c r="URZ71" s="41"/>
      <c r="USA71" s="41"/>
      <c r="USB71" s="41"/>
      <c r="USC71" s="41"/>
      <c r="UTY71" s="39"/>
      <c r="UUB71" s="41"/>
      <c r="UUC71" s="41"/>
      <c r="UUD71" s="41"/>
      <c r="UUE71" s="41"/>
      <c r="UUF71" s="41"/>
      <c r="UWB71" s="39"/>
      <c r="UWE71" s="41"/>
      <c r="UWF71" s="41"/>
      <c r="UWG71" s="41"/>
      <c r="UWH71" s="41"/>
      <c r="UWI71" s="41"/>
      <c r="UYE71" s="39"/>
      <c r="UYH71" s="41"/>
      <c r="UYI71" s="41"/>
      <c r="UYJ71" s="41"/>
      <c r="UYK71" s="41"/>
      <c r="UYL71" s="41"/>
      <c r="VAH71" s="39"/>
      <c r="VAK71" s="41"/>
      <c r="VAL71" s="41"/>
      <c r="VAM71" s="41"/>
      <c r="VAN71" s="41"/>
      <c r="VAO71" s="41"/>
      <c r="VCK71" s="39"/>
      <c r="VCN71" s="41"/>
      <c r="VCO71" s="41"/>
      <c r="VCP71" s="41"/>
      <c r="VCQ71" s="41"/>
      <c r="VCR71" s="41"/>
      <c r="VEN71" s="39"/>
      <c r="VEQ71" s="41"/>
      <c r="VER71" s="41"/>
      <c r="VES71" s="41"/>
      <c r="VET71" s="41"/>
      <c r="VEU71" s="41"/>
      <c r="VGQ71" s="39"/>
      <c r="VGT71" s="41"/>
      <c r="VGU71" s="41"/>
      <c r="VGV71" s="41"/>
      <c r="VGW71" s="41"/>
      <c r="VGX71" s="41"/>
      <c r="VIT71" s="39"/>
      <c r="VIW71" s="41"/>
      <c r="VIX71" s="41"/>
      <c r="VIY71" s="41"/>
      <c r="VIZ71" s="41"/>
      <c r="VJA71" s="41"/>
      <c r="VKW71" s="39"/>
      <c r="VKZ71" s="41"/>
      <c r="VLA71" s="41"/>
      <c r="VLB71" s="41"/>
      <c r="VLC71" s="41"/>
      <c r="VLD71" s="41"/>
      <c r="VMZ71" s="39"/>
      <c r="VNC71" s="41"/>
      <c r="VND71" s="41"/>
      <c r="VNE71" s="41"/>
      <c r="VNF71" s="41"/>
      <c r="VNG71" s="41"/>
      <c r="VPC71" s="39"/>
      <c r="VPF71" s="41"/>
      <c r="VPG71" s="41"/>
      <c r="VPH71" s="41"/>
      <c r="VPI71" s="41"/>
      <c r="VPJ71" s="41"/>
      <c r="VRF71" s="39"/>
      <c r="VRI71" s="41"/>
      <c r="VRJ71" s="41"/>
      <c r="VRK71" s="41"/>
      <c r="VRL71" s="41"/>
      <c r="VRM71" s="41"/>
      <c r="VTI71" s="39"/>
      <c r="VTL71" s="41"/>
      <c r="VTM71" s="41"/>
      <c r="VTN71" s="41"/>
      <c r="VTO71" s="41"/>
      <c r="VTP71" s="41"/>
      <c r="VVL71" s="39"/>
      <c r="VVO71" s="41"/>
      <c r="VVP71" s="41"/>
      <c r="VVQ71" s="41"/>
      <c r="VVR71" s="41"/>
      <c r="VVS71" s="41"/>
      <c r="VXO71" s="39"/>
      <c r="VXR71" s="41"/>
      <c r="VXS71" s="41"/>
      <c r="VXT71" s="41"/>
      <c r="VXU71" s="41"/>
      <c r="VXV71" s="41"/>
      <c r="VZR71" s="39"/>
      <c r="VZU71" s="41"/>
      <c r="VZV71" s="41"/>
      <c r="VZW71" s="41"/>
      <c r="VZX71" s="41"/>
      <c r="VZY71" s="41"/>
      <c r="WBU71" s="39"/>
      <c r="WBX71" s="41"/>
      <c r="WBY71" s="41"/>
      <c r="WBZ71" s="41"/>
      <c r="WCA71" s="41"/>
      <c r="WCB71" s="41"/>
      <c r="WDX71" s="39"/>
      <c r="WEA71" s="41"/>
      <c r="WEB71" s="41"/>
      <c r="WEC71" s="41"/>
      <c r="WED71" s="41"/>
      <c r="WEE71" s="41"/>
      <c r="WGA71" s="39"/>
      <c r="WGD71" s="41"/>
      <c r="WGE71" s="41"/>
      <c r="WGF71" s="41"/>
      <c r="WGG71" s="41"/>
      <c r="WGH71" s="41"/>
      <c r="WID71" s="39"/>
      <c r="WIG71" s="41"/>
      <c r="WIH71" s="41"/>
      <c r="WII71" s="41"/>
      <c r="WIJ71" s="41"/>
      <c r="WIK71" s="41"/>
      <c r="WKG71" s="39"/>
      <c r="WKJ71" s="41"/>
      <c r="WKK71" s="41"/>
      <c r="WKL71" s="41"/>
      <c r="WKM71" s="41"/>
      <c r="WKN71" s="41"/>
      <c r="WMJ71" s="39"/>
      <c r="WMM71" s="41"/>
      <c r="WMN71" s="41"/>
      <c r="WMO71" s="41"/>
      <c r="WMP71" s="41"/>
      <c r="WMQ71" s="41"/>
      <c r="WOM71" s="39"/>
      <c r="WOP71" s="41"/>
      <c r="WOQ71" s="41"/>
      <c r="WOR71" s="41"/>
      <c r="WOS71" s="41"/>
      <c r="WOT71" s="41"/>
      <c r="WQP71" s="39"/>
      <c r="WQS71" s="41"/>
      <c r="WQT71" s="41"/>
      <c r="WQU71" s="41"/>
      <c r="WQV71" s="41"/>
      <c r="WQW71" s="41"/>
      <c r="WSS71" s="39"/>
      <c r="WSV71" s="41"/>
      <c r="WSW71" s="41"/>
      <c r="WSX71" s="41"/>
      <c r="WSY71" s="41"/>
      <c r="WSZ71" s="41"/>
      <c r="WUV71" s="39"/>
      <c r="WUY71" s="41"/>
      <c r="WUZ71" s="41"/>
      <c r="WVA71" s="41"/>
      <c r="WVB71" s="41"/>
      <c r="WVC71" s="41"/>
      <c r="WWY71" s="39"/>
      <c r="WXB71" s="41"/>
      <c r="WXC71" s="41"/>
      <c r="WXD71" s="41"/>
      <c r="WXE71" s="41"/>
      <c r="WXF71" s="41"/>
      <c r="WZB71" s="39"/>
      <c r="WZE71" s="41"/>
      <c r="WZF71" s="41"/>
      <c r="WZG71" s="41"/>
      <c r="WZH71" s="41"/>
      <c r="WZI71" s="41"/>
      <c r="XBE71" s="39"/>
      <c r="XBH71" s="41"/>
      <c r="XBI71" s="41"/>
      <c r="XBJ71" s="41"/>
      <c r="XBK71" s="41"/>
      <c r="XBL71" s="41"/>
      <c r="XDH71" s="39"/>
      <c r="XDK71" s="41"/>
      <c r="XDL71" s="41"/>
      <c r="XDM71" s="41"/>
      <c r="XDN71" s="41"/>
      <c r="XDO71" s="41"/>
    </row>
    <row r="72" spans="1:998 1046:2043 2091:3033 3081:4078 4126:6113 6161:7158 7206:8148 8196:9193 9241:10238 10286:11228 11276:12273 12321:13311 13314:14308 14356:15353 15401:16343" s="40" customFormat="1" ht="15" customHeight="1" x14ac:dyDescent="0.25">
      <c r="A72" s="22" t="s">
        <v>544</v>
      </c>
      <c r="B72" s="23">
        <v>600</v>
      </c>
      <c r="C72" s="23">
        <v>32</v>
      </c>
      <c r="D72" s="24">
        <v>30</v>
      </c>
      <c r="E72" s="24" t="s">
        <v>469</v>
      </c>
      <c r="F72" s="24">
        <v>0</v>
      </c>
      <c r="G72" s="24">
        <f t="shared" si="18"/>
        <v>384</v>
      </c>
      <c r="H72" s="24">
        <f t="shared" si="19"/>
        <v>199</v>
      </c>
      <c r="I72" s="23">
        <f t="shared" si="20"/>
        <v>187</v>
      </c>
      <c r="J72" s="23">
        <f t="shared" si="21"/>
        <v>30</v>
      </c>
      <c r="K72" s="23">
        <v>1.625</v>
      </c>
      <c r="L72" s="23">
        <v>12</v>
      </c>
      <c r="M72" s="23">
        <v>28</v>
      </c>
      <c r="N72" s="23">
        <f t="shared" si="22"/>
        <v>6.4285714285714288</v>
      </c>
      <c r="O72" s="23">
        <f t="shared" si="23"/>
        <v>28</v>
      </c>
      <c r="P72" s="23">
        <f t="shared" si="24"/>
        <v>56</v>
      </c>
      <c r="Q72" s="23">
        <f t="shared" si="25"/>
        <v>56</v>
      </c>
      <c r="R72" s="23">
        <f t="shared" si="26"/>
        <v>28</v>
      </c>
      <c r="BD72" s="39"/>
      <c r="BG72" s="41"/>
      <c r="BH72" s="41"/>
      <c r="BI72" s="41"/>
      <c r="BJ72" s="41"/>
      <c r="BK72" s="41"/>
      <c r="DG72" s="39"/>
      <c r="DJ72" s="41"/>
      <c r="DK72" s="41"/>
      <c r="DL72" s="41"/>
      <c r="DM72" s="41"/>
      <c r="DN72" s="41"/>
      <c r="FJ72" s="39"/>
      <c r="FM72" s="41"/>
      <c r="FN72" s="41"/>
      <c r="FO72" s="41"/>
      <c r="FP72" s="41"/>
      <c r="FQ72" s="41"/>
      <c r="HM72" s="39"/>
      <c r="HP72" s="41"/>
      <c r="HQ72" s="41"/>
      <c r="HR72" s="41"/>
      <c r="HS72" s="41"/>
      <c r="HT72" s="41"/>
      <c r="JP72" s="39"/>
      <c r="JS72" s="41"/>
      <c r="JT72" s="41"/>
      <c r="JU72" s="41"/>
      <c r="JV72" s="41"/>
      <c r="JW72" s="41"/>
      <c r="LS72" s="39"/>
      <c r="LV72" s="41"/>
      <c r="LW72" s="41"/>
      <c r="LX72" s="41"/>
      <c r="LY72" s="41"/>
      <c r="LZ72" s="41"/>
      <c r="NV72" s="39"/>
      <c r="NY72" s="41"/>
      <c r="NZ72" s="41"/>
      <c r="OA72" s="41"/>
      <c r="OB72" s="41"/>
      <c r="OC72" s="41"/>
      <c r="PY72" s="39"/>
      <c r="QB72" s="41"/>
      <c r="QC72" s="41"/>
      <c r="QD72" s="41"/>
      <c r="QE72" s="41"/>
      <c r="QF72" s="41"/>
      <c r="SB72" s="39"/>
      <c r="SE72" s="41"/>
      <c r="SF72" s="41"/>
      <c r="SG72" s="41"/>
      <c r="SH72" s="41"/>
      <c r="SI72" s="41"/>
      <c r="UE72" s="39"/>
      <c r="UH72" s="41"/>
      <c r="UI72" s="41"/>
      <c r="UJ72" s="41"/>
      <c r="UK72" s="41"/>
      <c r="UL72" s="41"/>
      <c r="WH72" s="39"/>
      <c r="WK72" s="41"/>
      <c r="WL72" s="41"/>
      <c r="WM72" s="41"/>
      <c r="WN72" s="41"/>
      <c r="WO72" s="41"/>
      <c r="YK72" s="39"/>
      <c r="YN72" s="41"/>
      <c r="YO72" s="41"/>
      <c r="YP72" s="41"/>
      <c r="YQ72" s="41"/>
      <c r="YR72" s="41"/>
      <c r="AAN72" s="39"/>
      <c r="AAQ72" s="41"/>
      <c r="AAR72" s="41"/>
      <c r="AAS72" s="41"/>
      <c r="AAT72" s="41"/>
      <c r="AAU72" s="41"/>
      <c r="ACQ72" s="39"/>
      <c r="ACT72" s="41"/>
      <c r="ACU72" s="41"/>
      <c r="ACV72" s="41"/>
      <c r="ACW72" s="41"/>
      <c r="ACX72" s="41"/>
      <c r="AET72" s="39"/>
      <c r="AEW72" s="41"/>
      <c r="AEX72" s="41"/>
      <c r="AEY72" s="41"/>
      <c r="AEZ72" s="41"/>
      <c r="AFA72" s="41"/>
      <c r="AGW72" s="39"/>
      <c r="AGZ72" s="41"/>
      <c r="AHA72" s="41"/>
      <c r="AHB72" s="41"/>
      <c r="AHC72" s="41"/>
      <c r="AHD72" s="41"/>
      <c r="AIZ72" s="39"/>
      <c r="AJC72" s="41"/>
      <c r="AJD72" s="41"/>
      <c r="AJE72" s="41"/>
      <c r="AJF72" s="41"/>
      <c r="AJG72" s="41"/>
      <c r="ALC72" s="39"/>
      <c r="ALF72" s="41"/>
      <c r="ALG72" s="41"/>
      <c r="ALH72" s="41"/>
      <c r="ALI72" s="41"/>
      <c r="ALJ72" s="41"/>
      <c r="ANF72" s="39"/>
      <c r="ANI72" s="41"/>
      <c r="ANJ72" s="41"/>
      <c r="ANK72" s="41"/>
      <c r="ANL72" s="41"/>
      <c r="ANM72" s="41"/>
      <c r="API72" s="39"/>
      <c r="APL72" s="41"/>
      <c r="APM72" s="41"/>
      <c r="APN72" s="41"/>
      <c r="APO72" s="41"/>
      <c r="APP72" s="41"/>
      <c r="ARL72" s="39"/>
      <c r="ARO72" s="41"/>
      <c r="ARP72" s="41"/>
      <c r="ARQ72" s="41"/>
      <c r="ARR72" s="41"/>
      <c r="ARS72" s="41"/>
      <c r="ATO72" s="39"/>
      <c r="ATR72" s="41"/>
      <c r="ATS72" s="41"/>
      <c r="ATT72" s="41"/>
      <c r="ATU72" s="41"/>
      <c r="ATV72" s="41"/>
      <c r="AVR72" s="39"/>
      <c r="AVU72" s="41"/>
      <c r="AVV72" s="41"/>
      <c r="AVW72" s="41"/>
      <c r="AVX72" s="41"/>
      <c r="AVY72" s="41"/>
      <c r="AXU72" s="39"/>
      <c r="AXX72" s="41"/>
      <c r="AXY72" s="41"/>
      <c r="AXZ72" s="41"/>
      <c r="AYA72" s="41"/>
      <c r="AYB72" s="41"/>
      <c r="AZX72" s="39"/>
      <c r="BAA72" s="41"/>
      <c r="BAB72" s="41"/>
      <c r="BAC72" s="41"/>
      <c r="BAD72" s="41"/>
      <c r="BAE72" s="41"/>
      <c r="BCA72" s="39"/>
      <c r="BCD72" s="41"/>
      <c r="BCE72" s="41"/>
      <c r="BCF72" s="41"/>
      <c r="BCG72" s="41"/>
      <c r="BCH72" s="41"/>
      <c r="BED72" s="39"/>
      <c r="BEG72" s="41"/>
      <c r="BEH72" s="41"/>
      <c r="BEI72" s="41"/>
      <c r="BEJ72" s="41"/>
      <c r="BEK72" s="41"/>
      <c r="BGG72" s="39"/>
      <c r="BGJ72" s="41"/>
      <c r="BGK72" s="41"/>
      <c r="BGL72" s="41"/>
      <c r="BGM72" s="41"/>
      <c r="BGN72" s="41"/>
      <c r="BIJ72" s="39"/>
      <c r="BIM72" s="41"/>
      <c r="BIN72" s="41"/>
      <c r="BIO72" s="41"/>
      <c r="BIP72" s="41"/>
      <c r="BIQ72" s="41"/>
      <c r="BKM72" s="39"/>
      <c r="BKP72" s="41"/>
      <c r="BKQ72" s="41"/>
      <c r="BKR72" s="41"/>
      <c r="BKS72" s="41"/>
      <c r="BKT72" s="41"/>
      <c r="BMP72" s="39"/>
      <c r="BMS72" s="41"/>
      <c r="BMT72" s="41"/>
      <c r="BMU72" s="41"/>
      <c r="BMV72" s="41"/>
      <c r="BMW72" s="41"/>
      <c r="BOS72" s="39"/>
      <c r="BOV72" s="41"/>
      <c r="BOW72" s="41"/>
      <c r="BOX72" s="41"/>
      <c r="BOY72" s="41"/>
      <c r="BOZ72" s="41"/>
      <c r="BQV72" s="39"/>
      <c r="BQY72" s="41"/>
      <c r="BQZ72" s="41"/>
      <c r="BRA72" s="41"/>
      <c r="BRB72" s="41"/>
      <c r="BRC72" s="41"/>
      <c r="BSY72" s="39"/>
      <c r="BTB72" s="41"/>
      <c r="BTC72" s="41"/>
      <c r="BTD72" s="41"/>
      <c r="BTE72" s="41"/>
      <c r="BTF72" s="41"/>
      <c r="BVB72" s="39"/>
      <c r="BVE72" s="41"/>
      <c r="BVF72" s="41"/>
      <c r="BVG72" s="41"/>
      <c r="BVH72" s="41"/>
      <c r="BVI72" s="41"/>
      <c r="BXE72" s="39"/>
      <c r="BXH72" s="41"/>
      <c r="BXI72" s="41"/>
      <c r="BXJ72" s="41"/>
      <c r="BXK72" s="41"/>
      <c r="BXL72" s="41"/>
      <c r="BZH72" s="39"/>
      <c r="BZK72" s="41"/>
      <c r="BZL72" s="41"/>
      <c r="BZM72" s="41"/>
      <c r="BZN72" s="41"/>
      <c r="BZO72" s="41"/>
      <c r="CBK72" s="39"/>
      <c r="CBN72" s="41"/>
      <c r="CBO72" s="41"/>
      <c r="CBP72" s="41"/>
      <c r="CBQ72" s="41"/>
      <c r="CBR72" s="41"/>
      <c r="CDN72" s="39"/>
      <c r="CDQ72" s="41"/>
      <c r="CDR72" s="41"/>
      <c r="CDS72" s="41"/>
      <c r="CDT72" s="41"/>
      <c r="CDU72" s="41"/>
      <c r="CFQ72" s="39"/>
      <c r="CFT72" s="41"/>
      <c r="CFU72" s="41"/>
      <c r="CFV72" s="41"/>
      <c r="CFW72" s="41"/>
      <c r="CFX72" s="41"/>
      <c r="CHT72" s="39"/>
      <c r="CHW72" s="41"/>
      <c r="CHX72" s="41"/>
      <c r="CHY72" s="41"/>
      <c r="CHZ72" s="41"/>
      <c r="CIA72" s="41"/>
      <c r="CJW72" s="39"/>
      <c r="CJZ72" s="41"/>
      <c r="CKA72" s="41"/>
      <c r="CKB72" s="41"/>
      <c r="CKC72" s="41"/>
      <c r="CKD72" s="41"/>
      <c r="CLZ72" s="39"/>
      <c r="CMC72" s="41"/>
      <c r="CMD72" s="41"/>
      <c r="CME72" s="41"/>
      <c r="CMF72" s="41"/>
      <c r="CMG72" s="41"/>
      <c r="COC72" s="39"/>
      <c r="COF72" s="41"/>
      <c r="COG72" s="41"/>
      <c r="COH72" s="41"/>
      <c r="COI72" s="41"/>
      <c r="COJ72" s="41"/>
      <c r="CQF72" s="39"/>
      <c r="CQI72" s="41"/>
      <c r="CQJ72" s="41"/>
      <c r="CQK72" s="41"/>
      <c r="CQL72" s="41"/>
      <c r="CQM72" s="41"/>
      <c r="CSI72" s="39"/>
      <c r="CSL72" s="41"/>
      <c r="CSM72" s="41"/>
      <c r="CSN72" s="41"/>
      <c r="CSO72" s="41"/>
      <c r="CSP72" s="41"/>
      <c r="CUL72" s="39"/>
      <c r="CUO72" s="41"/>
      <c r="CUP72" s="41"/>
      <c r="CUQ72" s="41"/>
      <c r="CUR72" s="41"/>
      <c r="CUS72" s="41"/>
      <c r="CWO72" s="39"/>
      <c r="CWR72" s="41"/>
      <c r="CWS72" s="41"/>
      <c r="CWT72" s="41"/>
      <c r="CWU72" s="41"/>
      <c r="CWV72" s="41"/>
      <c r="CYR72" s="39"/>
      <c r="CYU72" s="41"/>
      <c r="CYV72" s="41"/>
      <c r="CYW72" s="41"/>
      <c r="CYX72" s="41"/>
      <c r="CYY72" s="41"/>
      <c r="DAU72" s="39"/>
      <c r="DAX72" s="41"/>
      <c r="DAY72" s="41"/>
      <c r="DAZ72" s="41"/>
      <c r="DBA72" s="41"/>
      <c r="DBB72" s="41"/>
      <c r="DCX72" s="39"/>
      <c r="DDA72" s="41"/>
      <c r="DDB72" s="41"/>
      <c r="DDC72" s="41"/>
      <c r="DDD72" s="41"/>
      <c r="DDE72" s="41"/>
      <c r="DFA72" s="39"/>
      <c r="DFD72" s="41"/>
      <c r="DFE72" s="41"/>
      <c r="DFF72" s="41"/>
      <c r="DFG72" s="41"/>
      <c r="DFH72" s="41"/>
      <c r="DHD72" s="39"/>
      <c r="DHG72" s="41"/>
      <c r="DHH72" s="41"/>
      <c r="DHI72" s="41"/>
      <c r="DHJ72" s="41"/>
      <c r="DHK72" s="41"/>
      <c r="DJG72" s="39"/>
      <c r="DJJ72" s="41"/>
      <c r="DJK72" s="41"/>
      <c r="DJL72" s="41"/>
      <c r="DJM72" s="41"/>
      <c r="DJN72" s="41"/>
      <c r="DLJ72" s="39"/>
      <c r="DLM72" s="41"/>
      <c r="DLN72" s="41"/>
      <c r="DLO72" s="41"/>
      <c r="DLP72" s="41"/>
      <c r="DLQ72" s="41"/>
      <c r="DNM72" s="39"/>
      <c r="DNP72" s="41"/>
      <c r="DNQ72" s="41"/>
      <c r="DNR72" s="41"/>
      <c r="DNS72" s="41"/>
      <c r="DNT72" s="41"/>
      <c r="DPP72" s="39"/>
      <c r="DPS72" s="41"/>
      <c r="DPT72" s="41"/>
      <c r="DPU72" s="41"/>
      <c r="DPV72" s="41"/>
      <c r="DPW72" s="41"/>
      <c r="DRS72" s="39"/>
      <c r="DRV72" s="41"/>
      <c r="DRW72" s="41"/>
      <c r="DRX72" s="41"/>
      <c r="DRY72" s="41"/>
      <c r="DRZ72" s="41"/>
      <c r="DTV72" s="39"/>
      <c r="DTY72" s="41"/>
      <c r="DTZ72" s="41"/>
      <c r="DUA72" s="41"/>
      <c r="DUB72" s="41"/>
      <c r="DUC72" s="41"/>
      <c r="DVY72" s="39"/>
      <c r="DWB72" s="41"/>
      <c r="DWC72" s="41"/>
      <c r="DWD72" s="41"/>
      <c r="DWE72" s="41"/>
      <c r="DWF72" s="41"/>
      <c r="DYB72" s="39"/>
      <c r="DYE72" s="41"/>
      <c r="DYF72" s="41"/>
      <c r="DYG72" s="41"/>
      <c r="DYH72" s="41"/>
      <c r="DYI72" s="41"/>
      <c r="EAE72" s="39"/>
      <c r="EAH72" s="41"/>
      <c r="EAI72" s="41"/>
      <c r="EAJ72" s="41"/>
      <c r="EAK72" s="41"/>
      <c r="EAL72" s="41"/>
      <c r="ECH72" s="39"/>
      <c r="ECK72" s="41"/>
      <c r="ECL72" s="41"/>
      <c r="ECM72" s="41"/>
      <c r="ECN72" s="41"/>
      <c r="ECO72" s="41"/>
      <c r="EEK72" s="39"/>
      <c r="EEN72" s="41"/>
      <c r="EEO72" s="41"/>
      <c r="EEP72" s="41"/>
      <c r="EEQ72" s="41"/>
      <c r="EER72" s="41"/>
      <c r="EGN72" s="39"/>
      <c r="EGQ72" s="41"/>
      <c r="EGR72" s="41"/>
      <c r="EGS72" s="41"/>
      <c r="EGT72" s="41"/>
      <c r="EGU72" s="41"/>
      <c r="EIQ72" s="39"/>
      <c r="EIT72" s="41"/>
      <c r="EIU72" s="41"/>
      <c r="EIV72" s="41"/>
      <c r="EIW72" s="41"/>
      <c r="EIX72" s="41"/>
      <c r="EKT72" s="39"/>
      <c r="EKW72" s="41"/>
      <c r="EKX72" s="41"/>
      <c r="EKY72" s="41"/>
      <c r="EKZ72" s="41"/>
      <c r="ELA72" s="41"/>
      <c r="EMW72" s="39"/>
      <c r="EMZ72" s="41"/>
      <c r="ENA72" s="41"/>
      <c r="ENB72" s="41"/>
      <c r="ENC72" s="41"/>
      <c r="END72" s="41"/>
      <c r="EOZ72" s="39"/>
      <c r="EPC72" s="41"/>
      <c r="EPD72" s="41"/>
      <c r="EPE72" s="41"/>
      <c r="EPF72" s="41"/>
      <c r="EPG72" s="41"/>
      <c r="ERC72" s="39"/>
      <c r="ERF72" s="41"/>
      <c r="ERG72" s="41"/>
      <c r="ERH72" s="41"/>
      <c r="ERI72" s="41"/>
      <c r="ERJ72" s="41"/>
      <c r="ETF72" s="39"/>
      <c r="ETI72" s="41"/>
      <c r="ETJ72" s="41"/>
      <c r="ETK72" s="41"/>
      <c r="ETL72" s="41"/>
      <c r="ETM72" s="41"/>
      <c r="EVI72" s="39"/>
      <c r="EVL72" s="41"/>
      <c r="EVM72" s="41"/>
      <c r="EVN72" s="41"/>
      <c r="EVO72" s="41"/>
      <c r="EVP72" s="41"/>
      <c r="EXL72" s="39"/>
      <c r="EXO72" s="41"/>
      <c r="EXP72" s="41"/>
      <c r="EXQ72" s="41"/>
      <c r="EXR72" s="41"/>
      <c r="EXS72" s="41"/>
      <c r="EZO72" s="39"/>
      <c r="EZR72" s="41"/>
      <c r="EZS72" s="41"/>
      <c r="EZT72" s="41"/>
      <c r="EZU72" s="41"/>
      <c r="EZV72" s="41"/>
      <c r="FBR72" s="39"/>
      <c r="FBU72" s="41"/>
      <c r="FBV72" s="41"/>
      <c r="FBW72" s="41"/>
      <c r="FBX72" s="41"/>
      <c r="FBY72" s="41"/>
      <c r="FDU72" s="39"/>
      <c r="FDX72" s="41"/>
      <c r="FDY72" s="41"/>
      <c r="FDZ72" s="41"/>
      <c r="FEA72" s="41"/>
      <c r="FEB72" s="41"/>
      <c r="FFX72" s="39"/>
      <c r="FGA72" s="41"/>
      <c r="FGB72" s="41"/>
      <c r="FGC72" s="41"/>
      <c r="FGD72" s="41"/>
      <c r="FGE72" s="41"/>
      <c r="FIA72" s="39"/>
      <c r="FID72" s="41"/>
      <c r="FIE72" s="41"/>
      <c r="FIF72" s="41"/>
      <c r="FIG72" s="41"/>
      <c r="FIH72" s="41"/>
      <c r="FKD72" s="39"/>
      <c r="FKG72" s="41"/>
      <c r="FKH72" s="41"/>
      <c r="FKI72" s="41"/>
      <c r="FKJ72" s="41"/>
      <c r="FKK72" s="41"/>
      <c r="FMG72" s="39"/>
      <c r="FMJ72" s="41"/>
      <c r="FMK72" s="41"/>
      <c r="FML72" s="41"/>
      <c r="FMM72" s="41"/>
      <c r="FMN72" s="41"/>
      <c r="FOJ72" s="39"/>
      <c r="FOM72" s="41"/>
      <c r="FON72" s="41"/>
      <c r="FOO72" s="41"/>
      <c r="FOP72" s="41"/>
      <c r="FOQ72" s="41"/>
      <c r="FQM72" s="39"/>
      <c r="FQP72" s="41"/>
      <c r="FQQ72" s="41"/>
      <c r="FQR72" s="41"/>
      <c r="FQS72" s="41"/>
      <c r="FQT72" s="41"/>
      <c r="FSP72" s="39"/>
      <c r="FSS72" s="41"/>
      <c r="FST72" s="41"/>
      <c r="FSU72" s="41"/>
      <c r="FSV72" s="41"/>
      <c r="FSW72" s="41"/>
      <c r="FUS72" s="39"/>
      <c r="FUV72" s="41"/>
      <c r="FUW72" s="41"/>
      <c r="FUX72" s="41"/>
      <c r="FUY72" s="41"/>
      <c r="FUZ72" s="41"/>
      <c r="FWV72" s="39"/>
      <c r="FWY72" s="41"/>
      <c r="FWZ72" s="41"/>
      <c r="FXA72" s="41"/>
      <c r="FXB72" s="41"/>
      <c r="FXC72" s="41"/>
      <c r="FYY72" s="39"/>
      <c r="FZB72" s="41"/>
      <c r="FZC72" s="41"/>
      <c r="FZD72" s="41"/>
      <c r="FZE72" s="41"/>
      <c r="FZF72" s="41"/>
      <c r="GBB72" s="39"/>
      <c r="GBE72" s="41"/>
      <c r="GBF72" s="41"/>
      <c r="GBG72" s="41"/>
      <c r="GBH72" s="41"/>
      <c r="GBI72" s="41"/>
      <c r="GDE72" s="39"/>
      <c r="GDH72" s="41"/>
      <c r="GDI72" s="41"/>
      <c r="GDJ72" s="41"/>
      <c r="GDK72" s="41"/>
      <c r="GDL72" s="41"/>
      <c r="GFH72" s="39"/>
      <c r="GFK72" s="41"/>
      <c r="GFL72" s="41"/>
      <c r="GFM72" s="41"/>
      <c r="GFN72" s="41"/>
      <c r="GFO72" s="41"/>
      <c r="GHK72" s="39"/>
      <c r="GHN72" s="41"/>
      <c r="GHO72" s="41"/>
      <c r="GHP72" s="41"/>
      <c r="GHQ72" s="41"/>
      <c r="GHR72" s="41"/>
      <c r="GJN72" s="39"/>
      <c r="GJQ72" s="41"/>
      <c r="GJR72" s="41"/>
      <c r="GJS72" s="41"/>
      <c r="GJT72" s="41"/>
      <c r="GJU72" s="41"/>
      <c r="GLQ72" s="39"/>
      <c r="GLT72" s="41"/>
      <c r="GLU72" s="41"/>
      <c r="GLV72" s="41"/>
      <c r="GLW72" s="41"/>
      <c r="GLX72" s="41"/>
      <c r="GNT72" s="39"/>
      <c r="GNW72" s="41"/>
      <c r="GNX72" s="41"/>
      <c r="GNY72" s="41"/>
      <c r="GNZ72" s="41"/>
      <c r="GOA72" s="41"/>
      <c r="GPW72" s="39"/>
      <c r="GPZ72" s="41"/>
      <c r="GQA72" s="41"/>
      <c r="GQB72" s="41"/>
      <c r="GQC72" s="41"/>
      <c r="GQD72" s="41"/>
      <c r="GRZ72" s="39"/>
      <c r="GSC72" s="41"/>
      <c r="GSD72" s="41"/>
      <c r="GSE72" s="41"/>
      <c r="GSF72" s="41"/>
      <c r="GSG72" s="41"/>
      <c r="GUC72" s="39"/>
      <c r="GUF72" s="41"/>
      <c r="GUG72" s="41"/>
      <c r="GUH72" s="41"/>
      <c r="GUI72" s="41"/>
      <c r="GUJ72" s="41"/>
      <c r="GWF72" s="39"/>
      <c r="GWI72" s="41"/>
      <c r="GWJ72" s="41"/>
      <c r="GWK72" s="41"/>
      <c r="GWL72" s="41"/>
      <c r="GWM72" s="41"/>
      <c r="GYI72" s="39"/>
      <c r="GYL72" s="41"/>
      <c r="GYM72" s="41"/>
      <c r="GYN72" s="41"/>
      <c r="GYO72" s="41"/>
      <c r="GYP72" s="41"/>
      <c r="HAL72" s="39"/>
      <c r="HAO72" s="41"/>
      <c r="HAP72" s="41"/>
      <c r="HAQ72" s="41"/>
      <c r="HAR72" s="41"/>
      <c r="HAS72" s="41"/>
      <c r="HCO72" s="39"/>
      <c r="HCR72" s="41"/>
      <c r="HCS72" s="41"/>
      <c r="HCT72" s="41"/>
      <c r="HCU72" s="41"/>
      <c r="HCV72" s="41"/>
      <c r="HER72" s="39"/>
      <c r="HEU72" s="41"/>
      <c r="HEV72" s="41"/>
      <c r="HEW72" s="41"/>
      <c r="HEX72" s="41"/>
      <c r="HEY72" s="41"/>
      <c r="HGU72" s="39"/>
      <c r="HGX72" s="41"/>
      <c r="HGY72" s="41"/>
      <c r="HGZ72" s="41"/>
      <c r="HHA72" s="41"/>
      <c r="HHB72" s="41"/>
      <c r="HIX72" s="39"/>
      <c r="HJA72" s="41"/>
      <c r="HJB72" s="41"/>
      <c r="HJC72" s="41"/>
      <c r="HJD72" s="41"/>
      <c r="HJE72" s="41"/>
      <c r="HLA72" s="39"/>
      <c r="HLD72" s="41"/>
      <c r="HLE72" s="41"/>
      <c r="HLF72" s="41"/>
      <c r="HLG72" s="41"/>
      <c r="HLH72" s="41"/>
      <c r="HND72" s="39"/>
      <c r="HNG72" s="41"/>
      <c r="HNH72" s="41"/>
      <c r="HNI72" s="41"/>
      <c r="HNJ72" s="41"/>
      <c r="HNK72" s="41"/>
      <c r="HPG72" s="39"/>
      <c r="HPJ72" s="41"/>
      <c r="HPK72" s="41"/>
      <c r="HPL72" s="41"/>
      <c r="HPM72" s="41"/>
      <c r="HPN72" s="41"/>
      <c r="HRJ72" s="39"/>
      <c r="HRM72" s="41"/>
      <c r="HRN72" s="41"/>
      <c r="HRO72" s="41"/>
      <c r="HRP72" s="41"/>
      <c r="HRQ72" s="41"/>
      <c r="HTM72" s="39"/>
      <c r="HTP72" s="41"/>
      <c r="HTQ72" s="41"/>
      <c r="HTR72" s="41"/>
      <c r="HTS72" s="41"/>
      <c r="HTT72" s="41"/>
      <c r="HVP72" s="39"/>
      <c r="HVS72" s="41"/>
      <c r="HVT72" s="41"/>
      <c r="HVU72" s="41"/>
      <c r="HVV72" s="41"/>
      <c r="HVW72" s="41"/>
      <c r="HXS72" s="39"/>
      <c r="HXV72" s="41"/>
      <c r="HXW72" s="41"/>
      <c r="HXX72" s="41"/>
      <c r="HXY72" s="41"/>
      <c r="HXZ72" s="41"/>
      <c r="HZV72" s="39"/>
      <c r="HZY72" s="41"/>
      <c r="HZZ72" s="41"/>
      <c r="IAA72" s="41"/>
      <c r="IAB72" s="41"/>
      <c r="IAC72" s="41"/>
      <c r="IBY72" s="39"/>
      <c r="ICB72" s="41"/>
      <c r="ICC72" s="41"/>
      <c r="ICD72" s="41"/>
      <c r="ICE72" s="41"/>
      <c r="ICF72" s="41"/>
      <c r="IEB72" s="39"/>
      <c r="IEE72" s="41"/>
      <c r="IEF72" s="41"/>
      <c r="IEG72" s="41"/>
      <c r="IEH72" s="41"/>
      <c r="IEI72" s="41"/>
      <c r="IGE72" s="39"/>
      <c r="IGH72" s="41"/>
      <c r="IGI72" s="41"/>
      <c r="IGJ72" s="41"/>
      <c r="IGK72" s="41"/>
      <c r="IGL72" s="41"/>
      <c r="IIH72" s="39"/>
      <c r="IIK72" s="41"/>
      <c r="IIL72" s="41"/>
      <c r="IIM72" s="41"/>
      <c r="IIN72" s="41"/>
      <c r="IIO72" s="41"/>
      <c r="IKK72" s="39"/>
      <c r="IKN72" s="41"/>
      <c r="IKO72" s="41"/>
      <c r="IKP72" s="41"/>
      <c r="IKQ72" s="41"/>
      <c r="IKR72" s="41"/>
      <c r="IMN72" s="39"/>
      <c r="IMQ72" s="41"/>
      <c r="IMR72" s="41"/>
      <c r="IMS72" s="41"/>
      <c r="IMT72" s="41"/>
      <c r="IMU72" s="41"/>
      <c r="IOQ72" s="39"/>
      <c r="IOT72" s="41"/>
      <c r="IOU72" s="41"/>
      <c r="IOV72" s="41"/>
      <c r="IOW72" s="41"/>
      <c r="IOX72" s="41"/>
      <c r="IQT72" s="39"/>
      <c r="IQW72" s="41"/>
      <c r="IQX72" s="41"/>
      <c r="IQY72" s="41"/>
      <c r="IQZ72" s="41"/>
      <c r="IRA72" s="41"/>
      <c r="ISW72" s="39"/>
      <c r="ISZ72" s="41"/>
      <c r="ITA72" s="41"/>
      <c r="ITB72" s="41"/>
      <c r="ITC72" s="41"/>
      <c r="ITD72" s="41"/>
      <c r="IUZ72" s="39"/>
      <c r="IVC72" s="41"/>
      <c r="IVD72" s="41"/>
      <c r="IVE72" s="41"/>
      <c r="IVF72" s="41"/>
      <c r="IVG72" s="41"/>
      <c r="IXC72" s="39"/>
      <c r="IXF72" s="41"/>
      <c r="IXG72" s="41"/>
      <c r="IXH72" s="41"/>
      <c r="IXI72" s="41"/>
      <c r="IXJ72" s="41"/>
      <c r="IZF72" s="39"/>
      <c r="IZI72" s="41"/>
      <c r="IZJ72" s="41"/>
      <c r="IZK72" s="41"/>
      <c r="IZL72" s="41"/>
      <c r="IZM72" s="41"/>
      <c r="JBI72" s="39"/>
      <c r="JBL72" s="41"/>
      <c r="JBM72" s="41"/>
      <c r="JBN72" s="41"/>
      <c r="JBO72" s="41"/>
      <c r="JBP72" s="41"/>
      <c r="JDL72" s="39"/>
      <c r="JDO72" s="41"/>
      <c r="JDP72" s="41"/>
      <c r="JDQ72" s="41"/>
      <c r="JDR72" s="41"/>
      <c r="JDS72" s="41"/>
      <c r="JFO72" s="39"/>
      <c r="JFR72" s="41"/>
      <c r="JFS72" s="41"/>
      <c r="JFT72" s="41"/>
      <c r="JFU72" s="41"/>
      <c r="JFV72" s="41"/>
      <c r="JHR72" s="39"/>
      <c r="JHU72" s="41"/>
      <c r="JHV72" s="41"/>
      <c r="JHW72" s="41"/>
      <c r="JHX72" s="41"/>
      <c r="JHY72" s="41"/>
      <c r="JJU72" s="39"/>
      <c r="JJX72" s="41"/>
      <c r="JJY72" s="41"/>
      <c r="JJZ72" s="41"/>
      <c r="JKA72" s="41"/>
      <c r="JKB72" s="41"/>
      <c r="JLX72" s="39"/>
      <c r="JMA72" s="41"/>
      <c r="JMB72" s="41"/>
      <c r="JMC72" s="41"/>
      <c r="JMD72" s="41"/>
      <c r="JME72" s="41"/>
      <c r="JOA72" s="39"/>
      <c r="JOD72" s="41"/>
      <c r="JOE72" s="41"/>
      <c r="JOF72" s="41"/>
      <c r="JOG72" s="41"/>
      <c r="JOH72" s="41"/>
      <c r="JQD72" s="39"/>
      <c r="JQG72" s="41"/>
      <c r="JQH72" s="41"/>
      <c r="JQI72" s="41"/>
      <c r="JQJ72" s="41"/>
      <c r="JQK72" s="41"/>
      <c r="JSG72" s="39"/>
      <c r="JSJ72" s="41"/>
      <c r="JSK72" s="41"/>
      <c r="JSL72" s="41"/>
      <c r="JSM72" s="41"/>
      <c r="JSN72" s="41"/>
      <c r="JUJ72" s="39"/>
      <c r="JUM72" s="41"/>
      <c r="JUN72" s="41"/>
      <c r="JUO72" s="41"/>
      <c r="JUP72" s="41"/>
      <c r="JUQ72" s="41"/>
      <c r="JWM72" s="39"/>
      <c r="JWP72" s="41"/>
      <c r="JWQ72" s="41"/>
      <c r="JWR72" s="41"/>
      <c r="JWS72" s="41"/>
      <c r="JWT72" s="41"/>
      <c r="JYP72" s="39"/>
      <c r="JYS72" s="41"/>
      <c r="JYT72" s="41"/>
      <c r="JYU72" s="41"/>
      <c r="JYV72" s="41"/>
      <c r="JYW72" s="41"/>
      <c r="KAS72" s="39"/>
      <c r="KAV72" s="41"/>
      <c r="KAW72" s="41"/>
      <c r="KAX72" s="41"/>
      <c r="KAY72" s="41"/>
      <c r="KAZ72" s="41"/>
      <c r="KCV72" s="39"/>
      <c r="KCY72" s="41"/>
      <c r="KCZ72" s="41"/>
      <c r="KDA72" s="41"/>
      <c r="KDB72" s="41"/>
      <c r="KDC72" s="41"/>
      <c r="KEY72" s="39"/>
      <c r="KFB72" s="41"/>
      <c r="KFC72" s="41"/>
      <c r="KFD72" s="41"/>
      <c r="KFE72" s="41"/>
      <c r="KFF72" s="41"/>
      <c r="KHB72" s="39"/>
      <c r="KHE72" s="41"/>
      <c r="KHF72" s="41"/>
      <c r="KHG72" s="41"/>
      <c r="KHH72" s="41"/>
      <c r="KHI72" s="41"/>
      <c r="KJE72" s="39"/>
      <c r="KJH72" s="41"/>
      <c r="KJI72" s="41"/>
      <c r="KJJ72" s="41"/>
      <c r="KJK72" s="41"/>
      <c r="KJL72" s="41"/>
      <c r="KLH72" s="39"/>
      <c r="KLK72" s="41"/>
      <c r="KLL72" s="41"/>
      <c r="KLM72" s="41"/>
      <c r="KLN72" s="41"/>
      <c r="KLO72" s="41"/>
      <c r="KNK72" s="39"/>
      <c r="KNN72" s="41"/>
      <c r="KNO72" s="41"/>
      <c r="KNP72" s="41"/>
      <c r="KNQ72" s="41"/>
      <c r="KNR72" s="41"/>
      <c r="KPN72" s="39"/>
      <c r="KPQ72" s="41"/>
      <c r="KPR72" s="41"/>
      <c r="KPS72" s="41"/>
      <c r="KPT72" s="41"/>
      <c r="KPU72" s="41"/>
      <c r="KRQ72" s="39"/>
      <c r="KRT72" s="41"/>
      <c r="KRU72" s="41"/>
      <c r="KRV72" s="41"/>
      <c r="KRW72" s="41"/>
      <c r="KRX72" s="41"/>
      <c r="KTT72" s="39"/>
      <c r="KTW72" s="41"/>
      <c r="KTX72" s="41"/>
      <c r="KTY72" s="41"/>
      <c r="KTZ72" s="41"/>
      <c r="KUA72" s="41"/>
      <c r="KVW72" s="39"/>
      <c r="KVZ72" s="41"/>
      <c r="KWA72" s="41"/>
      <c r="KWB72" s="41"/>
      <c r="KWC72" s="41"/>
      <c r="KWD72" s="41"/>
      <c r="KXZ72" s="39"/>
      <c r="KYC72" s="41"/>
      <c r="KYD72" s="41"/>
      <c r="KYE72" s="41"/>
      <c r="KYF72" s="41"/>
      <c r="KYG72" s="41"/>
      <c r="LAC72" s="39"/>
      <c r="LAF72" s="41"/>
      <c r="LAG72" s="41"/>
      <c r="LAH72" s="41"/>
      <c r="LAI72" s="41"/>
      <c r="LAJ72" s="41"/>
      <c r="LCF72" s="39"/>
      <c r="LCI72" s="41"/>
      <c r="LCJ72" s="41"/>
      <c r="LCK72" s="41"/>
      <c r="LCL72" s="41"/>
      <c r="LCM72" s="41"/>
      <c r="LEI72" s="39"/>
      <c r="LEL72" s="41"/>
      <c r="LEM72" s="41"/>
      <c r="LEN72" s="41"/>
      <c r="LEO72" s="41"/>
      <c r="LEP72" s="41"/>
      <c r="LGL72" s="39"/>
      <c r="LGO72" s="41"/>
      <c r="LGP72" s="41"/>
      <c r="LGQ72" s="41"/>
      <c r="LGR72" s="41"/>
      <c r="LGS72" s="41"/>
      <c r="LIO72" s="39"/>
      <c r="LIR72" s="41"/>
      <c r="LIS72" s="41"/>
      <c r="LIT72" s="41"/>
      <c r="LIU72" s="41"/>
      <c r="LIV72" s="41"/>
      <c r="LKR72" s="39"/>
      <c r="LKU72" s="41"/>
      <c r="LKV72" s="41"/>
      <c r="LKW72" s="41"/>
      <c r="LKX72" s="41"/>
      <c r="LKY72" s="41"/>
      <c r="LMU72" s="39"/>
      <c r="LMX72" s="41"/>
      <c r="LMY72" s="41"/>
      <c r="LMZ72" s="41"/>
      <c r="LNA72" s="41"/>
      <c r="LNB72" s="41"/>
      <c r="LOX72" s="39"/>
      <c r="LPA72" s="41"/>
      <c r="LPB72" s="41"/>
      <c r="LPC72" s="41"/>
      <c r="LPD72" s="41"/>
      <c r="LPE72" s="41"/>
      <c r="LRA72" s="39"/>
      <c r="LRD72" s="41"/>
      <c r="LRE72" s="41"/>
      <c r="LRF72" s="41"/>
      <c r="LRG72" s="41"/>
      <c r="LRH72" s="41"/>
      <c r="LTD72" s="39"/>
      <c r="LTG72" s="41"/>
      <c r="LTH72" s="41"/>
      <c r="LTI72" s="41"/>
      <c r="LTJ72" s="41"/>
      <c r="LTK72" s="41"/>
      <c r="LVG72" s="39"/>
      <c r="LVJ72" s="41"/>
      <c r="LVK72" s="41"/>
      <c r="LVL72" s="41"/>
      <c r="LVM72" s="41"/>
      <c r="LVN72" s="41"/>
      <c r="LXJ72" s="39"/>
      <c r="LXM72" s="41"/>
      <c r="LXN72" s="41"/>
      <c r="LXO72" s="41"/>
      <c r="LXP72" s="41"/>
      <c r="LXQ72" s="41"/>
      <c r="LZM72" s="39"/>
      <c r="LZP72" s="41"/>
      <c r="LZQ72" s="41"/>
      <c r="LZR72" s="41"/>
      <c r="LZS72" s="41"/>
      <c r="LZT72" s="41"/>
      <c r="MBP72" s="39"/>
      <c r="MBS72" s="41"/>
      <c r="MBT72" s="41"/>
      <c r="MBU72" s="41"/>
      <c r="MBV72" s="41"/>
      <c r="MBW72" s="41"/>
      <c r="MDS72" s="39"/>
      <c r="MDV72" s="41"/>
      <c r="MDW72" s="41"/>
      <c r="MDX72" s="41"/>
      <c r="MDY72" s="41"/>
      <c r="MDZ72" s="41"/>
      <c r="MFV72" s="39"/>
      <c r="MFY72" s="41"/>
      <c r="MFZ72" s="41"/>
      <c r="MGA72" s="41"/>
      <c r="MGB72" s="41"/>
      <c r="MGC72" s="41"/>
      <c r="MHY72" s="39"/>
      <c r="MIB72" s="41"/>
      <c r="MIC72" s="41"/>
      <c r="MID72" s="41"/>
      <c r="MIE72" s="41"/>
      <c r="MIF72" s="41"/>
      <c r="MKB72" s="39"/>
      <c r="MKE72" s="41"/>
      <c r="MKF72" s="41"/>
      <c r="MKG72" s="41"/>
      <c r="MKH72" s="41"/>
      <c r="MKI72" s="41"/>
      <c r="MME72" s="39"/>
      <c r="MMH72" s="41"/>
      <c r="MMI72" s="41"/>
      <c r="MMJ72" s="41"/>
      <c r="MMK72" s="41"/>
      <c r="MML72" s="41"/>
      <c r="MOH72" s="39"/>
      <c r="MOK72" s="41"/>
      <c r="MOL72" s="41"/>
      <c r="MOM72" s="41"/>
      <c r="MON72" s="41"/>
      <c r="MOO72" s="41"/>
      <c r="MQK72" s="39"/>
      <c r="MQN72" s="41"/>
      <c r="MQO72" s="41"/>
      <c r="MQP72" s="41"/>
      <c r="MQQ72" s="41"/>
      <c r="MQR72" s="41"/>
      <c r="MSN72" s="39"/>
      <c r="MSQ72" s="41"/>
      <c r="MSR72" s="41"/>
      <c r="MSS72" s="41"/>
      <c r="MST72" s="41"/>
      <c r="MSU72" s="41"/>
      <c r="MUQ72" s="39"/>
      <c r="MUT72" s="41"/>
      <c r="MUU72" s="41"/>
      <c r="MUV72" s="41"/>
      <c r="MUW72" s="41"/>
      <c r="MUX72" s="41"/>
      <c r="MWT72" s="39"/>
      <c r="MWW72" s="41"/>
      <c r="MWX72" s="41"/>
      <c r="MWY72" s="41"/>
      <c r="MWZ72" s="41"/>
      <c r="MXA72" s="41"/>
      <c r="MYW72" s="39"/>
      <c r="MYZ72" s="41"/>
      <c r="MZA72" s="41"/>
      <c r="MZB72" s="41"/>
      <c r="MZC72" s="41"/>
      <c r="MZD72" s="41"/>
      <c r="NAZ72" s="39"/>
      <c r="NBC72" s="41"/>
      <c r="NBD72" s="41"/>
      <c r="NBE72" s="41"/>
      <c r="NBF72" s="41"/>
      <c r="NBG72" s="41"/>
      <c r="NDC72" s="39"/>
      <c r="NDF72" s="41"/>
      <c r="NDG72" s="41"/>
      <c r="NDH72" s="41"/>
      <c r="NDI72" s="41"/>
      <c r="NDJ72" s="41"/>
      <c r="NFF72" s="39"/>
      <c r="NFI72" s="41"/>
      <c r="NFJ72" s="41"/>
      <c r="NFK72" s="41"/>
      <c r="NFL72" s="41"/>
      <c r="NFM72" s="41"/>
      <c r="NHI72" s="39"/>
      <c r="NHL72" s="41"/>
      <c r="NHM72" s="41"/>
      <c r="NHN72" s="41"/>
      <c r="NHO72" s="41"/>
      <c r="NHP72" s="41"/>
      <c r="NJL72" s="39"/>
      <c r="NJO72" s="41"/>
      <c r="NJP72" s="41"/>
      <c r="NJQ72" s="41"/>
      <c r="NJR72" s="41"/>
      <c r="NJS72" s="41"/>
      <c r="NLO72" s="39"/>
      <c r="NLR72" s="41"/>
      <c r="NLS72" s="41"/>
      <c r="NLT72" s="41"/>
      <c r="NLU72" s="41"/>
      <c r="NLV72" s="41"/>
      <c r="NNR72" s="39"/>
      <c r="NNU72" s="41"/>
      <c r="NNV72" s="41"/>
      <c r="NNW72" s="41"/>
      <c r="NNX72" s="41"/>
      <c r="NNY72" s="41"/>
      <c r="NPU72" s="39"/>
      <c r="NPX72" s="41"/>
      <c r="NPY72" s="41"/>
      <c r="NPZ72" s="41"/>
      <c r="NQA72" s="41"/>
      <c r="NQB72" s="41"/>
      <c r="NRX72" s="39"/>
      <c r="NSA72" s="41"/>
      <c r="NSB72" s="41"/>
      <c r="NSC72" s="41"/>
      <c r="NSD72" s="41"/>
      <c r="NSE72" s="41"/>
      <c r="NUA72" s="39"/>
      <c r="NUD72" s="41"/>
      <c r="NUE72" s="41"/>
      <c r="NUF72" s="41"/>
      <c r="NUG72" s="41"/>
      <c r="NUH72" s="41"/>
      <c r="NWD72" s="39"/>
      <c r="NWG72" s="41"/>
      <c r="NWH72" s="41"/>
      <c r="NWI72" s="41"/>
      <c r="NWJ72" s="41"/>
      <c r="NWK72" s="41"/>
      <c r="NYG72" s="39"/>
      <c r="NYJ72" s="41"/>
      <c r="NYK72" s="41"/>
      <c r="NYL72" s="41"/>
      <c r="NYM72" s="41"/>
      <c r="NYN72" s="41"/>
      <c r="OAJ72" s="39"/>
      <c r="OAM72" s="41"/>
      <c r="OAN72" s="41"/>
      <c r="OAO72" s="41"/>
      <c r="OAP72" s="41"/>
      <c r="OAQ72" s="41"/>
      <c r="OCM72" s="39"/>
      <c r="OCP72" s="41"/>
      <c r="OCQ72" s="41"/>
      <c r="OCR72" s="41"/>
      <c r="OCS72" s="41"/>
      <c r="OCT72" s="41"/>
      <c r="OEP72" s="39"/>
      <c r="OES72" s="41"/>
      <c r="OET72" s="41"/>
      <c r="OEU72" s="41"/>
      <c r="OEV72" s="41"/>
      <c r="OEW72" s="41"/>
      <c r="OGS72" s="39"/>
      <c r="OGV72" s="41"/>
      <c r="OGW72" s="41"/>
      <c r="OGX72" s="41"/>
      <c r="OGY72" s="41"/>
      <c r="OGZ72" s="41"/>
      <c r="OIV72" s="39"/>
      <c r="OIY72" s="41"/>
      <c r="OIZ72" s="41"/>
      <c r="OJA72" s="41"/>
      <c r="OJB72" s="41"/>
      <c r="OJC72" s="41"/>
      <c r="OKY72" s="39"/>
      <c r="OLB72" s="41"/>
      <c r="OLC72" s="41"/>
      <c r="OLD72" s="41"/>
      <c r="OLE72" s="41"/>
      <c r="OLF72" s="41"/>
      <c r="ONB72" s="39"/>
      <c r="ONE72" s="41"/>
      <c r="ONF72" s="41"/>
      <c r="ONG72" s="41"/>
      <c r="ONH72" s="41"/>
      <c r="ONI72" s="41"/>
      <c r="OPE72" s="39"/>
      <c r="OPH72" s="41"/>
      <c r="OPI72" s="41"/>
      <c r="OPJ72" s="41"/>
      <c r="OPK72" s="41"/>
      <c r="OPL72" s="41"/>
      <c r="ORH72" s="39"/>
      <c r="ORK72" s="41"/>
      <c r="ORL72" s="41"/>
      <c r="ORM72" s="41"/>
      <c r="ORN72" s="41"/>
      <c r="ORO72" s="41"/>
      <c r="OTK72" s="39"/>
      <c r="OTN72" s="41"/>
      <c r="OTO72" s="41"/>
      <c r="OTP72" s="41"/>
      <c r="OTQ72" s="41"/>
      <c r="OTR72" s="41"/>
      <c r="OVN72" s="39"/>
      <c r="OVQ72" s="41"/>
      <c r="OVR72" s="41"/>
      <c r="OVS72" s="41"/>
      <c r="OVT72" s="41"/>
      <c r="OVU72" s="41"/>
      <c r="OXQ72" s="39"/>
      <c r="OXT72" s="41"/>
      <c r="OXU72" s="41"/>
      <c r="OXV72" s="41"/>
      <c r="OXW72" s="41"/>
      <c r="OXX72" s="41"/>
      <c r="OZT72" s="39"/>
      <c r="OZW72" s="41"/>
      <c r="OZX72" s="41"/>
      <c r="OZY72" s="41"/>
      <c r="OZZ72" s="41"/>
      <c r="PAA72" s="41"/>
      <c r="PBW72" s="39"/>
      <c r="PBZ72" s="41"/>
      <c r="PCA72" s="41"/>
      <c r="PCB72" s="41"/>
      <c r="PCC72" s="41"/>
      <c r="PCD72" s="41"/>
      <c r="PDZ72" s="39"/>
      <c r="PEC72" s="41"/>
      <c r="PED72" s="41"/>
      <c r="PEE72" s="41"/>
      <c r="PEF72" s="41"/>
      <c r="PEG72" s="41"/>
      <c r="PGC72" s="39"/>
      <c r="PGF72" s="41"/>
      <c r="PGG72" s="41"/>
      <c r="PGH72" s="41"/>
      <c r="PGI72" s="41"/>
      <c r="PGJ72" s="41"/>
      <c r="PIF72" s="39"/>
      <c r="PII72" s="41"/>
      <c r="PIJ72" s="41"/>
      <c r="PIK72" s="41"/>
      <c r="PIL72" s="41"/>
      <c r="PIM72" s="41"/>
      <c r="PKI72" s="39"/>
      <c r="PKL72" s="41"/>
      <c r="PKM72" s="41"/>
      <c r="PKN72" s="41"/>
      <c r="PKO72" s="41"/>
      <c r="PKP72" s="41"/>
      <c r="PML72" s="39"/>
      <c r="PMO72" s="41"/>
      <c r="PMP72" s="41"/>
      <c r="PMQ72" s="41"/>
      <c r="PMR72" s="41"/>
      <c r="PMS72" s="41"/>
      <c r="POO72" s="39"/>
      <c r="POR72" s="41"/>
      <c r="POS72" s="41"/>
      <c r="POT72" s="41"/>
      <c r="POU72" s="41"/>
      <c r="POV72" s="41"/>
      <c r="PQR72" s="39"/>
      <c r="PQU72" s="41"/>
      <c r="PQV72" s="41"/>
      <c r="PQW72" s="41"/>
      <c r="PQX72" s="41"/>
      <c r="PQY72" s="41"/>
      <c r="PSU72" s="39"/>
      <c r="PSX72" s="41"/>
      <c r="PSY72" s="41"/>
      <c r="PSZ72" s="41"/>
      <c r="PTA72" s="41"/>
      <c r="PTB72" s="41"/>
      <c r="PUX72" s="39"/>
      <c r="PVA72" s="41"/>
      <c r="PVB72" s="41"/>
      <c r="PVC72" s="41"/>
      <c r="PVD72" s="41"/>
      <c r="PVE72" s="41"/>
      <c r="PXA72" s="39"/>
      <c r="PXD72" s="41"/>
      <c r="PXE72" s="41"/>
      <c r="PXF72" s="41"/>
      <c r="PXG72" s="41"/>
      <c r="PXH72" s="41"/>
      <c r="PZD72" s="39"/>
      <c r="PZG72" s="41"/>
      <c r="PZH72" s="41"/>
      <c r="PZI72" s="41"/>
      <c r="PZJ72" s="41"/>
      <c r="PZK72" s="41"/>
      <c r="QBG72" s="39"/>
      <c r="QBJ72" s="41"/>
      <c r="QBK72" s="41"/>
      <c r="QBL72" s="41"/>
      <c r="QBM72" s="41"/>
      <c r="QBN72" s="41"/>
      <c r="QDJ72" s="39"/>
      <c r="QDM72" s="41"/>
      <c r="QDN72" s="41"/>
      <c r="QDO72" s="41"/>
      <c r="QDP72" s="41"/>
      <c r="QDQ72" s="41"/>
      <c r="QFM72" s="39"/>
      <c r="QFP72" s="41"/>
      <c r="QFQ72" s="41"/>
      <c r="QFR72" s="41"/>
      <c r="QFS72" s="41"/>
      <c r="QFT72" s="41"/>
      <c r="QHP72" s="39"/>
      <c r="QHS72" s="41"/>
      <c r="QHT72" s="41"/>
      <c r="QHU72" s="41"/>
      <c r="QHV72" s="41"/>
      <c r="QHW72" s="41"/>
      <c r="QJS72" s="39"/>
      <c r="QJV72" s="41"/>
      <c r="QJW72" s="41"/>
      <c r="QJX72" s="41"/>
      <c r="QJY72" s="41"/>
      <c r="QJZ72" s="41"/>
      <c r="QLV72" s="39"/>
      <c r="QLY72" s="41"/>
      <c r="QLZ72" s="41"/>
      <c r="QMA72" s="41"/>
      <c r="QMB72" s="41"/>
      <c r="QMC72" s="41"/>
      <c r="QNY72" s="39"/>
      <c r="QOB72" s="41"/>
      <c r="QOC72" s="41"/>
      <c r="QOD72" s="41"/>
      <c r="QOE72" s="41"/>
      <c r="QOF72" s="41"/>
      <c r="QQB72" s="39"/>
      <c r="QQE72" s="41"/>
      <c r="QQF72" s="41"/>
      <c r="QQG72" s="41"/>
      <c r="QQH72" s="41"/>
      <c r="QQI72" s="41"/>
      <c r="QSE72" s="39"/>
      <c r="QSH72" s="41"/>
      <c r="QSI72" s="41"/>
      <c r="QSJ72" s="41"/>
      <c r="QSK72" s="41"/>
      <c r="QSL72" s="41"/>
      <c r="QUH72" s="39"/>
      <c r="QUK72" s="41"/>
      <c r="QUL72" s="41"/>
      <c r="QUM72" s="41"/>
      <c r="QUN72" s="41"/>
      <c r="QUO72" s="41"/>
      <c r="QWK72" s="39"/>
      <c r="QWN72" s="41"/>
      <c r="QWO72" s="41"/>
      <c r="QWP72" s="41"/>
      <c r="QWQ72" s="41"/>
      <c r="QWR72" s="41"/>
      <c r="QYN72" s="39"/>
      <c r="QYQ72" s="41"/>
      <c r="QYR72" s="41"/>
      <c r="QYS72" s="41"/>
      <c r="QYT72" s="41"/>
      <c r="QYU72" s="41"/>
      <c r="RAQ72" s="39"/>
      <c r="RAT72" s="41"/>
      <c r="RAU72" s="41"/>
      <c r="RAV72" s="41"/>
      <c r="RAW72" s="41"/>
      <c r="RAX72" s="41"/>
      <c r="RCT72" s="39"/>
      <c r="RCW72" s="41"/>
      <c r="RCX72" s="41"/>
      <c r="RCY72" s="41"/>
      <c r="RCZ72" s="41"/>
      <c r="RDA72" s="41"/>
      <c r="REW72" s="39"/>
      <c r="REZ72" s="41"/>
      <c r="RFA72" s="41"/>
      <c r="RFB72" s="41"/>
      <c r="RFC72" s="41"/>
      <c r="RFD72" s="41"/>
      <c r="RGZ72" s="39"/>
      <c r="RHC72" s="41"/>
      <c r="RHD72" s="41"/>
      <c r="RHE72" s="41"/>
      <c r="RHF72" s="41"/>
      <c r="RHG72" s="41"/>
      <c r="RJC72" s="39"/>
      <c r="RJF72" s="41"/>
      <c r="RJG72" s="41"/>
      <c r="RJH72" s="41"/>
      <c r="RJI72" s="41"/>
      <c r="RJJ72" s="41"/>
      <c r="RLF72" s="39"/>
      <c r="RLI72" s="41"/>
      <c r="RLJ72" s="41"/>
      <c r="RLK72" s="41"/>
      <c r="RLL72" s="41"/>
      <c r="RLM72" s="41"/>
      <c r="RNI72" s="39"/>
      <c r="RNL72" s="41"/>
      <c r="RNM72" s="41"/>
      <c r="RNN72" s="41"/>
      <c r="RNO72" s="41"/>
      <c r="RNP72" s="41"/>
      <c r="RPL72" s="39"/>
      <c r="RPO72" s="41"/>
      <c r="RPP72" s="41"/>
      <c r="RPQ72" s="41"/>
      <c r="RPR72" s="41"/>
      <c r="RPS72" s="41"/>
      <c r="RRO72" s="39"/>
      <c r="RRR72" s="41"/>
      <c r="RRS72" s="41"/>
      <c r="RRT72" s="41"/>
      <c r="RRU72" s="41"/>
      <c r="RRV72" s="41"/>
      <c r="RTR72" s="39"/>
      <c r="RTU72" s="41"/>
      <c r="RTV72" s="41"/>
      <c r="RTW72" s="41"/>
      <c r="RTX72" s="41"/>
      <c r="RTY72" s="41"/>
      <c r="RVU72" s="39"/>
      <c r="RVX72" s="41"/>
      <c r="RVY72" s="41"/>
      <c r="RVZ72" s="41"/>
      <c r="RWA72" s="41"/>
      <c r="RWB72" s="41"/>
      <c r="RXX72" s="39"/>
      <c r="RYA72" s="41"/>
      <c r="RYB72" s="41"/>
      <c r="RYC72" s="41"/>
      <c r="RYD72" s="41"/>
      <c r="RYE72" s="41"/>
      <c r="SAA72" s="39"/>
      <c r="SAD72" s="41"/>
      <c r="SAE72" s="41"/>
      <c r="SAF72" s="41"/>
      <c r="SAG72" s="41"/>
      <c r="SAH72" s="41"/>
      <c r="SCD72" s="39"/>
      <c r="SCG72" s="41"/>
      <c r="SCH72" s="41"/>
      <c r="SCI72" s="41"/>
      <c r="SCJ72" s="41"/>
      <c r="SCK72" s="41"/>
      <c r="SEG72" s="39"/>
      <c r="SEJ72" s="41"/>
      <c r="SEK72" s="41"/>
      <c r="SEL72" s="41"/>
      <c r="SEM72" s="41"/>
      <c r="SEN72" s="41"/>
      <c r="SGJ72" s="39"/>
      <c r="SGM72" s="41"/>
      <c r="SGN72" s="41"/>
      <c r="SGO72" s="41"/>
      <c r="SGP72" s="41"/>
      <c r="SGQ72" s="41"/>
      <c r="SIM72" s="39"/>
      <c r="SIP72" s="41"/>
      <c r="SIQ72" s="41"/>
      <c r="SIR72" s="41"/>
      <c r="SIS72" s="41"/>
      <c r="SIT72" s="41"/>
      <c r="SKP72" s="39"/>
      <c r="SKS72" s="41"/>
      <c r="SKT72" s="41"/>
      <c r="SKU72" s="41"/>
      <c r="SKV72" s="41"/>
      <c r="SKW72" s="41"/>
      <c r="SMS72" s="39"/>
      <c r="SMV72" s="41"/>
      <c r="SMW72" s="41"/>
      <c r="SMX72" s="41"/>
      <c r="SMY72" s="41"/>
      <c r="SMZ72" s="41"/>
      <c r="SOV72" s="39"/>
      <c r="SOY72" s="41"/>
      <c r="SOZ72" s="41"/>
      <c r="SPA72" s="41"/>
      <c r="SPB72" s="41"/>
      <c r="SPC72" s="41"/>
      <c r="SQY72" s="39"/>
      <c r="SRB72" s="41"/>
      <c r="SRC72" s="41"/>
      <c r="SRD72" s="41"/>
      <c r="SRE72" s="41"/>
      <c r="SRF72" s="41"/>
      <c r="STB72" s="39"/>
      <c r="STE72" s="41"/>
      <c r="STF72" s="41"/>
      <c r="STG72" s="41"/>
      <c r="STH72" s="41"/>
      <c r="STI72" s="41"/>
      <c r="SVE72" s="39"/>
      <c r="SVH72" s="41"/>
      <c r="SVI72" s="41"/>
      <c r="SVJ72" s="41"/>
      <c r="SVK72" s="41"/>
      <c r="SVL72" s="41"/>
      <c r="SXH72" s="39"/>
      <c r="SXK72" s="41"/>
      <c r="SXL72" s="41"/>
      <c r="SXM72" s="41"/>
      <c r="SXN72" s="41"/>
      <c r="SXO72" s="41"/>
      <c r="SZK72" s="39"/>
      <c r="SZN72" s="41"/>
      <c r="SZO72" s="41"/>
      <c r="SZP72" s="41"/>
      <c r="SZQ72" s="41"/>
      <c r="SZR72" s="41"/>
      <c r="TBN72" s="39"/>
      <c r="TBQ72" s="41"/>
      <c r="TBR72" s="41"/>
      <c r="TBS72" s="41"/>
      <c r="TBT72" s="41"/>
      <c r="TBU72" s="41"/>
      <c r="TDQ72" s="39"/>
      <c r="TDT72" s="41"/>
      <c r="TDU72" s="41"/>
      <c r="TDV72" s="41"/>
      <c r="TDW72" s="41"/>
      <c r="TDX72" s="41"/>
      <c r="TFT72" s="39"/>
      <c r="TFW72" s="41"/>
      <c r="TFX72" s="41"/>
      <c r="TFY72" s="41"/>
      <c r="TFZ72" s="41"/>
      <c r="TGA72" s="41"/>
      <c r="THW72" s="39"/>
      <c r="THZ72" s="41"/>
      <c r="TIA72" s="41"/>
      <c r="TIB72" s="41"/>
      <c r="TIC72" s="41"/>
      <c r="TID72" s="41"/>
      <c r="TJZ72" s="39"/>
      <c r="TKC72" s="41"/>
      <c r="TKD72" s="41"/>
      <c r="TKE72" s="41"/>
      <c r="TKF72" s="41"/>
      <c r="TKG72" s="41"/>
      <c r="TMC72" s="39"/>
      <c r="TMF72" s="41"/>
      <c r="TMG72" s="41"/>
      <c r="TMH72" s="41"/>
      <c r="TMI72" s="41"/>
      <c r="TMJ72" s="41"/>
      <c r="TOF72" s="39"/>
      <c r="TOI72" s="41"/>
      <c r="TOJ72" s="41"/>
      <c r="TOK72" s="41"/>
      <c r="TOL72" s="41"/>
      <c r="TOM72" s="41"/>
      <c r="TQI72" s="39"/>
      <c r="TQL72" s="41"/>
      <c r="TQM72" s="41"/>
      <c r="TQN72" s="41"/>
      <c r="TQO72" s="41"/>
      <c r="TQP72" s="41"/>
      <c r="TSL72" s="39"/>
      <c r="TSO72" s="41"/>
      <c r="TSP72" s="41"/>
      <c r="TSQ72" s="41"/>
      <c r="TSR72" s="41"/>
      <c r="TSS72" s="41"/>
      <c r="TUO72" s="39"/>
      <c r="TUR72" s="41"/>
      <c r="TUS72" s="41"/>
      <c r="TUT72" s="41"/>
      <c r="TUU72" s="41"/>
      <c r="TUV72" s="41"/>
      <c r="TWR72" s="39"/>
      <c r="TWU72" s="41"/>
      <c r="TWV72" s="41"/>
      <c r="TWW72" s="41"/>
      <c r="TWX72" s="41"/>
      <c r="TWY72" s="41"/>
      <c r="TYU72" s="39"/>
      <c r="TYX72" s="41"/>
      <c r="TYY72" s="41"/>
      <c r="TYZ72" s="41"/>
      <c r="TZA72" s="41"/>
      <c r="TZB72" s="41"/>
      <c r="UAX72" s="39"/>
      <c r="UBA72" s="41"/>
      <c r="UBB72" s="41"/>
      <c r="UBC72" s="41"/>
      <c r="UBD72" s="41"/>
      <c r="UBE72" s="41"/>
      <c r="UDA72" s="39"/>
      <c r="UDD72" s="41"/>
      <c r="UDE72" s="41"/>
      <c r="UDF72" s="41"/>
      <c r="UDG72" s="41"/>
      <c r="UDH72" s="41"/>
      <c r="UFD72" s="39"/>
      <c r="UFG72" s="41"/>
      <c r="UFH72" s="41"/>
      <c r="UFI72" s="41"/>
      <c r="UFJ72" s="41"/>
      <c r="UFK72" s="41"/>
      <c r="UHG72" s="39"/>
      <c r="UHJ72" s="41"/>
      <c r="UHK72" s="41"/>
      <c r="UHL72" s="41"/>
      <c r="UHM72" s="41"/>
      <c r="UHN72" s="41"/>
      <c r="UJJ72" s="39"/>
      <c r="UJM72" s="41"/>
      <c r="UJN72" s="41"/>
      <c r="UJO72" s="41"/>
      <c r="UJP72" s="41"/>
      <c r="UJQ72" s="41"/>
      <c r="ULM72" s="39"/>
      <c r="ULP72" s="41"/>
      <c r="ULQ72" s="41"/>
      <c r="ULR72" s="41"/>
      <c r="ULS72" s="41"/>
      <c r="ULT72" s="41"/>
      <c r="UNP72" s="39"/>
      <c r="UNS72" s="41"/>
      <c r="UNT72" s="41"/>
      <c r="UNU72" s="41"/>
      <c r="UNV72" s="41"/>
      <c r="UNW72" s="41"/>
      <c r="UPS72" s="39"/>
      <c r="UPV72" s="41"/>
      <c r="UPW72" s="41"/>
      <c r="UPX72" s="41"/>
      <c r="UPY72" s="41"/>
      <c r="UPZ72" s="41"/>
      <c r="URV72" s="39"/>
      <c r="URY72" s="41"/>
      <c r="URZ72" s="41"/>
      <c r="USA72" s="41"/>
      <c r="USB72" s="41"/>
      <c r="USC72" s="41"/>
      <c r="UTY72" s="39"/>
      <c r="UUB72" s="41"/>
      <c r="UUC72" s="41"/>
      <c r="UUD72" s="41"/>
      <c r="UUE72" s="41"/>
      <c r="UUF72" s="41"/>
      <c r="UWB72" s="39"/>
      <c r="UWE72" s="41"/>
      <c r="UWF72" s="41"/>
      <c r="UWG72" s="41"/>
      <c r="UWH72" s="41"/>
      <c r="UWI72" s="41"/>
      <c r="UYE72" s="39"/>
      <c r="UYH72" s="41"/>
      <c r="UYI72" s="41"/>
      <c r="UYJ72" s="41"/>
      <c r="UYK72" s="41"/>
      <c r="UYL72" s="41"/>
      <c r="VAH72" s="39"/>
      <c r="VAK72" s="41"/>
      <c r="VAL72" s="41"/>
      <c r="VAM72" s="41"/>
      <c r="VAN72" s="41"/>
      <c r="VAO72" s="41"/>
      <c r="VCK72" s="39"/>
      <c r="VCN72" s="41"/>
      <c r="VCO72" s="41"/>
      <c r="VCP72" s="41"/>
      <c r="VCQ72" s="41"/>
      <c r="VCR72" s="41"/>
      <c r="VEN72" s="39"/>
      <c r="VEQ72" s="41"/>
      <c r="VER72" s="41"/>
      <c r="VES72" s="41"/>
      <c r="VET72" s="41"/>
      <c r="VEU72" s="41"/>
      <c r="VGQ72" s="39"/>
      <c r="VGT72" s="41"/>
      <c r="VGU72" s="41"/>
      <c r="VGV72" s="41"/>
      <c r="VGW72" s="41"/>
      <c r="VGX72" s="41"/>
      <c r="VIT72" s="39"/>
      <c r="VIW72" s="41"/>
      <c r="VIX72" s="41"/>
      <c r="VIY72" s="41"/>
      <c r="VIZ72" s="41"/>
      <c r="VJA72" s="41"/>
      <c r="VKW72" s="39"/>
      <c r="VKZ72" s="41"/>
      <c r="VLA72" s="41"/>
      <c r="VLB72" s="41"/>
      <c r="VLC72" s="41"/>
      <c r="VLD72" s="41"/>
      <c r="VMZ72" s="39"/>
      <c r="VNC72" s="41"/>
      <c r="VND72" s="41"/>
      <c r="VNE72" s="41"/>
      <c r="VNF72" s="41"/>
      <c r="VNG72" s="41"/>
      <c r="VPC72" s="39"/>
      <c r="VPF72" s="41"/>
      <c r="VPG72" s="41"/>
      <c r="VPH72" s="41"/>
      <c r="VPI72" s="41"/>
      <c r="VPJ72" s="41"/>
      <c r="VRF72" s="39"/>
      <c r="VRI72" s="41"/>
      <c r="VRJ72" s="41"/>
      <c r="VRK72" s="41"/>
      <c r="VRL72" s="41"/>
      <c r="VRM72" s="41"/>
      <c r="VTI72" s="39"/>
      <c r="VTL72" s="41"/>
      <c r="VTM72" s="41"/>
      <c r="VTN72" s="41"/>
      <c r="VTO72" s="41"/>
      <c r="VTP72" s="41"/>
      <c r="VVL72" s="39"/>
      <c r="VVO72" s="41"/>
      <c r="VVP72" s="41"/>
      <c r="VVQ72" s="41"/>
      <c r="VVR72" s="41"/>
      <c r="VVS72" s="41"/>
      <c r="VXO72" s="39"/>
      <c r="VXR72" s="41"/>
      <c r="VXS72" s="41"/>
      <c r="VXT72" s="41"/>
      <c r="VXU72" s="41"/>
      <c r="VXV72" s="41"/>
      <c r="VZR72" s="39"/>
      <c r="VZU72" s="41"/>
      <c r="VZV72" s="41"/>
      <c r="VZW72" s="41"/>
      <c r="VZX72" s="41"/>
      <c r="VZY72" s="41"/>
      <c r="WBU72" s="39"/>
      <c r="WBX72" s="41"/>
      <c r="WBY72" s="41"/>
      <c r="WBZ72" s="41"/>
      <c r="WCA72" s="41"/>
      <c r="WCB72" s="41"/>
      <c r="WDX72" s="39"/>
      <c r="WEA72" s="41"/>
      <c r="WEB72" s="41"/>
      <c r="WEC72" s="41"/>
      <c r="WED72" s="41"/>
      <c r="WEE72" s="41"/>
      <c r="WGA72" s="39"/>
      <c r="WGD72" s="41"/>
      <c r="WGE72" s="41"/>
      <c r="WGF72" s="41"/>
      <c r="WGG72" s="41"/>
      <c r="WGH72" s="41"/>
      <c r="WID72" s="39"/>
      <c r="WIG72" s="41"/>
      <c r="WIH72" s="41"/>
      <c r="WII72" s="41"/>
      <c r="WIJ72" s="41"/>
      <c r="WIK72" s="41"/>
      <c r="WKG72" s="39"/>
      <c r="WKJ72" s="41"/>
      <c r="WKK72" s="41"/>
      <c r="WKL72" s="41"/>
      <c r="WKM72" s="41"/>
      <c r="WKN72" s="41"/>
      <c r="WMJ72" s="39"/>
      <c r="WMM72" s="41"/>
      <c r="WMN72" s="41"/>
      <c r="WMO72" s="41"/>
      <c r="WMP72" s="41"/>
      <c r="WMQ72" s="41"/>
      <c r="WOM72" s="39"/>
      <c r="WOP72" s="41"/>
      <c r="WOQ72" s="41"/>
      <c r="WOR72" s="41"/>
      <c r="WOS72" s="41"/>
      <c r="WOT72" s="41"/>
      <c r="WQP72" s="39"/>
      <c r="WQS72" s="41"/>
      <c r="WQT72" s="41"/>
      <c r="WQU72" s="41"/>
      <c r="WQV72" s="41"/>
      <c r="WQW72" s="41"/>
      <c r="WSS72" s="39"/>
      <c r="WSV72" s="41"/>
      <c r="WSW72" s="41"/>
      <c r="WSX72" s="41"/>
      <c r="WSY72" s="41"/>
      <c r="WSZ72" s="41"/>
      <c r="WUV72" s="39"/>
      <c r="WUY72" s="41"/>
      <c r="WUZ72" s="41"/>
      <c r="WVA72" s="41"/>
      <c r="WVB72" s="41"/>
      <c r="WVC72" s="41"/>
      <c r="WWY72" s="39"/>
      <c r="WXB72" s="41"/>
      <c r="WXC72" s="41"/>
      <c r="WXD72" s="41"/>
      <c r="WXE72" s="41"/>
      <c r="WXF72" s="41"/>
      <c r="WZB72" s="39"/>
      <c r="WZE72" s="41"/>
      <c r="WZF72" s="41"/>
      <c r="WZG72" s="41"/>
      <c r="WZH72" s="41"/>
      <c r="WZI72" s="41"/>
      <c r="XBE72" s="39"/>
      <c r="XBH72" s="41"/>
      <c r="XBI72" s="41"/>
      <c r="XBJ72" s="41"/>
      <c r="XBK72" s="41"/>
      <c r="XBL72" s="41"/>
      <c r="XDH72" s="39"/>
      <c r="XDK72" s="41"/>
      <c r="XDL72" s="41"/>
      <c r="XDM72" s="41"/>
      <c r="XDN72" s="41"/>
      <c r="XDO72" s="41"/>
    </row>
    <row r="73" spans="1:998 1046:2043 2091:3033 3081:4078 4126:6113 6161:7158 7206:8148 8196:9193 9241:10238 10286:11228 11276:12273 12321:13311 13314:14308 14356:15353 15401:16343" s="40" customFormat="1" ht="15" customHeight="1" x14ac:dyDescent="0.25">
      <c r="A73" s="22" t="s">
        <v>545</v>
      </c>
      <c r="B73" s="23">
        <v>600</v>
      </c>
      <c r="C73" s="23">
        <v>38</v>
      </c>
      <c r="D73" s="24">
        <v>30</v>
      </c>
      <c r="E73" s="24" t="s">
        <v>469</v>
      </c>
      <c r="F73" s="24">
        <v>0</v>
      </c>
      <c r="G73" s="24">
        <f t="shared" si="18"/>
        <v>456</v>
      </c>
      <c r="H73" s="24">
        <f t="shared" si="19"/>
        <v>235</v>
      </c>
      <c r="I73" s="23">
        <f t="shared" si="20"/>
        <v>223</v>
      </c>
      <c r="J73" s="23">
        <f t="shared" si="21"/>
        <v>22.5</v>
      </c>
      <c r="K73" s="23">
        <v>2.375</v>
      </c>
      <c r="L73" s="23">
        <v>16</v>
      </c>
      <c r="M73" s="23">
        <v>16</v>
      </c>
      <c r="N73" s="23">
        <f t="shared" si="22"/>
        <v>11.25</v>
      </c>
      <c r="O73" s="23">
        <f t="shared" si="23"/>
        <v>16</v>
      </c>
      <c r="P73" s="23">
        <f t="shared" si="24"/>
        <v>32</v>
      </c>
      <c r="Q73" s="23">
        <f t="shared" si="25"/>
        <v>32</v>
      </c>
      <c r="R73" s="23">
        <f t="shared" si="26"/>
        <v>16</v>
      </c>
      <c r="BD73" s="39"/>
      <c r="BG73" s="41"/>
      <c r="BH73" s="41"/>
      <c r="BI73" s="41"/>
      <c r="BJ73" s="41"/>
      <c r="BK73" s="41"/>
      <c r="DG73" s="39"/>
      <c r="DJ73" s="41"/>
      <c r="DK73" s="41"/>
      <c r="DL73" s="41"/>
      <c r="DM73" s="41"/>
      <c r="DN73" s="41"/>
      <c r="FJ73" s="39"/>
      <c r="FM73" s="41"/>
      <c r="FN73" s="41"/>
      <c r="FO73" s="41"/>
      <c r="FP73" s="41"/>
      <c r="FQ73" s="41"/>
      <c r="HM73" s="39"/>
      <c r="HP73" s="41"/>
      <c r="HQ73" s="41"/>
      <c r="HR73" s="41"/>
      <c r="HS73" s="41"/>
      <c r="HT73" s="41"/>
      <c r="JP73" s="39"/>
      <c r="JS73" s="41"/>
      <c r="JT73" s="41"/>
      <c r="JU73" s="41"/>
      <c r="JV73" s="41"/>
      <c r="JW73" s="41"/>
      <c r="LS73" s="39"/>
      <c r="LV73" s="41"/>
      <c r="LW73" s="41"/>
      <c r="LX73" s="41"/>
      <c r="LY73" s="41"/>
      <c r="LZ73" s="41"/>
      <c r="NV73" s="39"/>
      <c r="NY73" s="41"/>
      <c r="NZ73" s="41"/>
      <c r="OA73" s="41"/>
      <c r="OB73" s="41"/>
      <c r="OC73" s="41"/>
      <c r="PY73" s="39"/>
      <c r="QB73" s="41"/>
      <c r="QC73" s="41"/>
      <c r="QD73" s="41"/>
      <c r="QE73" s="41"/>
      <c r="QF73" s="41"/>
      <c r="SB73" s="39"/>
      <c r="SE73" s="41"/>
      <c r="SF73" s="41"/>
      <c r="SG73" s="41"/>
      <c r="SH73" s="41"/>
      <c r="SI73" s="41"/>
      <c r="UE73" s="39"/>
      <c r="UH73" s="41"/>
      <c r="UI73" s="41"/>
      <c r="UJ73" s="41"/>
      <c r="UK73" s="41"/>
      <c r="UL73" s="41"/>
      <c r="WH73" s="39"/>
      <c r="WK73" s="41"/>
      <c r="WL73" s="41"/>
      <c r="WM73" s="41"/>
      <c r="WN73" s="41"/>
      <c r="WO73" s="41"/>
      <c r="YK73" s="39"/>
      <c r="YN73" s="41"/>
      <c r="YO73" s="41"/>
      <c r="YP73" s="41"/>
      <c r="YQ73" s="41"/>
      <c r="YR73" s="41"/>
      <c r="AAN73" s="39"/>
      <c r="AAQ73" s="41"/>
      <c r="AAR73" s="41"/>
      <c r="AAS73" s="41"/>
      <c r="AAT73" s="41"/>
      <c r="AAU73" s="41"/>
      <c r="ACQ73" s="39"/>
      <c r="ACT73" s="41"/>
      <c r="ACU73" s="41"/>
      <c r="ACV73" s="41"/>
      <c r="ACW73" s="41"/>
      <c r="ACX73" s="41"/>
      <c r="AET73" s="39"/>
      <c r="AEW73" s="41"/>
      <c r="AEX73" s="41"/>
      <c r="AEY73" s="41"/>
      <c r="AEZ73" s="41"/>
      <c r="AFA73" s="41"/>
      <c r="AGW73" s="39"/>
      <c r="AGZ73" s="41"/>
      <c r="AHA73" s="41"/>
      <c r="AHB73" s="41"/>
      <c r="AHC73" s="41"/>
      <c r="AHD73" s="41"/>
      <c r="AIZ73" s="39"/>
      <c r="AJC73" s="41"/>
      <c r="AJD73" s="41"/>
      <c r="AJE73" s="41"/>
      <c r="AJF73" s="41"/>
      <c r="AJG73" s="41"/>
      <c r="ALC73" s="39"/>
      <c r="ALF73" s="41"/>
      <c r="ALG73" s="41"/>
      <c r="ALH73" s="41"/>
      <c r="ALI73" s="41"/>
      <c r="ALJ73" s="41"/>
      <c r="ANF73" s="39"/>
      <c r="ANI73" s="41"/>
      <c r="ANJ73" s="41"/>
      <c r="ANK73" s="41"/>
      <c r="ANL73" s="41"/>
      <c r="ANM73" s="41"/>
      <c r="API73" s="39"/>
      <c r="APL73" s="41"/>
      <c r="APM73" s="41"/>
      <c r="APN73" s="41"/>
      <c r="APO73" s="41"/>
      <c r="APP73" s="41"/>
      <c r="ARL73" s="39"/>
      <c r="ARO73" s="41"/>
      <c r="ARP73" s="41"/>
      <c r="ARQ73" s="41"/>
      <c r="ARR73" s="41"/>
      <c r="ARS73" s="41"/>
      <c r="ATO73" s="39"/>
      <c r="ATR73" s="41"/>
      <c r="ATS73" s="41"/>
      <c r="ATT73" s="41"/>
      <c r="ATU73" s="41"/>
      <c r="ATV73" s="41"/>
      <c r="AVR73" s="39"/>
      <c r="AVU73" s="41"/>
      <c r="AVV73" s="41"/>
      <c r="AVW73" s="41"/>
      <c r="AVX73" s="41"/>
      <c r="AVY73" s="41"/>
      <c r="AXU73" s="39"/>
      <c r="AXX73" s="41"/>
      <c r="AXY73" s="41"/>
      <c r="AXZ73" s="41"/>
      <c r="AYA73" s="41"/>
      <c r="AYB73" s="41"/>
      <c r="AZX73" s="39"/>
      <c r="BAA73" s="41"/>
      <c r="BAB73" s="41"/>
      <c r="BAC73" s="41"/>
      <c r="BAD73" s="41"/>
      <c r="BAE73" s="41"/>
      <c r="BCA73" s="39"/>
      <c r="BCD73" s="41"/>
      <c r="BCE73" s="41"/>
      <c r="BCF73" s="41"/>
      <c r="BCG73" s="41"/>
      <c r="BCH73" s="41"/>
      <c r="BED73" s="39"/>
      <c r="BEG73" s="41"/>
      <c r="BEH73" s="41"/>
      <c r="BEI73" s="41"/>
      <c r="BEJ73" s="41"/>
      <c r="BEK73" s="41"/>
      <c r="BGG73" s="39"/>
      <c r="BGJ73" s="41"/>
      <c r="BGK73" s="41"/>
      <c r="BGL73" s="41"/>
      <c r="BGM73" s="41"/>
      <c r="BGN73" s="41"/>
      <c r="BIJ73" s="39"/>
      <c r="BIM73" s="41"/>
      <c r="BIN73" s="41"/>
      <c r="BIO73" s="41"/>
      <c r="BIP73" s="41"/>
      <c r="BIQ73" s="41"/>
      <c r="BKM73" s="39"/>
      <c r="BKP73" s="41"/>
      <c r="BKQ73" s="41"/>
      <c r="BKR73" s="41"/>
      <c r="BKS73" s="41"/>
      <c r="BKT73" s="41"/>
      <c r="BMP73" s="39"/>
      <c r="BMS73" s="41"/>
      <c r="BMT73" s="41"/>
      <c r="BMU73" s="41"/>
      <c r="BMV73" s="41"/>
      <c r="BMW73" s="41"/>
      <c r="BOS73" s="39"/>
      <c r="BOV73" s="41"/>
      <c r="BOW73" s="41"/>
      <c r="BOX73" s="41"/>
      <c r="BOY73" s="41"/>
      <c r="BOZ73" s="41"/>
      <c r="BQV73" s="39"/>
      <c r="BQY73" s="41"/>
      <c r="BQZ73" s="41"/>
      <c r="BRA73" s="41"/>
      <c r="BRB73" s="41"/>
      <c r="BRC73" s="41"/>
      <c r="BSY73" s="39"/>
      <c r="BTB73" s="41"/>
      <c r="BTC73" s="41"/>
      <c r="BTD73" s="41"/>
      <c r="BTE73" s="41"/>
      <c r="BTF73" s="41"/>
      <c r="BVB73" s="39"/>
      <c r="BVE73" s="41"/>
      <c r="BVF73" s="41"/>
      <c r="BVG73" s="41"/>
      <c r="BVH73" s="41"/>
      <c r="BVI73" s="41"/>
      <c r="BXE73" s="39"/>
      <c r="BXH73" s="41"/>
      <c r="BXI73" s="41"/>
      <c r="BXJ73" s="41"/>
      <c r="BXK73" s="41"/>
      <c r="BXL73" s="41"/>
      <c r="BZH73" s="39"/>
      <c r="BZK73" s="41"/>
      <c r="BZL73" s="41"/>
      <c r="BZM73" s="41"/>
      <c r="BZN73" s="41"/>
      <c r="BZO73" s="41"/>
      <c r="CBK73" s="39"/>
      <c r="CBN73" s="41"/>
      <c r="CBO73" s="41"/>
      <c r="CBP73" s="41"/>
      <c r="CBQ73" s="41"/>
      <c r="CBR73" s="41"/>
      <c r="CDN73" s="39"/>
      <c r="CDQ73" s="41"/>
      <c r="CDR73" s="41"/>
      <c r="CDS73" s="41"/>
      <c r="CDT73" s="41"/>
      <c r="CDU73" s="41"/>
      <c r="CFQ73" s="39"/>
      <c r="CFT73" s="41"/>
      <c r="CFU73" s="41"/>
      <c r="CFV73" s="41"/>
      <c r="CFW73" s="41"/>
      <c r="CFX73" s="41"/>
      <c r="CHT73" s="39"/>
      <c r="CHW73" s="41"/>
      <c r="CHX73" s="41"/>
      <c r="CHY73" s="41"/>
      <c r="CHZ73" s="41"/>
      <c r="CIA73" s="41"/>
      <c r="CJW73" s="39"/>
      <c r="CJZ73" s="41"/>
      <c r="CKA73" s="41"/>
      <c r="CKB73" s="41"/>
      <c r="CKC73" s="41"/>
      <c r="CKD73" s="41"/>
      <c r="CLZ73" s="39"/>
      <c r="CMC73" s="41"/>
      <c r="CMD73" s="41"/>
      <c r="CME73" s="41"/>
      <c r="CMF73" s="41"/>
      <c r="CMG73" s="41"/>
      <c r="COC73" s="39"/>
      <c r="COF73" s="41"/>
      <c r="COG73" s="41"/>
      <c r="COH73" s="41"/>
      <c r="COI73" s="41"/>
      <c r="COJ73" s="41"/>
      <c r="CQF73" s="39"/>
      <c r="CQI73" s="41"/>
      <c r="CQJ73" s="41"/>
      <c r="CQK73" s="41"/>
      <c r="CQL73" s="41"/>
      <c r="CQM73" s="41"/>
      <c r="CSI73" s="39"/>
      <c r="CSL73" s="41"/>
      <c r="CSM73" s="41"/>
      <c r="CSN73" s="41"/>
      <c r="CSO73" s="41"/>
      <c r="CSP73" s="41"/>
      <c r="CUL73" s="39"/>
      <c r="CUO73" s="41"/>
      <c r="CUP73" s="41"/>
      <c r="CUQ73" s="41"/>
      <c r="CUR73" s="41"/>
      <c r="CUS73" s="41"/>
      <c r="CWO73" s="39"/>
      <c r="CWR73" s="41"/>
      <c r="CWS73" s="41"/>
      <c r="CWT73" s="41"/>
      <c r="CWU73" s="41"/>
      <c r="CWV73" s="41"/>
      <c r="CYR73" s="39"/>
      <c r="CYU73" s="41"/>
      <c r="CYV73" s="41"/>
      <c r="CYW73" s="41"/>
      <c r="CYX73" s="41"/>
      <c r="CYY73" s="41"/>
      <c r="DAU73" s="39"/>
      <c r="DAX73" s="41"/>
      <c r="DAY73" s="41"/>
      <c r="DAZ73" s="41"/>
      <c r="DBA73" s="41"/>
      <c r="DBB73" s="41"/>
      <c r="DCX73" s="39"/>
      <c r="DDA73" s="41"/>
      <c r="DDB73" s="41"/>
      <c r="DDC73" s="41"/>
      <c r="DDD73" s="41"/>
      <c r="DDE73" s="41"/>
      <c r="DFA73" s="39"/>
      <c r="DFD73" s="41"/>
      <c r="DFE73" s="41"/>
      <c r="DFF73" s="41"/>
      <c r="DFG73" s="41"/>
      <c r="DFH73" s="41"/>
      <c r="DHD73" s="39"/>
      <c r="DHG73" s="41"/>
      <c r="DHH73" s="41"/>
      <c r="DHI73" s="41"/>
      <c r="DHJ73" s="41"/>
      <c r="DHK73" s="41"/>
      <c r="DJG73" s="39"/>
      <c r="DJJ73" s="41"/>
      <c r="DJK73" s="41"/>
      <c r="DJL73" s="41"/>
      <c r="DJM73" s="41"/>
      <c r="DJN73" s="41"/>
      <c r="DLJ73" s="39"/>
      <c r="DLM73" s="41"/>
      <c r="DLN73" s="41"/>
      <c r="DLO73" s="41"/>
      <c r="DLP73" s="41"/>
      <c r="DLQ73" s="41"/>
      <c r="DNM73" s="39"/>
      <c r="DNP73" s="41"/>
      <c r="DNQ73" s="41"/>
      <c r="DNR73" s="41"/>
      <c r="DNS73" s="41"/>
      <c r="DNT73" s="41"/>
      <c r="DPP73" s="39"/>
      <c r="DPS73" s="41"/>
      <c r="DPT73" s="41"/>
      <c r="DPU73" s="41"/>
      <c r="DPV73" s="41"/>
      <c r="DPW73" s="41"/>
      <c r="DRS73" s="39"/>
      <c r="DRV73" s="41"/>
      <c r="DRW73" s="41"/>
      <c r="DRX73" s="41"/>
      <c r="DRY73" s="41"/>
      <c r="DRZ73" s="41"/>
      <c r="DTV73" s="39"/>
      <c r="DTY73" s="41"/>
      <c r="DTZ73" s="41"/>
      <c r="DUA73" s="41"/>
      <c r="DUB73" s="41"/>
      <c r="DUC73" s="41"/>
      <c r="DVY73" s="39"/>
      <c r="DWB73" s="41"/>
      <c r="DWC73" s="41"/>
      <c r="DWD73" s="41"/>
      <c r="DWE73" s="41"/>
      <c r="DWF73" s="41"/>
      <c r="DYB73" s="39"/>
      <c r="DYE73" s="41"/>
      <c r="DYF73" s="41"/>
      <c r="DYG73" s="41"/>
      <c r="DYH73" s="41"/>
      <c r="DYI73" s="41"/>
      <c r="EAE73" s="39"/>
      <c r="EAH73" s="41"/>
      <c r="EAI73" s="41"/>
      <c r="EAJ73" s="41"/>
      <c r="EAK73" s="41"/>
      <c r="EAL73" s="41"/>
      <c r="ECH73" s="39"/>
      <c r="ECK73" s="41"/>
      <c r="ECL73" s="41"/>
      <c r="ECM73" s="41"/>
      <c r="ECN73" s="41"/>
      <c r="ECO73" s="41"/>
      <c r="EEK73" s="39"/>
      <c r="EEN73" s="41"/>
      <c r="EEO73" s="41"/>
      <c r="EEP73" s="41"/>
      <c r="EEQ73" s="41"/>
      <c r="EER73" s="41"/>
      <c r="EGN73" s="39"/>
      <c r="EGQ73" s="41"/>
      <c r="EGR73" s="41"/>
      <c r="EGS73" s="41"/>
      <c r="EGT73" s="41"/>
      <c r="EGU73" s="41"/>
      <c r="EIQ73" s="39"/>
      <c r="EIT73" s="41"/>
      <c r="EIU73" s="41"/>
      <c r="EIV73" s="41"/>
      <c r="EIW73" s="41"/>
      <c r="EIX73" s="41"/>
      <c r="EKT73" s="39"/>
      <c r="EKW73" s="41"/>
      <c r="EKX73" s="41"/>
      <c r="EKY73" s="41"/>
      <c r="EKZ73" s="41"/>
      <c r="ELA73" s="41"/>
      <c r="EMW73" s="39"/>
      <c r="EMZ73" s="41"/>
      <c r="ENA73" s="41"/>
      <c r="ENB73" s="41"/>
      <c r="ENC73" s="41"/>
      <c r="END73" s="41"/>
      <c r="EOZ73" s="39"/>
      <c r="EPC73" s="41"/>
      <c r="EPD73" s="41"/>
      <c r="EPE73" s="41"/>
      <c r="EPF73" s="41"/>
      <c r="EPG73" s="41"/>
      <c r="ERC73" s="39"/>
      <c r="ERF73" s="41"/>
      <c r="ERG73" s="41"/>
      <c r="ERH73" s="41"/>
      <c r="ERI73" s="41"/>
      <c r="ERJ73" s="41"/>
      <c r="ETF73" s="39"/>
      <c r="ETI73" s="41"/>
      <c r="ETJ73" s="41"/>
      <c r="ETK73" s="41"/>
      <c r="ETL73" s="41"/>
      <c r="ETM73" s="41"/>
      <c r="EVI73" s="39"/>
      <c r="EVL73" s="41"/>
      <c r="EVM73" s="41"/>
      <c r="EVN73" s="41"/>
      <c r="EVO73" s="41"/>
      <c r="EVP73" s="41"/>
      <c r="EXL73" s="39"/>
      <c r="EXO73" s="41"/>
      <c r="EXP73" s="41"/>
      <c r="EXQ73" s="41"/>
      <c r="EXR73" s="41"/>
      <c r="EXS73" s="41"/>
      <c r="EZO73" s="39"/>
      <c r="EZR73" s="41"/>
      <c r="EZS73" s="41"/>
      <c r="EZT73" s="41"/>
      <c r="EZU73" s="41"/>
      <c r="EZV73" s="41"/>
      <c r="FBR73" s="39"/>
      <c r="FBU73" s="41"/>
      <c r="FBV73" s="41"/>
      <c r="FBW73" s="41"/>
      <c r="FBX73" s="41"/>
      <c r="FBY73" s="41"/>
      <c r="FDU73" s="39"/>
      <c r="FDX73" s="41"/>
      <c r="FDY73" s="41"/>
      <c r="FDZ73" s="41"/>
      <c r="FEA73" s="41"/>
      <c r="FEB73" s="41"/>
      <c r="FFX73" s="39"/>
      <c r="FGA73" s="41"/>
      <c r="FGB73" s="41"/>
      <c r="FGC73" s="41"/>
      <c r="FGD73" s="41"/>
      <c r="FGE73" s="41"/>
      <c r="FIA73" s="39"/>
      <c r="FID73" s="41"/>
      <c r="FIE73" s="41"/>
      <c r="FIF73" s="41"/>
      <c r="FIG73" s="41"/>
      <c r="FIH73" s="41"/>
      <c r="FKD73" s="39"/>
      <c r="FKG73" s="41"/>
      <c r="FKH73" s="41"/>
      <c r="FKI73" s="41"/>
      <c r="FKJ73" s="41"/>
      <c r="FKK73" s="41"/>
      <c r="FMG73" s="39"/>
      <c r="FMJ73" s="41"/>
      <c r="FMK73" s="41"/>
      <c r="FML73" s="41"/>
      <c r="FMM73" s="41"/>
      <c r="FMN73" s="41"/>
      <c r="FOJ73" s="39"/>
      <c r="FOM73" s="41"/>
      <c r="FON73" s="41"/>
      <c r="FOO73" s="41"/>
      <c r="FOP73" s="41"/>
      <c r="FOQ73" s="41"/>
      <c r="FQM73" s="39"/>
      <c r="FQP73" s="41"/>
      <c r="FQQ73" s="41"/>
      <c r="FQR73" s="41"/>
      <c r="FQS73" s="41"/>
      <c r="FQT73" s="41"/>
      <c r="FSP73" s="39"/>
      <c r="FSS73" s="41"/>
      <c r="FST73" s="41"/>
      <c r="FSU73" s="41"/>
      <c r="FSV73" s="41"/>
      <c r="FSW73" s="41"/>
      <c r="FUS73" s="39"/>
      <c r="FUV73" s="41"/>
      <c r="FUW73" s="41"/>
      <c r="FUX73" s="41"/>
      <c r="FUY73" s="41"/>
      <c r="FUZ73" s="41"/>
      <c r="FWV73" s="39"/>
      <c r="FWY73" s="41"/>
      <c r="FWZ73" s="41"/>
      <c r="FXA73" s="41"/>
      <c r="FXB73" s="41"/>
      <c r="FXC73" s="41"/>
      <c r="FYY73" s="39"/>
      <c r="FZB73" s="41"/>
      <c r="FZC73" s="41"/>
      <c r="FZD73" s="41"/>
      <c r="FZE73" s="41"/>
      <c r="FZF73" s="41"/>
      <c r="GBB73" s="39"/>
      <c r="GBE73" s="41"/>
      <c r="GBF73" s="41"/>
      <c r="GBG73" s="41"/>
      <c r="GBH73" s="41"/>
      <c r="GBI73" s="41"/>
      <c r="GDE73" s="39"/>
      <c r="GDH73" s="41"/>
      <c r="GDI73" s="41"/>
      <c r="GDJ73" s="41"/>
      <c r="GDK73" s="41"/>
      <c r="GDL73" s="41"/>
      <c r="GFH73" s="39"/>
      <c r="GFK73" s="41"/>
      <c r="GFL73" s="41"/>
      <c r="GFM73" s="41"/>
      <c r="GFN73" s="41"/>
      <c r="GFO73" s="41"/>
      <c r="GHK73" s="39"/>
      <c r="GHN73" s="41"/>
      <c r="GHO73" s="41"/>
      <c r="GHP73" s="41"/>
      <c r="GHQ73" s="41"/>
      <c r="GHR73" s="41"/>
      <c r="GJN73" s="39"/>
      <c r="GJQ73" s="41"/>
      <c r="GJR73" s="41"/>
      <c r="GJS73" s="41"/>
      <c r="GJT73" s="41"/>
      <c r="GJU73" s="41"/>
      <c r="GLQ73" s="39"/>
      <c r="GLT73" s="41"/>
      <c r="GLU73" s="41"/>
      <c r="GLV73" s="41"/>
      <c r="GLW73" s="41"/>
      <c r="GLX73" s="41"/>
      <c r="GNT73" s="39"/>
      <c r="GNW73" s="41"/>
      <c r="GNX73" s="41"/>
      <c r="GNY73" s="41"/>
      <c r="GNZ73" s="41"/>
      <c r="GOA73" s="41"/>
      <c r="GPW73" s="39"/>
      <c r="GPZ73" s="41"/>
      <c r="GQA73" s="41"/>
      <c r="GQB73" s="41"/>
      <c r="GQC73" s="41"/>
      <c r="GQD73" s="41"/>
      <c r="GRZ73" s="39"/>
      <c r="GSC73" s="41"/>
      <c r="GSD73" s="41"/>
      <c r="GSE73" s="41"/>
      <c r="GSF73" s="41"/>
      <c r="GSG73" s="41"/>
      <c r="GUC73" s="39"/>
      <c r="GUF73" s="41"/>
      <c r="GUG73" s="41"/>
      <c r="GUH73" s="41"/>
      <c r="GUI73" s="41"/>
      <c r="GUJ73" s="41"/>
      <c r="GWF73" s="39"/>
      <c r="GWI73" s="41"/>
      <c r="GWJ73" s="41"/>
      <c r="GWK73" s="41"/>
      <c r="GWL73" s="41"/>
      <c r="GWM73" s="41"/>
      <c r="GYI73" s="39"/>
      <c r="GYL73" s="41"/>
      <c r="GYM73" s="41"/>
      <c r="GYN73" s="41"/>
      <c r="GYO73" s="41"/>
      <c r="GYP73" s="41"/>
      <c r="HAL73" s="39"/>
      <c r="HAO73" s="41"/>
      <c r="HAP73" s="41"/>
      <c r="HAQ73" s="41"/>
      <c r="HAR73" s="41"/>
      <c r="HAS73" s="41"/>
      <c r="HCO73" s="39"/>
      <c r="HCR73" s="41"/>
      <c r="HCS73" s="41"/>
      <c r="HCT73" s="41"/>
      <c r="HCU73" s="41"/>
      <c r="HCV73" s="41"/>
      <c r="HER73" s="39"/>
      <c r="HEU73" s="41"/>
      <c r="HEV73" s="41"/>
      <c r="HEW73" s="41"/>
      <c r="HEX73" s="41"/>
      <c r="HEY73" s="41"/>
      <c r="HGU73" s="39"/>
      <c r="HGX73" s="41"/>
      <c r="HGY73" s="41"/>
      <c r="HGZ73" s="41"/>
      <c r="HHA73" s="41"/>
      <c r="HHB73" s="41"/>
      <c r="HIX73" s="39"/>
      <c r="HJA73" s="41"/>
      <c r="HJB73" s="41"/>
      <c r="HJC73" s="41"/>
      <c r="HJD73" s="41"/>
      <c r="HJE73" s="41"/>
      <c r="HLA73" s="39"/>
      <c r="HLD73" s="41"/>
      <c r="HLE73" s="41"/>
      <c r="HLF73" s="41"/>
      <c r="HLG73" s="41"/>
      <c r="HLH73" s="41"/>
      <c r="HND73" s="39"/>
      <c r="HNG73" s="41"/>
      <c r="HNH73" s="41"/>
      <c r="HNI73" s="41"/>
      <c r="HNJ73" s="41"/>
      <c r="HNK73" s="41"/>
      <c r="HPG73" s="39"/>
      <c r="HPJ73" s="41"/>
      <c r="HPK73" s="41"/>
      <c r="HPL73" s="41"/>
      <c r="HPM73" s="41"/>
      <c r="HPN73" s="41"/>
      <c r="HRJ73" s="39"/>
      <c r="HRM73" s="41"/>
      <c r="HRN73" s="41"/>
      <c r="HRO73" s="41"/>
      <c r="HRP73" s="41"/>
      <c r="HRQ73" s="41"/>
      <c r="HTM73" s="39"/>
      <c r="HTP73" s="41"/>
      <c r="HTQ73" s="41"/>
      <c r="HTR73" s="41"/>
      <c r="HTS73" s="41"/>
      <c r="HTT73" s="41"/>
      <c r="HVP73" s="39"/>
      <c r="HVS73" s="41"/>
      <c r="HVT73" s="41"/>
      <c r="HVU73" s="41"/>
      <c r="HVV73" s="41"/>
      <c r="HVW73" s="41"/>
      <c r="HXS73" s="39"/>
      <c r="HXV73" s="41"/>
      <c r="HXW73" s="41"/>
      <c r="HXX73" s="41"/>
      <c r="HXY73" s="41"/>
      <c r="HXZ73" s="41"/>
      <c r="HZV73" s="39"/>
      <c r="HZY73" s="41"/>
      <c r="HZZ73" s="41"/>
      <c r="IAA73" s="41"/>
      <c r="IAB73" s="41"/>
      <c r="IAC73" s="41"/>
      <c r="IBY73" s="39"/>
      <c r="ICB73" s="41"/>
      <c r="ICC73" s="41"/>
      <c r="ICD73" s="41"/>
      <c r="ICE73" s="41"/>
      <c r="ICF73" s="41"/>
      <c r="IEB73" s="39"/>
      <c r="IEE73" s="41"/>
      <c r="IEF73" s="41"/>
      <c r="IEG73" s="41"/>
      <c r="IEH73" s="41"/>
      <c r="IEI73" s="41"/>
      <c r="IGE73" s="39"/>
      <c r="IGH73" s="41"/>
      <c r="IGI73" s="41"/>
      <c r="IGJ73" s="41"/>
      <c r="IGK73" s="41"/>
      <c r="IGL73" s="41"/>
      <c r="IIH73" s="39"/>
      <c r="IIK73" s="41"/>
      <c r="IIL73" s="41"/>
      <c r="IIM73" s="41"/>
      <c r="IIN73" s="41"/>
      <c r="IIO73" s="41"/>
      <c r="IKK73" s="39"/>
      <c r="IKN73" s="41"/>
      <c r="IKO73" s="41"/>
      <c r="IKP73" s="41"/>
      <c r="IKQ73" s="41"/>
      <c r="IKR73" s="41"/>
      <c r="IMN73" s="39"/>
      <c r="IMQ73" s="41"/>
      <c r="IMR73" s="41"/>
      <c r="IMS73" s="41"/>
      <c r="IMT73" s="41"/>
      <c r="IMU73" s="41"/>
      <c r="IOQ73" s="39"/>
      <c r="IOT73" s="41"/>
      <c r="IOU73" s="41"/>
      <c r="IOV73" s="41"/>
      <c r="IOW73" s="41"/>
      <c r="IOX73" s="41"/>
      <c r="IQT73" s="39"/>
      <c r="IQW73" s="41"/>
      <c r="IQX73" s="41"/>
      <c r="IQY73" s="41"/>
      <c r="IQZ73" s="41"/>
      <c r="IRA73" s="41"/>
      <c r="ISW73" s="39"/>
      <c r="ISZ73" s="41"/>
      <c r="ITA73" s="41"/>
      <c r="ITB73" s="41"/>
      <c r="ITC73" s="41"/>
      <c r="ITD73" s="41"/>
      <c r="IUZ73" s="39"/>
      <c r="IVC73" s="41"/>
      <c r="IVD73" s="41"/>
      <c r="IVE73" s="41"/>
      <c r="IVF73" s="41"/>
      <c r="IVG73" s="41"/>
      <c r="IXC73" s="39"/>
      <c r="IXF73" s="41"/>
      <c r="IXG73" s="41"/>
      <c r="IXH73" s="41"/>
      <c r="IXI73" s="41"/>
      <c r="IXJ73" s="41"/>
      <c r="IZF73" s="39"/>
      <c r="IZI73" s="41"/>
      <c r="IZJ73" s="41"/>
      <c r="IZK73" s="41"/>
      <c r="IZL73" s="41"/>
      <c r="IZM73" s="41"/>
      <c r="JBI73" s="39"/>
      <c r="JBL73" s="41"/>
      <c r="JBM73" s="41"/>
      <c r="JBN73" s="41"/>
      <c r="JBO73" s="41"/>
      <c r="JBP73" s="41"/>
      <c r="JDL73" s="39"/>
      <c r="JDO73" s="41"/>
      <c r="JDP73" s="41"/>
      <c r="JDQ73" s="41"/>
      <c r="JDR73" s="41"/>
      <c r="JDS73" s="41"/>
      <c r="JFO73" s="39"/>
      <c r="JFR73" s="41"/>
      <c r="JFS73" s="41"/>
      <c r="JFT73" s="41"/>
      <c r="JFU73" s="41"/>
      <c r="JFV73" s="41"/>
      <c r="JHR73" s="39"/>
      <c r="JHU73" s="41"/>
      <c r="JHV73" s="41"/>
      <c r="JHW73" s="41"/>
      <c r="JHX73" s="41"/>
      <c r="JHY73" s="41"/>
      <c r="JJU73" s="39"/>
      <c r="JJX73" s="41"/>
      <c r="JJY73" s="41"/>
      <c r="JJZ73" s="41"/>
      <c r="JKA73" s="41"/>
      <c r="JKB73" s="41"/>
      <c r="JLX73" s="39"/>
      <c r="JMA73" s="41"/>
      <c r="JMB73" s="41"/>
      <c r="JMC73" s="41"/>
      <c r="JMD73" s="41"/>
      <c r="JME73" s="41"/>
      <c r="JOA73" s="39"/>
      <c r="JOD73" s="41"/>
      <c r="JOE73" s="41"/>
      <c r="JOF73" s="41"/>
      <c r="JOG73" s="41"/>
      <c r="JOH73" s="41"/>
      <c r="JQD73" s="39"/>
      <c r="JQG73" s="41"/>
      <c r="JQH73" s="41"/>
      <c r="JQI73" s="41"/>
      <c r="JQJ73" s="41"/>
      <c r="JQK73" s="41"/>
      <c r="JSG73" s="39"/>
      <c r="JSJ73" s="41"/>
      <c r="JSK73" s="41"/>
      <c r="JSL73" s="41"/>
      <c r="JSM73" s="41"/>
      <c r="JSN73" s="41"/>
      <c r="JUJ73" s="39"/>
      <c r="JUM73" s="41"/>
      <c r="JUN73" s="41"/>
      <c r="JUO73" s="41"/>
      <c r="JUP73" s="41"/>
      <c r="JUQ73" s="41"/>
      <c r="JWM73" s="39"/>
      <c r="JWP73" s="41"/>
      <c r="JWQ73" s="41"/>
      <c r="JWR73" s="41"/>
      <c r="JWS73" s="41"/>
      <c r="JWT73" s="41"/>
      <c r="JYP73" s="39"/>
      <c r="JYS73" s="41"/>
      <c r="JYT73" s="41"/>
      <c r="JYU73" s="41"/>
      <c r="JYV73" s="41"/>
      <c r="JYW73" s="41"/>
      <c r="KAS73" s="39"/>
      <c r="KAV73" s="41"/>
      <c r="KAW73" s="41"/>
      <c r="KAX73" s="41"/>
      <c r="KAY73" s="41"/>
      <c r="KAZ73" s="41"/>
      <c r="KCV73" s="39"/>
      <c r="KCY73" s="41"/>
      <c r="KCZ73" s="41"/>
      <c r="KDA73" s="41"/>
      <c r="KDB73" s="41"/>
      <c r="KDC73" s="41"/>
      <c r="KEY73" s="39"/>
      <c r="KFB73" s="41"/>
      <c r="KFC73" s="41"/>
      <c r="KFD73" s="41"/>
      <c r="KFE73" s="41"/>
      <c r="KFF73" s="41"/>
      <c r="KHB73" s="39"/>
      <c r="KHE73" s="41"/>
      <c r="KHF73" s="41"/>
      <c r="KHG73" s="41"/>
      <c r="KHH73" s="41"/>
      <c r="KHI73" s="41"/>
      <c r="KJE73" s="39"/>
      <c r="KJH73" s="41"/>
      <c r="KJI73" s="41"/>
      <c r="KJJ73" s="41"/>
      <c r="KJK73" s="41"/>
      <c r="KJL73" s="41"/>
      <c r="KLH73" s="39"/>
      <c r="KLK73" s="41"/>
      <c r="KLL73" s="41"/>
      <c r="KLM73" s="41"/>
      <c r="KLN73" s="41"/>
      <c r="KLO73" s="41"/>
      <c r="KNK73" s="39"/>
      <c r="KNN73" s="41"/>
      <c r="KNO73" s="41"/>
      <c r="KNP73" s="41"/>
      <c r="KNQ73" s="41"/>
      <c r="KNR73" s="41"/>
      <c r="KPN73" s="39"/>
      <c r="KPQ73" s="41"/>
      <c r="KPR73" s="41"/>
      <c r="KPS73" s="41"/>
      <c r="KPT73" s="41"/>
      <c r="KPU73" s="41"/>
      <c r="KRQ73" s="39"/>
      <c r="KRT73" s="41"/>
      <c r="KRU73" s="41"/>
      <c r="KRV73" s="41"/>
      <c r="KRW73" s="41"/>
      <c r="KRX73" s="41"/>
      <c r="KTT73" s="39"/>
      <c r="KTW73" s="41"/>
      <c r="KTX73" s="41"/>
      <c r="KTY73" s="41"/>
      <c r="KTZ73" s="41"/>
      <c r="KUA73" s="41"/>
      <c r="KVW73" s="39"/>
      <c r="KVZ73" s="41"/>
      <c r="KWA73" s="41"/>
      <c r="KWB73" s="41"/>
      <c r="KWC73" s="41"/>
      <c r="KWD73" s="41"/>
      <c r="KXZ73" s="39"/>
      <c r="KYC73" s="41"/>
      <c r="KYD73" s="41"/>
      <c r="KYE73" s="41"/>
      <c r="KYF73" s="41"/>
      <c r="KYG73" s="41"/>
      <c r="LAC73" s="39"/>
      <c r="LAF73" s="41"/>
      <c r="LAG73" s="41"/>
      <c r="LAH73" s="41"/>
      <c r="LAI73" s="41"/>
      <c r="LAJ73" s="41"/>
      <c r="LCF73" s="39"/>
      <c r="LCI73" s="41"/>
      <c r="LCJ73" s="41"/>
      <c r="LCK73" s="41"/>
      <c r="LCL73" s="41"/>
      <c r="LCM73" s="41"/>
      <c r="LEI73" s="39"/>
      <c r="LEL73" s="41"/>
      <c r="LEM73" s="41"/>
      <c r="LEN73" s="41"/>
      <c r="LEO73" s="41"/>
      <c r="LEP73" s="41"/>
      <c r="LGL73" s="39"/>
      <c r="LGO73" s="41"/>
      <c r="LGP73" s="41"/>
      <c r="LGQ73" s="41"/>
      <c r="LGR73" s="41"/>
      <c r="LGS73" s="41"/>
      <c r="LIO73" s="39"/>
      <c r="LIR73" s="41"/>
      <c r="LIS73" s="41"/>
      <c r="LIT73" s="41"/>
      <c r="LIU73" s="41"/>
      <c r="LIV73" s="41"/>
      <c r="LKR73" s="39"/>
      <c r="LKU73" s="41"/>
      <c r="LKV73" s="41"/>
      <c r="LKW73" s="41"/>
      <c r="LKX73" s="41"/>
      <c r="LKY73" s="41"/>
      <c r="LMU73" s="39"/>
      <c r="LMX73" s="41"/>
      <c r="LMY73" s="41"/>
      <c r="LMZ73" s="41"/>
      <c r="LNA73" s="41"/>
      <c r="LNB73" s="41"/>
      <c r="LOX73" s="39"/>
      <c r="LPA73" s="41"/>
      <c r="LPB73" s="41"/>
      <c r="LPC73" s="41"/>
      <c r="LPD73" s="41"/>
      <c r="LPE73" s="41"/>
      <c r="LRA73" s="39"/>
      <c r="LRD73" s="41"/>
      <c r="LRE73" s="41"/>
      <c r="LRF73" s="41"/>
      <c r="LRG73" s="41"/>
      <c r="LRH73" s="41"/>
      <c r="LTD73" s="39"/>
      <c r="LTG73" s="41"/>
      <c r="LTH73" s="41"/>
      <c r="LTI73" s="41"/>
      <c r="LTJ73" s="41"/>
      <c r="LTK73" s="41"/>
      <c r="LVG73" s="39"/>
      <c r="LVJ73" s="41"/>
      <c r="LVK73" s="41"/>
      <c r="LVL73" s="41"/>
      <c r="LVM73" s="41"/>
      <c r="LVN73" s="41"/>
      <c r="LXJ73" s="39"/>
      <c r="LXM73" s="41"/>
      <c r="LXN73" s="41"/>
      <c r="LXO73" s="41"/>
      <c r="LXP73" s="41"/>
      <c r="LXQ73" s="41"/>
      <c r="LZM73" s="39"/>
      <c r="LZP73" s="41"/>
      <c r="LZQ73" s="41"/>
      <c r="LZR73" s="41"/>
      <c r="LZS73" s="41"/>
      <c r="LZT73" s="41"/>
      <c r="MBP73" s="39"/>
      <c r="MBS73" s="41"/>
      <c r="MBT73" s="41"/>
      <c r="MBU73" s="41"/>
      <c r="MBV73" s="41"/>
      <c r="MBW73" s="41"/>
      <c r="MDS73" s="39"/>
      <c r="MDV73" s="41"/>
      <c r="MDW73" s="41"/>
      <c r="MDX73" s="41"/>
      <c r="MDY73" s="41"/>
      <c r="MDZ73" s="41"/>
      <c r="MFV73" s="39"/>
      <c r="MFY73" s="41"/>
      <c r="MFZ73" s="41"/>
      <c r="MGA73" s="41"/>
      <c r="MGB73" s="41"/>
      <c r="MGC73" s="41"/>
      <c r="MHY73" s="39"/>
      <c r="MIB73" s="41"/>
      <c r="MIC73" s="41"/>
      <c r="MID73" s="41"/>
      <c r="MIE73" s="41"/>
      <c r="MIF73" s="41"/>
      <c r="MKB73" s="39"/>
      <c r="MKE73" s="41"/>
      <c r="MKF73" s="41"/>
      <c r="MKG73" s="41"/>
      <c r="MKH73" s="41"/>
      <c r="MKI73" s="41"/>
      <c r="MME73" s="39"/>
      <c r="MMH73" s="41"/>
      <c r="MMI73" s="41"/>
      <c r="MMJ73" s="41"/>
      <c r="MMK73" s="41"/>
      <c r="MML73" s="41"/>
      <c r="MOH73" s="39"/>
      <c r="MOK73" s="41"/>
      <c r="MOL73" s="41"/>
      <c r="MOM73" s="41"/>
      <c r="MON73" s="41"/>
      <c r="MOO73" s="41"/>
      <c r="MQK73" s="39"/>
      <c r="MQN73" s="41"/>
      <c r="MQO73" s="41"/>
      <c r="MQP73" s="41"/>
      <c r="MQQ73" s="41"/>
      <c r="MQR73" s="41"/>
      <c r="MSN73" s="39"/>
      <c r="MSQ73" s="41"/>
      <c r="MSR73" s="41"/>
      <c r="MSS73" s="41"/>
      <c r="MST73" s="41"/>
      <c r="MSU73" s="41"/>
      <c r="MUQ73" s="39"/>
      <c r="MUT73" s="41"/>
      <c r="MUU73" s="41"/>
      <c r="MUV73" s="41"/>
      <c r="MUW73" s="41"/>
      <c r="MUX73" s="41"/>
      <c r="MWT73" s="39"/>
      <c r="MWW73" s="41"/>
      <c r="MWX73" s="41"/>
      <c r="MWY73" s="41"/>
      <c r="MWZ73" s="41"/>
      <c r="MXA73" s="41"/>
      <c r="MYW73" s="39"/>
      <c r="MYZ73" s="41"/>
      <c r="MZA73" s="41"/>
      <c r="MZB73" s="41"/>
      <c r="MZC73" s="41"/>
      <c r="MZD73" s="41"/>
      <c r="NAZ73" s="39"/>
      <c r="NBC73" s="41"/>
      <c r="NBD73" s="41"/>
      <c r="NBE73" s="41"/>
      <c r="NBF73" s="41"/>
      <c r="NBG73" s="41"/>
      <c r="NDC73" s="39"/>
      <c r="NDF73" s="41"/>
      <c r="NDG73" s="41"/>
      <c r="NDH73" s="41"/>
      <c r="NDI73" s="41"/>
      <c r="NDJ73" s="41"/>
      <c r="NFF73" s="39"/>
      <c r="NFI73" s="41"/>
      <c r="NFJ73" s="41"/>
      <c r="NFK73" s="41"/>
      <c r="NFL73" s="41"/>
      <c r="NFM73" s="41"/>
      <c r="NHI73" s="39"/>
      <c r="NHL73" s="41"/>
      <c r="NHM73" s="41"/>
      <c r="NHN73" s="41"/>
      <c r="NHO73" s="41"/>
      <c r="NHP73" s="41"/>
      <c r="NJL73" s="39"/>
      <c r="NJO73" s="41"/>
      <c r="NJP73" s="41"/>
      <c r="NJQ73" s="41"/>
      <c r="NJR73" s="41"/>
      <c r="NJS73" s="41"/>
      <c r="NLO73" s="39"/>
      <c r="NLR73" s="41"/>
      <c r="NLS73" s="41"/>
      <c r="NLT73" s="41"/>
      <c r="NLU73" s="41"/>
      <c r="NLV73" s="41"/>
      <c r="NNR73" s="39"/>
      <c r="NNU73" s="41"/>
      <c r="NNV73" s="41"/>
      <c r="NNW73" s="41"/>
      <c r="NNX73" s="41"/>
      <c r="NNY73" s="41"/>
      <c r="NPU73" s="39"/>
      <c r="NPX73" s="41"/>
      <c r="NPY73" s="41"/>
      <c r="NPZ73" s="41"/>
      <c r="NQA73" s="41"/>
      <c r="NQB73" s="41"/>
      <c r="NRX73" s="39"/>
      <c r="NSA73" s="41"/>
      <c r="NSB73" s="41"/>
      <c r="NSC73" s="41"/>
      <c r="NSD73" s="41"/>
      <c r="NSE73" s="41"/>
      <c r="NUA73" s="39"/>
      <c r="NUD73" s="41"/>
      <c r="NUE73" s="41"/>
      <c r="NUF73" s="41"/>
      <c r="NUG73" s="41"/>
      <c r="NUH73" s="41"/>
      <c r="NWD73" s="39"/>
      <c r="NWG73" s="41"/>
      <c r="NWH73" s="41"/>
      <c r="NWI73" s="41"/>
      <c r="NWJ73" s="41"/>
      <c r="NWK73" s="41"/>
      <c r="NYG73" s="39"/>
      <c r="NYJ73" s="41"/>
      <c r="NYK73" s="41"/>
      <c r="NYL73" s="41"/>
      <c r="NYM73" s="41"/>
      <c r="NYN73" s="41"/>
      <c r="OAJ73" s="39"/>
      <c r="OAM73" s="41"/>
      <c r="OAN73" s="41"/>
      <c r="OAO73" s="41"/>
      <c r="OAP73" s="41"/>
      <c r="OAQ73" s="41"/>
      <c r="OCM73" s="39"/>
      <c r="OCP73" s="41"/>
      <c r="OCQ73" s="41"/>
      <c r="OCR73" s="41"/>
      <c r="OCS73" s="41"/>
      <c r="OCT73" s="41"/>
      <c r="OEP73" s="39"/>
      <c r="OES73" s="41"/>
      <c r="OET73" s="41"/>
      <c r="OEU73" s="41"/>
      <c r="OEV73" s="41"/>
      <c r="OEW73" s="41"/>
      <c r="OGS73" s="39"/>
      <c r="OGV73" s="41"/>
      <c r="OGW73" s="41"/>
      <c r="OGX73" s="41"/>
      <c r="OGY73" s="41"/>
      <c r="OGZ73" s="41"/>
      <c r="OIV73" s="39"/>
      <c r="OIY73" s="41"/>
      <c r="OIZ73" s="41"/>
      <c r="OJA73" s="41"/>
      <c r="OJB73" s="41"/>
      <c r="OJC73" s="41"/>
      <c r="OKY73" s="39"/>
      <c r="OLB73" s="41"/>
      <c r="OLC73" s="41"/>
      <c r="OLD73" s="41"/>
      <c r="OLE73" s="41"/>
      <c r="OLF73" s="41"/>
      <c r="ONB73" s="39"/>
      <c r="ONE73" s="41"/>
      <c r="ONF73" s="41"/>
      <c r="ONG73" s="41"/>
      <c r="ONH73" s="41"/>
      <c r="ONI73" s="41"/>
      <c r="OPE73" s="39"/>
      <c r="OPH73" s="41"/>
      <c r="OPI73" s="41"/>
      <c r="OPJ73" s="41"/>
      <c r="OPK73" s="41"/>
      <c r="OPL73" s="41"/>
      <c r="ORH73" s="39"/>
      <c r="ORK73" s="41"/>
      <c r="ORL73" s="41"/>
      <c r="ORM73" s="41"/>
      <c r="ORN73" s="41"/>
      <c r="ORO73" s="41"/>
      <c r="OTK73" s="39"/>
      <c r="OTN73" s="41"/>
      <c r="OTO73" s="41"/>
      <c r="OTP73" s="41"/>
      <c r="OTQ73" s="41"/>
      <c r="OTR73" s="41"/>
      <c r="OVN73" s="39"/>
      <c r="OVQ73" s="41"/>
      <c r="OVR73" s="41"/>
      <c r="OVS73" s="41"/>
      <c r="OVT73" s="41"/>
      <c r="OVU73" s="41"/>
      <c r="OXQ73" s="39"/>
      <c r="OXT73" s="41"/>
      <c r="OXU73" s="41"/>
      <c r="OXV73" s="41"/>
      <c r="OXW73" s="41"/>
      <c r="OXX73" s="41"/>
      <c r="OZT73" s="39"/>
      <c r="OZW73" s="41"/>
      <c r="OZX73" s="41"/>
      <c r="OZY73" s="41"/>
      <c r="OZZ73" s="41"/>
      <c r="PAA73" s="41"/>
      <c r="PBW73" s="39"/>
      <c r="PBZ73" s="41"/>
      <c r="PCA73" s="41"/>
      <c r="PCB73" s="41"/>
      <c r="PCC73" s="41"/>
      <c r="PCD73" s="41"/>
      <c r="PDZ73" s="39"/>
      <c r="PEC73" s="41"/>
      <c r="PED73" s="41"/>
      <c r="PEE73" s="41"/>
      <c r="PEF73" s="41"/>
      <c r="PEG73" s="41"/>
      <c r="PGC73" s="39"/>
      <c r="PGF73" s="41"/>
      <c r="PGG73" s="41"/>
      <c r="PGH73" s="41"/>
      <c r="PGI73" s="41"/>
      <c r="PGJ73" s="41"/>
      <c r="PIF73" s="39"/>
      <c r="PII73" s="41"/>
      <c r="PIJ73" s="41"/>
      <c r="PIK73" s="41"/>
      <c r="PIL73" s="41"/>
      <c r="PIM73" s="41"/>
      <c r="PKI73" s="39"/>
      <c r="PKL73" s="41"/>
      <c r="PKM73" s="41"/>
      <c r="PKN73" s="41"/>
      <c r="PKO73" s="41"/>
      <c r="PKP73" s="41"/>
      <c r="PML73" s="39"/>
      <c r="PMO73" s="41"/>
      <c r="PMP73" s="41"/>
      <c r="PMQ73" s="41"/>
      <c r="PMR73" s="41"/>
      <c r="PMS73" s="41"/>
      <c r="POO73" s="39"/>
      <c r="POR73" s="41"/>
      <c r="POS73" s="41"/>
      <c r="POT73" s="41"/>
      <c r="POU73" s="41"/>
      <c r="POV73" s="41"/>
      <c r="PQR73" s="39"/>
      <c r="PQU73" s="41"/>
      <c r="PQV73" s="41"/>
      <c r="PQW73" s="41"/>
      <c r="PQX73" s="41"/>
      <c r="PQY73" s="41"/>
      <c r="PSU73" s="39"/>
      <c r="PSX73" s="41"/>
      <c r="PSY73" s="41"/>
      <c r="PSZ73" s="41"/>
      <c r="PTA73" s="41"/>
      <c r="PTB73" s="41"/>
      <c r="PUX73" s="39"/>
      <c r="PVA73" s="41"/>
      <c r="PVB73" s="41"/>
      <c r="PVC73" s="41"/>
      <c r="PVD73" s="41"/>
      <c r="PVE73" s="41"/>
      <c r="PXA73" s="39"/>
      <c r="PXD73" s="41"/>
      <c r="PXE73" s="41"/>
      <c r="PXF73" s="41"/>
      <c r="PXG73" s="41"/>
      <c r="PXH73" s="41"/>
      <c r="PZD73" s="39"/>
      <c r="PZG73" s="41"/>
      <c r="PZH73" s="41"/>
      <c r="PZI73" s="41"/>
      <c r="PZJ73" s="41"/>
      <c r="PZK73" s="41"/>
      <c r="QBG73" s="39"/>
      <c r="QBJ73" s="41"/>
      <c r="QBK73" s="41"/>
      <c r="QBL73" s="41"/>
      <c r="QBM73" s="41"/>
      <c r="QBN73" s="41"/>
      <c r="QDJ73" s="39"/>
      <c r="QDM73" s="41"/>
      <c r="QDN73" s="41"/>
      <c r="QDO73" s="41"/>
      <c r="QDP73" s="41"/>
      <c r="QDQ73" s="41"/>
      <c r="QFM73" s="39"/>
      <c r="QFP73" s="41"/>
      <c r="QFQ73" s="41"/>
      <c r="QFR73" s="41"/>
      <c r="QFS73" s="41"/>
      <c r="QFT73" s="41"/>
      <c r="QHP73" s="39"/>
      <c r="QHS73" s="41"/>
      <c r="QHT73" s="41"/>
      <c r="QHU73" s="41"/>
      <c r="QHV73" s="41"/>
      <c r="QHW73" s="41"/>
      <c r="QJS73" s="39"/>
      <c r="QJV73" s="41"/>
      <c r="QJW73" s="41"/>
      <c r="QJX73" s="41"/>
      <c r="QJY73" s="41"/>
      <c r="QJZ73" s="41"/>
      <c r="QLV73" s="39"/>
      <c r="QLY73" s="41"/>
      <c r="QLZ73" s="41"/>
      <c r="QMA73" s="41"/>
      <c r="QMB73" s="41"/>
      <c r="QMC73" s="41"/>
      <c r="QNY73" s="39"/>
      <c r="QOB73" s="41"/>
      <c r="QOC73" s="41"/>
      <c r="QOD73" s="41"/>
      <c r="QOE73" s="41"/>
      <c r="QOF73" s="41"/>
      <c r="QQB73" s="39"/>
      <c r="QQE73" s="41"/>
      <c r="QQF73" s="41"/>
      <c r="QQG73" s="41"/>
      <c r="QQH73" s="41"/>
      <c r="QQI73" s="41"/>
      <c r="QSE73" s="39"/>
      <c r="QSH73" s="41"/>
      <c r="QSI73" s="41"/>
      <c r="QSJ73" s="41"/>
      <c r="QSK73" s="41"/>
      <c r="QSL73" s="41"/>
      <c r="QUH73" s="39"/>
      <c r="QUK73" s="41"/>
      <c r="QUL73" s="41"/>
      <c r="QUM73" s="41"/>
      <c r="QUN73" s="41"/>
      <c r="QUO73" s="41"/>
      <c r="QWK73" s="39"/>
      <c r="QWN73" s="41"/>
      <c r="QWO73" s="41"/>
      <c r="QWP73" s="41"/>
      <c r="QWQ73" s="41"/>
      <c r="QWR73" s="41"/>
      <c r="QYN73" s="39"/>
      <c r="QYQ73" s="41"/>
      <c r="QYR73" s="41"/>
      <c r="QYS73" s="41"/>
      <c r="QYT73" s="41"/>
      <c r="QYU73" s="41"/>
      <c r="RAQ73" s="39"/>
      <c r="RAT73" s="41"/>
      <c r="RAU73" s="41"/>
      <c r="RAV73" s="41"/>
      <c r="RAW73" s="41"/>
      <c r="RAX73" s="41"/>
      <c r="RCT73" s="39"/>
      <c r="RCW73" s="41"/>
      <c r="RCX73" s="41"/>
      <c r="RCY73" s="41"/>
      <c r="RCZ73" s="41"/>
      <c r="RDA73" s="41"/>
      <c r="REW73" s="39"/>
      <c r="REZ73" s="41"/>
      <c r="RFA73" s="41"/>
      <c r="RFB73" s="41"/>
      <c r="RFC73" s="41"/>
      <c r="RFD73" s="41"/>
      <c r="RGZ73" s="39"/>
      <c r="RHC73" s="41"/>
      <c r="RHD73" s="41"/>
      <c r="RHE73" s="41"/>
      <c r="RHF73" s="41"/>
      <c r="RHG73" s="41"/>
      <c r="RJC73" s="39"/>
      <c r="RJF73" s="41"/>
      <c r="RJG73" s="41"/>
      <c r="RJH73" s="41"/>
      <c r="RJI73" s="41"/>
      <c r="RJJ73" s="41"/>
      <c r="RLF73" s="39"/>
      <c r="RLI73" s="41"/>
      <c r="RLJ73" s="41"/>
      <c r="RLK73" s="41"/>
      <c r="RLL73" s="41"/>
      <c r="RLM73" s="41"/>
      <c r="RNI73" s="39"/>
      <c r="RNL73" s="41"/>
      <c r="RNM73" s="41"/>
      <c r="RNN73" s="41"/>
      <c r="RNO73" s="41"/>
      <c r="RNP73" s="41"/>
      <c r="RPL73" s="39"/>
      <c r="RPO73" s="41"/>
      <c r="RPP73" s="41"/>
      <c r="RPQ73" s="41"/>
      <c r="RPR73" s="41"/>
      <c r="RPS73" s="41"/>
      <c r="RRO73" s="39"/>
      <c r="RRR73" s="41"/>
      <c r="RRS73" s="41"/>
      <c r="RRT73" s="41"/>
      <c r="RRU73" s="41"/>
      <c r="RRV73" s="41"/>
      <c r="RTR73" s="39"/>
      <c r="RTU73" s="41"/>
      <c r="RTV73" s="41"/>
      <c r="RTW73" s="41"/>
      <c r="RTX73" s="41"/>
      <c r="RTY73" s="41"/>
      <c r="RVU73" s="39"/>
      <c r="RVX73" s="41"/>
      <c r="RVY73" s="41"/>
      <c r="RVZ73" s="41"/>
      <c r="RWA73" s="41"/>
      <c r="RWB73" s="41"/>
      <c r="RXX73" s="39"/>
      <c r="RYA73" s="41"/>
      <c r="RYB73" s="41"/>
      <c r="RYC73" s="41"/>
      <c r="RYD73" s="41"/>
      <c r="RYE73" s="41"/>
      <c r="SAA73" s="39"/>
      <c r="SAD73" s="41"/>
      <c r="SAE73" s="41"/>
      <c r="SAF73" s="41"/>
      <c r="SAG73" s="41"/>
      <c r="SAH73" s="41"/>
      <c r="SCD73" s="39"/>
      <c r="SCG73" s="41"/>
      <c r="SCH73" s="41"/>
      <c r="SCI73" s="41"/>
      <c r="SCJ73" s="41"/>
      <c r="SCK73" s="41"/>
      <c r="SEG73" s="39"/>
      <c r="SEJ73" s="41"/>
      <c r="SEK73" s="41"/>
      <c r="SEL73" s="41"/>
      <c r="SEM73" s="41"/>
      <c r="SEN73" s="41"/>
      <c r="SGJ73" s="39"/>
      <c r="SGM73" s="41"/>
      <c r="SGN73" s="41"/>
      <c r="SGO73" s="41"/>
      <c r="SGP73" s="41"/>
      <c r="SGQ73" s="41"/>
      <c r="SIM73" s="39"/>
      <c r="SIP73" s="41"/>
      <c r="SIQ73" s="41"/>
      <c r="SIR73" s="41"/>
      <c r="SIS73" s="41"/>
      <c r="SIT73" s="41"/>
      <c r="SKP73" s="39"/>
      <c r="SKS73" s="41"/>
      <c r="SKT73" s="41"/>
      <c r="SKU73" s="41"/>
      <c r="SKV73" s="41"/>
      <c r="SKW73" s="41"/>
      <c r="SMS73" s="39"/>
      <c r="SMV73" s="41"/>
      <c r="SMW73" s="41"/>
      <c r="SMX73" s="41"/>
      <c r="SMY73" s="41"/>
      <c r="SMZ73" s="41"/>
      <c r="SOV73" s="39"/>
      <c r="SOY73" s="41"/>
      <c r="SOZ73" s="41"/>
      <c r="SPA73" s="41"/>
      <c r="SPB73" s="41"/>
      <c r="SPC73" s="41"/>
      <c r="SQY73" s="39"/>
      <c r="SRB73" s="41"/>
      <c r="SRC73" s="41"/>
      <c r="SRD73" s="41"/>
      <c r="SRE73" s="41"/>
      <c r="SRF73" s="41"/>
      <c r="STB73" s="39"/>
      <c r="STE73" s="41"/>
      <c r="STF73" s="41"/>
      <c r="STG73" s="41"/>
      <c r="STH73" s="41"/>
      <c r="STI73" s="41"/>
      <c r="SVE73" s="39"/>
      <c r="SVH73" s="41"/>
      <c r="SVI73" s="41"/>
      <c r="SVJ73" s="41"/>
      <c r="SVK73" s="41"/>
      <c r="SVL73" s="41"/>
      <c r="SXH73" s="39"/>
      <c r="SXK73" s="41"/>
      <c r="SXL73" s="41"/>
      <c r="SXM73" s="41"/>
      <c r="SXN73" s="41"/>
      <c r="SXO73" s="41"/>
      <c r="SZK73" s="39"/>
      <c r="SZN73" s="41"/>
      <c r="SZO73" s="41"/>
      <c r="SZP73" s="41"/>
      <c r="SZQ73" s="41"/>
      <c r="SZR73" s="41"/>
      <c r="TBN73" s="39"/>
      <c r="TBQ73" s="41"/>
      <c r="TBR73" s="41"/>
      <c r="TBS73" s="41"/>
      <c r="TBT73" s="41"/>
      <c r="TBU73" s="41"/>
      <c r="TDQ73" s="39"/>
      <c r="TDT73" s="41"/>
      <c r="TDU73" s="41"/>
      <c r="TDV73" s="41"/>
      <c r="TDW73" s="41"/>
      <c r="TDX73" s="41"/>
      <c r="TFT73" s="39"/>
      <c r="TFW73" s="41"/>
      <c r="TFX73" s="41"/>
      <c r="TFY73" s="41"/>
      <c r="TFZ73" s="41"/>
      <c r="TGA73" s="41"/>
      <c r="THW73" s="39"/>
      <c r="THZ73" s="41"/>
      <c r="TIA73" s="41"/>
      <c r="TIB73" s="41"/>
      <c r="TIC73" s="41"/>
      <c r="TID73" s="41"/>
      <c r="TJZ73" s="39"/>
      <c r="TKC73" s="41"/>
      <c r="TKD73" s="41"/>
      <c r="TKE73" s="41"/>
      <c r="TKF73" s="41"/>
      <c r="TKG73" s="41"/>
      <c r="TMC73" s="39"/>
      <c r="TMF73" s="41"/>
      <c r="TMG73" s="41"/>
      <c r="TMH73" s="41"/>
      <c r="TMI73" s="41"/>
      <c r="TMJ73" s="41"/>
      <c r="TOF73" s="39"/>
      <c r="TOI73" s="41"/>
      <c r="TOJ73" s="41"/>
      <c r="TOK73" s="41"/>
      <c r="TOL73" s="41"/>
      <c r="TOM73" s="41"/>
      <c r="TQI73" s="39"/>
      <c r="TQL73" s="41"/>
      <c r="TQM73" s="41"/>
      <c r="TQN73" s="41"/>
      <c r="TQO73" s="41"/>
      <c r="TQP73" s="41"/>
      <c r="TSL73" s="39"/>
      <c r="TSO73" s="41"/>
      <c r="TSP73" s="41"/>
      <c r="TSQ73" s="41"/>
      <c r="TSR73" s="41"/>
      <c r="TSS73" s="41"/>
      <c r="TUO73" s="39"/>
      <c r="TUR73" s="41"/>
      <c r="TUS73" s="41"/>
      <c r="TUT73" s="41"/>
      <c r="TUU73" s="41"/>
      <c r="TUV73" s="41"/>
      <c r="TWR73" s="39"/>
      <c r="TWU73" s="41"/>
      <c r="TWV73" s="41"/>
      <c r="TWW73" s="41"/>
      <c r="TWX73" s="41"/>
      <c r="TWY73" s="41"/>
      <c r="TYU73" s="39"/>
      <c r="TYX73" s="41"/>
      <c r="TYY73" s="41"/>
      <c r="TYZ73" s="41"/>
      <c r="TZA73" s="41"/>
      <c r="TZB73" s="41"/>
      <c r="UAX73" s="39"/>
      <c r="UBA73" s="41"/>
      <c r="UBB73" s="41"/>
      <c r="UBC73" s="41"/>
      <c r="UBD73" s="41"/>
      <c r="UBE73" s="41"/>
      <c r="UDA73" s="39"/>
      <c r="UDD73" s="41"/>
      <c r="UDE73" s="41"/>
      <c r="UDF73" s="41"/>
      <c r="UDG73" s="41"/>
      <c r="UDH73" s="41"/>
      <c r="UFD73" s="39"/>
      <c r="UFG73" s="41"/>
      <c r="UFH73" s="41"/>
      <c r="UFI73" s="41"/>
      <c r="UFJ73" s="41"/>
      <c r="UFK73" s="41"/>
      <c r="UHG73" s="39"/>
      <c r="UHJ73" s="41"/>
      <c r="UHK73" s="41"/>
      <c r="UHL73" s="41"/>
      <c r="UHM73" s="41"/>
      <c r="UHN73" s="41"/>
      <c r="UJJ73" s="39"/>
      <c r="UJM73" s="41"/>
      <c r="UJN73" s="41"/>
      <c r="UJO73" s="41"/>
      <c r="UJP73" s="41"/>
      <c r="UJQ73" s="41"/>
      <c r="ULM73" s="39"/>
      <c r="ULP73" s="41"/>
      <c r="ULQ73" s="41"/>
      <c r="ULR73" s="41"/>
      <c r="ULS73" s="41"/>
      <c r="ULT73" s="41"/>
      <c r="UNP73" s="39"/>
      <c r="UNS73" s="41"/>
      <c r="UNT73" s="41"/>
      <c r="UNU73" s="41"/>
      <c r="UNV73" s="41"/>
      <c r="UNW73" s="41"/>
      <c r="UPS73" s="39"/>
      <c r="UPV73" s="41"/>
      <c r="UPW73" s="41"/>
      <c r="UPX73" s="41"/>
      <c r="UPY73" s="41"/>
      <c r="UPZ73" s="41"/>
      <c r="URV73" s="39"/>
      <c r="URY73" s="41"/>
      <c r="URZ73" s="41"/>
      <c r="USA73" s="41"/>
      <c r="USB73" s="41"/>
      <c r="USC73" s="41"/>
      <c r="UTY73" s="39"/>
      <c r="UUB73" s="41"/>
      <c r="UUC73" s="41"/>
      <c r="UUD73" s="41"/>
      <c r="UUE73" s="41"/>
      <c r="UUF73" s="41"/>
      <c r="UWB73" s="39"/>
      <c r="UWE73" s="41"/>
      <c r="UWF73" s="41"/>
      <c r="UWG73" s="41"/>
      <c r="UWH73" s="41"/>
      <c r="UWI73" s="41"/>
      <c r="UYE73" s="39"/>
      <c r="UYH73" s="41"/>
      <c r="UYI73" s="41"/>
      <c r="UYJ73" s="41"/>
      <c r="UYK73" s="41"/>
      <c r="UYL73" s="41"/>
      <c r="VAH73" s="39"/>
      <c r="VAK73" s="41"/>
      <c r="VAL73" s="41"/>
      <c r="VAM73" s="41"/>
      <c r="VAN73" s="41"/>
      <c r="VAO73" s="41"/>
      <c r="VCK73" s="39"/>
      <c r="VCN73" s="41"/>
      <c r="VCO73" s="41"/>
      <c r="VCP73" s="41"/>
      <c r="VCQ73" s="41"/>
      <c r="VCR73" s="41"/>
      <c r="VEN73" s="39"/>
      <c r="VEQ73" s="41"/>
      <c r="VER73" s="41"/>
      <c r="VES73" s="41"/>
      <c r="VET73" s="41"/>
      <c r="VEU73" s="41"/>
      <c r="VGQ73" s="39"/>
      <c r="VGT73" s="41"/>
      <c r="VGU73" s="41"/>
      <c r="VGV73" s="41"/>
      <c r="VGW73" s="41"/>
      <c r="VGX73" s="41"/>
      <c r="VIT73" s="39"/>
      <c r="VIW73" s="41"/>
      <c r="VIX73" s="41"/>
      <c r="VIY73" s="41"/>
      <c r="VIZ73" s="41"/>
      <c r="VJA73" s="41"/>
      <c r="VKW73" s="39"/>
      <c r="VKZ73" s="41"/>
      <c r="VLA73" s="41"/>
      <c r="VLB73" s="41"/>
      <c r="VLC73" s="41"/>
      <c r="VLD73" s="41"/>
      <c r="VMZ73" s="39"/>
      <c r="VNC73" s="41"/>
      <c r="VND73" s="41"/>
      <c r="VNE73" s="41"/>
      <c r="VNF73" s="41"/>
      <c r="VNG73" s="41"/>
      <c r="VPC73" s="39"/>
      <c r="VPF73" s="41"/>
      <c r="VPG73" s="41"/>
      <c r="VPH73" s="41"/>
      <c r="VPI73" s="41"/>
      <c r="VPJ73" s="41"/>
      <c r="VRF73" s="39"/>
      <c r="VRI73" s="41"/>
      <c r="VRJ73" s="41"/>
      <c r="VRK73" s="41"/>
      <c r="VRL73" s="41"/>
      <c r="VRM73" s="41"/>
      <c r="VTI73" s="39"/>
      <c r="VTL73" s="41"/>
      <c r="VTM73" s="41"/>
      <c r="VTN73" s="41"/>
      <c r="VTO73" s="41"/>
      <c r="VTP73" s="41"/>
      <c r="VVL73" s="39"/>
      <c r="VVO73" s="41"/>
      <c r="VVP73" s="41"/>
      <c r="VVQ73" s="41"/>
      <c r="VVR73" s="41"/>
      <c r="VVS73" s="41"/>
      <c r="VXO73" s="39"/>
      <c r="VXR73" s="41"/>
      <c r="VXS73" s="41"/>
      <c r="VXT73" s="41"/>
      <c r="VXU73" s="41"/>
      <c r="VXV73" s="41"/>
      <c r="VZR73" s="39"/>
      <c r="VZU73" s="41"/>
      <c r="VZV73" s="41"/>
      <c r="VZW73" s="41"/>
      <c r="VZX73" s="41"/>
      <c r="VZY73" s="41"/>
      <c r="WBU73" s="39"/>
      <c r="WBX73" s="41"/>
      <c r="WBY73" s="41"/>
      <c r="WBZ73" s="41"/>
      <c r="WCA73" s="41"/>
      <c r="WCB73" s="41"/>
      <c r="WDX73" s="39"/>
      <c r="WEA73" s="41"/>
      <c r="WEB73" s="41"/>
      <c r="WEC73" s="41"/>
      <c r="WED73" s="41"/>
      <c r="WEE73" s="41"/>
      <c r="WGA73" s="39"/>
      <c r="WGD73" s="41"/>
      <c r="WGE73" s="41"/>
      <c r="WGF73" s="41"/>
      <c r="WGG73" s="41"/>
      <c r="WGH73" s="41"/>
      <c r="WID73" s="39"/>
      <c r="WIG73" s="41"/>
      <c r="WIH73" s="41"/>
      <c r="WII73" s="41"/>
      <c r="WIJ73" s="41"/>
      <c r="WIK73" s="41"/>
      <c r="WKG73" s="39"/>
      <c r="WKJ73" s="41"/>
      <c r="WKK73" s="41"/>
      <c r="WKL73" s="41"/>
      <c r="WKM73" s="41"/>
      <c r="WKN73" s="41"/>
      <c r="WMJ73" s="39"/>
      <c r="WMM73" s="41"/>
      <c r="WMN73" s="41"/>
      <c r="WMO73" s="41"/>
      <c r="WMP73" s="41"/>
      <c r="WMQ73" s="41"/>
      <c r="WOM73" s="39"/>
      <c r="WOP73" s="41"/>
      <c r="WOQ73" s="41"/>
      <c r="WOR73" s="41"/>
      <c r="WOS73" s="41"/>
      <c r="WOT73" s="41"/>
      <c r="WQP73" s="39"/>
      <c r="WQS73" s="41"/>
      <c r="WQT73" s="41"/>
      <c r="WQU73" s="41"/>
      <c r="WQV73" s="41"/>
      <c r="WQW73" s="41"/>
      <c r="WSS73" s="39"/>
      <c r="WSV73" s="41"/>
      <c r="WSW73" s="41"/>
      <c r="WSX73" s="41"/>
      <c r="WSY73" s="41"/>
      <c r="WSZ73" s="41"/>
      <c r="WUV73" s="39"/>
      <c r="WUY73" s="41"/>
      <c r="WUZ73" s="41"/>
      <c r="WVA73" s="41"/>
      <c r="WVB73" s="41"/>
      <c r="WVC73" s="41"/>
      <c r="WWY73" s="39"/>
      <c r="WXB73" s="41"/>
      <c r="WXC73" s="41"/>
      <c r="WXD73" s="41"/>
      <c r="WXE73" s="41"/>
      <c r="WXF73" s="41"/>
      <c r="WZB73" s="39"/>
      <c r="WZE73" s="41"/>
      <c r="WZF73" s="41"/>
      <c r="WZG73" s="41"/>
      <c r="WZH73" s="41"/>
      <c r="WZI73" s="41"/>
      <c r="XBE73" s="39"/>
      <c r="XBH73" s="41"/>
      <c r="XBI73" s="41"/>
      <c r="XBJ73" s="41"/>
      <c r="XBK73" s="41"/>
      <c r="XBL73" s="41"/>
      <c r="XDH73" s="39"/>
      <c r="XDK73" s="41"/>
      <c r="XDL73" s="41"/>
      <c r="XDM73" s="41"/>
      <c r="XDN73" s="41"/>
      <c r="XDO73" s="41"/>
    </row>
    <row r="74" spans="1:998 1046:2043 2091:3033 3081:4078 4126:6113 6161:7158 7206:8148 8196:9193 9241:10238 10286:11228 11276:12273 12321:13311 13314:14308 14356:15353 15401:16343" s="40" customFormat="1" ht="15" customHeight="1" x14ac:dyDescent="0.25">
      <c r="A74" s="22" t="s">
        <v>546</v>
      </c>
      <c r="B74" s="23">
        <v>600</v>
      </c>
      <c r="C74" s="23">
        <v>40</v>
      </c>
      <c r="D74" s="24">
        <v>30</v>
      </c>
      <c r="E74" s="24" t="s">
        <v>469</v>
      </c>
      <c r="F74" s="24">
        <v>0</v>
      </c>
      <c r="G74" s="24">
        <f t="shared" si="18"/>
        <v>480</v>
      </c>
      <c r="H74" s="24">
        <f t="shared" si="19"/>
        <v>247</v>
      </c>
      <c r="I74" s="23">
        <f t="shared" si="20"/>
        <v>235</v>
      </c>
      <c r="J74" s="23">
        <f t="shared" si="21"/>
        <v>25.714285714285715</v>
      </c>
      <c r="K74" s="23">
        <v>2.5</v>
      </c>
      <c r="L74" s="23">
        <v>14</v>
      </c>
      <c r="M74" s="23">
        <v>16</v>
      </c>
      <c r="N74" s="23">
        <f t="shared" si="22"/>
        <v>11.25</v>
      </c>
      <c r="O74" s="23">
        <f t="shared" si="23"/>
        <v>16</v>
      </c>
      <c r="P74" s="23">
        <f t="shared" si="24"/>
        <v>32</v>
      </c>
      <c r="Q74" s="23">
        <f t="shared" si="25"/>
        <v>32</v>
      </c>
      <c r="R74" s="23">
        <f t="shared" si="26"/>
        <v>16</v>
      </c>
      <c r="BD74" s="39"/>
      <c r="BG74" s="41"/>
      <c r="BH74" s="41"/>
      <c r="BI74" s="41"/>
      <c r="BJ74" s="41"/>
      <c r="BK74" s="41"/>
      <c r="DG74" s="39"/>
      <c r="DJ74" s="41"/>
      <c r="DK74" s="41"/>
      <c r="DL74" s="41"/>
      <c r="DM74" s="41"/>
      <c r="DN74" s="41"/>
      <c r="FJ74" s="39"/>
      <c r="FM74" s="41"/>
      <c r="FN74" s="41"/>
      <c r="FO74" s="41"/>
      <c r="FP74" s="41"/>
      <c r="FQ74" s="41"/>
      <c r="HM74" s="39"/>
      <c r="HP74" s="41"/>
      <c r="HQ74" s="41"/>
      <c r="HR74" s="41"/>
      <c r="HS74" s="41"/>
      <c r="HT74" s="41"/>
      <c r="JP74" s="39"/>
      <c r="JS74" s="41"/>
      <c r="JT74" s="41"/>
      <c r="JU74" s="41"/>
      <c r="JV74" s="41"/>
      <c r="JW74" s="41"/>
      <c r="LS74" s="39"/>
      <c r="LV74" s="41"/>
      <c r="LW74" s="41"/>
      <c r="LX74" s="41"/>
      <c r="LY74" s="41"/>
      <c r="LZ74" s="41"/>
      <c r="NV74" s="39"/>
      <c r="NY74" s="41"/>
      <c r="NZ74" s="41"/>
      <c r="OA74" s="41"/>
      <c r="OB74" s="41"/>
      <c r="OC74" s="41"/>
      <c r="PY74" s="39"/>
      <c r="QB74" s="41"/>
      <c r="QC74" s="41"/>
      <c r="QD74" s="41"/>
      <c r="QE74" s="41"/>
      <c r="QF74" s="41"/>
      <c r="SB74" s="39"/>
      <c r="SE74" s="41"/>
      <c r="SF74" s="41"/>
      <c r="SG74" s="41"/>
      <c r="SH74" s="41"/>
      <c r="SI74" s="41"/>
      <c r="UE74" s="39"/>
      <c r="UH74" s="41"/>
      <c r="UI74" s="41"/>
      <c r="UJ74" s="41"/>
      <c r="UK74" s="41"/>
      <c r="UL74" s="41"/>
      <c r="WH74" s="39"/>
      <c r="WK74" s="41"/>
      <c r="WL74" s="41"/>
      <c r="WM74" s="41"/>
      <c r="WN74" s="41"/>
      <c r="WO74" s="41"/>
      <c r="YK74" s="39"/>
      <c r="YN74" s="41"/>
      <c r="YO74" s="41"/>
      <c r="YP74" s="41"/>
      <c r="YQ74" s="41"/>
      <c r="YR74" s="41"/>
      <c r="AAN74" s="39"/>
      <c r="AAQ74" s="41"/>
      <c r="AAR74" s="41"/>
      <c r="AAS74" s="41"/>
      <c r="AAT74" s="41"/>
      <c r="AAU74" s="41"/>
      <c r="ACQ74" s="39"/>
      <c r="ACT74" s="41"/>
      <c r="ACU74" s="41"/>
      <c r="ACV74" s="41"/>
      <c r="ACW74" s="41"/>
      <c r="ACX74" s="41"/>
      <c r="AET74" s="39"/>
      <c r="AEW74" s="41"/>
      <c r="AEX74" s="41"/>
      <c r="AEY74" s="41"/>
      <c r="AEZ74" s="41"/>
      <c r="AFA74" s="41"/>
      <c r="AGW74" s="39"/>
      <c r="AGZ74" s="41"/>
      <c r="AHA74" s="41"/>
      <c r="AHB74" s="41"/>
      <c r="AHC74" s="41"/>
      <c r="AHD74" s="41"/>
      <c r="AIZ74" s="39"/>
      <c r="AJC74" s="41"/>
      <c r="AJD74" s="41"/>
      <c r="AJE74" s="41"/>
      <c r="AJF74" s="41"/>
      <c r="AJG74" s="41"/>
      <c r="ALC74" s="39"/>
      <c r="ALF74" s="41"/>
      <c r="ALG74" s="41"/>
      <c r="ALH74" s="41"/>
      <c r="ALI74" s="41"/>
      <c r="ALJ74" s="41"/>
      <c r="ANF74" s="39"/>
      <c r="ANI74" s="41"/>
      <c r="ANJ74" s="41"/>
      <c r="ANK74" s="41"/>
      <c r="ANL74" s="41"/>
      <c r="ANM74" s="41"/>
      <c r="API74" s="39"/>
      <c r="APL74" s="41"/>
      <c r="APM74" s="41"/>
      <c r="APN74" s="41"/>
      <c r="APO74" s="41"/>
      <c r="APP74" s="41"/>
      <c r="ARL74" s="39"/>
      <c r="ARO74" s="41"/>
      <c r="ARP74" s="41"/>
      <c r="ARQ74" s="41"/>
      <c r="ARR74" s="41"/>
      <c r="ARS74" s="41"/>
      <c r="ATO74" s="39"/>
      <c r="ATR74" s="41"/>
      <c r="ATS74" s="41"/>
      <c r="ATT74" s="41"/>
      <c r="ATU74" s="41"/>
      <c r="ATV74" s="41"/>
      <c r="AVR74" s="39"/>
      <c r="AVU74" s="41"/>
      <c r="AVV74" s="41"/>
      <c r="AVW74" s="41"/>
      <c r="AVX74" s="41"/>
      <c r="AVY74" s="41"/>
      <c r="AXU74" s="39"/>
      <c r="AXX74" s="41"/>
      <c r="AXY74" s="41"/>
      <c r="AXZ74" s="41"/>
      <c r="AYA74" s="41"/>
      <c r="AYB74" s="41"/>
      <c r="AZX74" s="39"/>
      <c r="BAA74" s="41"/>
      <c r="BAB74" s="41"/>
      <c r="BAC74" s="41"/>
      <c r="BAD74" s="41"/>
      <c r="BAE74" s="41"/>
      <c r="BCA74" s="39"/>
      <c r="BCD74" s="41"/>
      <c r="BCE74" s="41"/>
      <c r="BCF74" s="41"/>
      <c r="BCG74" s="41"/>
      <c r="BCH74" s="41"/>
      <c r="BED74" s="39"/>
      <c r="BEG74" s="41"/>
      <c r="BEH74" s="41"/>
      <c r="BEI74" s="41"/>
      <c r="BEJ74" s="41"/>
      <c r="BEK74" s="41"/>
      <c r="BGG74" s="39"/>
      <c r="BGJ74" s="41"/>
      <c r="BGK74" s="41"/>
      <c r="BGL74" s="41"/>
      <c r="BGM74" s="41"/>
      <c r="BGN74" s="41"/>
      <c r="BIJ74" s="39"/>
      <c r="BIM74" s="41"/>
      <c r="BIN74" s="41"/>
      <c r="BIO74" s="41"/>
      <c r="BIP74" s="41"/>
      <c r="BIQ74" s="41"/>
      <c r="BKM74" s="39"/>
      <c r="BKP74" s="41"/>
      <c r="BKQ74" s="41"/>
      <c r="BKR74" s="41"/>
      <c r="BKS74" s="41"/>
      <c r="BKT74" s="41"/>
      <c r="BMP74" s="39"/>
      <c r="BMS74" s="41"/>
      <c r="BMT74" s="41"/>
      <c r="BMU74" s="41"/>
      <c r="BMV74" s="41"/>
      <c r="BMW74" s="41"/>
      <c r="BOS74" s="39"/>
      <c r="BOV74" s="41"/>
      <c r="BOW74" s="41"/>
      <c r="BOX74" s="41"/>
      <c r="BOY74" s="41"/>
      <c r="BOZ74" s="41"/>
      <c r="BQV74" s="39"/>
      <c r="BQY74" s="41"/>
      <c r="BQZ74" s="41"/>
      <c r="BRA74" s="41"/>
      <c r="BRB74" s="41"/>
      <c r="BRC74" s="41"/>
      <c r="BSY74" s="39"/>
      <c r="BTB74" s="41"/>
      <c r="BTC74" s="41"/>
      <c r="BTD74" s="41"/>
      <c r="BTE74" s="41"/>
      <c r="BTF74" s="41"/>
      <c r="BVB74" s="39"/>
      <c r="BVE74" s="41"/>
      <c r="BVF74" s="41"/>
      <c r="BVG74" s="41"/>
      <c r="BVH74" s="41"/>
      <c r="BVI74" s="41"/>
      <c r="BXE74" s="39"/>
      <c r="BXH74" s="41"/>
      <c r="BXI74" s="41"/>
      <c r="BXJ74" s="41"/>
      <c r="BXK74" s="41"/>
      <c r="BXL74" s="41"/>
      <c r="BZH74" s="39"/>
      <c r="BZK74" s="41"/>
      <c r="BZL74" s="41"/>
      <c r="BZM74" s="41"/>
      <c r="BZN74" s="41"/>
      <c r="BZO74" s="41"/>
      <c r="CBK74" s="39"/>
      <c r="CBN74" s="41"/>
      <c r="CBO74" s="41"/>
      <c r="CBP74" s="41"/>
      <c r="CBQ74" s="41"/>
      <c r="CBR74" s="41"/>
      <c r="CDN74" s="39"/>
      <c r="CDQ74" s="41"/>
      <c r="CDR74" s="41"/>
      <c r="CDS74" s="41"/>
      <c r="CDT74" s="41"/>
      <c r="CDU74" s="41"/>
      <c r="CFQ74" s="39"/>
      <c r="CFT74" s="41"/>
      <c r="CFU74" s="41"/>
      <c r="CFV74" s="41"/>
      <c r="CFW74" s="41"/>
      <c r="CFX74" s="41"/>
      <c r="CHT74" s="39"/>
      <c r="CHW74" s="41"/>
      <c r="CHX74" s="41"/>
      <c r="CHY74" s="41"/>
      <c r="CHZ74" s="41"/>
      <c r="CIA74" s="41"/>
      <c r="CJW74" s="39"/>
      <c r="CJZ74" s="41"/>
      <c r="CKA74" s="41"/>
      <c r="CKB74" s="41"/>
      <c r="CKC74" s="41"/>
      <c r="CKD74" s="41"/>
      <c r="CLZ74" s="39"/>
      <c r="CMC74" s="41"/>
      <c r="CMD74" s="41"/>
      <c r="CME74" s="41"/>
      <c r="CMF74" s="41"/>
      <c r="CMG74" s="41"/>
      <c r="COC74" s="39"/>
      <c r="COF74" s="41"/>
      <c r="COG74" s="41"/>
      <c r="COH74" s="41"/>
      <c r="COI74" s="41"/>
      <c r="COJ74" s="41"/>
      <c r="CQF74" s="39"/>
      <c r="CQI74" s="41"/>
      <c r="CQJ74" s="41"/>
      <c r="CQK74" s="41"/>
      <c r="CQL74" s="41"/>
      <c r="CQM74" s="41"/>
      <c r="CSI74" s="39"/>
      <c r="CSL74" s="41"/>
      <c r="CSM74" s="41"/>
      <c r="CSN74" s="41"/>
      <c r="CSO74" s="41"/>
      <c r="CSP74" s="41"/>
      <c r="CUL74" s="39"/>
      <c r="CUO74" s="41"/>
      <c r="CUP74" s="41"/>
      <c r="CUQ74" s="41"/>
      <c r="CUR74" s="41"/>
      <c r="CUS74" s="41"/>
      <c r="CWO74" s="39"/>
      <c r="CWR74" s="41"/>
      <c r="CWS74" s="41"/>
      <c r="CWT74" s="41"/>
      <c r="CWU74" s="41"/>
      <c r="CWV74" s="41"/>
      <c r="CYR74" s="39"/>
      <c r="CYU74" s="41"/>
      <c r="CYV74" s="41"/>
      <c r="CYW74" s="41"/>
      <c r="CYX74" s="41"/>
      <c r="CYY74" s="41"/>
      <c r="DAU74" s="39"/>
      <c r="DAX74" s="41"/>
      <c r="DAY74" s="41"/>
      <c r="DAZ74" s="41"/>
      <c r="DBA74" s="41"/>
      <c r="DBB74" s="41"/>
      <c r="DCX74" s="39"/>
      <c r="DDA74" s="41"/>
      <c r="DDB74" s="41"/>
      <c r="DDC74" s="41"/>
      <c r="DDD74" s="41"/>
      <c r="DDE74" s="41"/>
      <c r="DFA74" s="39"/>
      <c r="DFD74" s="41"/>
      <c r="DFE74" s="41"/>
      <c r="DFF74" s="41"/>
      <c r="DFG74" s="41"/>
      <c r="DFH74" s="41"/>
      <c r="DHD74" s="39"/>
      <c r="DHG74" s="41"/>
      <c r="DHH74" s="41"/>
      <c r="DHI74" s="41"/>
      <c r="DHJ74" s="41"/>
      <c r="DHK74" s="41"/>
      <c r="DJG74" s="39"/>
      <c r="DJJ74" s="41"/>
      <c r="DJK74" s="41"/>
      <c r="DJL74" s="41"/>
      <c r="DJM74" s="41"/>
      <c r="DJN74" s="41"/>
      <c r="DLJ74" s="39"/>
      <c r="DLM74" s="41"/>
      <c r="DLN74" s="41"/>
      <c r="DLO74" s="41"/>
      <c r="DLP74" s="41"/>
      <c r="DLQ74" s="41"/>
      <c r="DNM74" s="39"/>
      <c r="DNP74" s="41"/>
      <c r="DNQ74" s="41"/>
      <c r="DNR74" s="41"/>
      <c r="DNS74" s="41"/>
      <c r="DNT74" s="41"/>
      <c r="DPP74" s="39"/>
      <c r="DPS74" s="41"/>
      <c r="DPT74" s="41"/>
      <c r="DPU74" s="41"/>
      <c r="DPV74" s="41"/>
      <c r="DPW74" s="41"/>
      <c r="DRS74" s="39"/>
      <c r="DRV74" s="41"/>
      <c r="DRW74" s="41"/>
      <c r="DRX74" s="41"/>
      <c r="DRY74" s="41"/>
      <c r="DRZ74" s="41"/>
      <c r="DTV74" s="39"/>
      <c r="DTY74" s="41"/>
      <c r="DTZ74" s="41"/>
      <c r="DUA74" s="41"/>
      <c r="DUB74" s="41"/>
      <c r="DUC74" s="41"/>
      <c r="DVY74" s="39"/>
      <c r="DWB74" s="41"/>
      <c r="DWC74" s="41"/>
      <c r="DWD74" s="41"/>
      <c r="DWE74" s="41"/>
      <c r="DWF74" s="41"/>
      <c r="DYB74" s="39"/>
      <c r="DYE74" s="41"/>
      <c r="DYF74" s="41"/>
      <c r="DYG74" s="41"/>
      <c r="DYH74" s="41"/>
      <c r="DYI74" s="41"/>
      <c r="EAE74" s="39"/>
      <c r="EAH74" s="41"/>
      <c r="EAI74" s="41"/>
      <c r="EAJ74" s="41"/>
      <c r="EAK74" s="41"/>
      <c r="EAL74" s="41"/>
      <c r="ECH74" s="39"/>
      <c r="ECK74" s="41"/>
      <c r="ECL74" s="41"/>
      <c r="ECM74" s="41"/>
      <c r="ECN74" s="41"/>
      <c r="ECO74" s="41"/>
      <c r="EEK74" s="39"/>
      <c r="EEN74" s="41"/>
      <c r="EEO74" s="41"/>
      <c r="EEP74" s="41"/>
      <c r="EEQ74" s="41"/>
      <c r="EER74" s="41"/>
      <c r="EGN74" s="39"/>
      <c r="EGQ74" s="41"/>
      <c r="EGR74" s="41"/>
      <c r="EGS74" s="41"/>
      <c r="EGT74" s="41"/>
      <c r="EGU74" s="41"/>
      <c r="EIQ74" s="39"/>
      <c r="EIT74" s="41"/>
      <c r="EIU74" s="41"/>
      <c r="EIV74" s="41"/>
      <c r="EIW74" s="41"/>
      <c r="EIX74" s="41"/>
      <c r="EKT74" s="39"/>
      <c r="EKW74" s="41"/>
      <c r="EKX74" s="41"/>
      <c r="EKY74" s="41"/>
      <c r="EKZ74" s="41"/>
      <c r="ELA74" s="41"/>
      <c r="EMW74" s="39"/>
      <c r="EMZ74" s="41"/>
      <c r="ENA74" s="41"/>
      <c r="ENB74" s="41"/>
      <c r="ENC74" s="41"/>
      <c r="END74" s="41"/>
      <c r="EOZ74" s="39"/>
      <c r="EPC74" s="41"/>
      <c r="EPD74" s="41"/>
      <c r="EPE74" s="41"/>
      <c r="EPF74" s="41"/>
      <c r="EPG74" s="41"/>
      <c r="ERC74" s="39"/>
      <c r="ERF74" s="41"/>
      <c r="ERG74" s="41"/>
      <c r="ERH74" s="41"/>
      <c r="ERI74" s="41"/>
      <c r="ERJ74" s="41"/>
      <c r="ETF74" s="39"/>
      <c r="ETI74" s="41"/>
      <c r="ETJ74" s="41"/>
      <c r="ETK74" s="41"/>
      <c r="ETL74" s="41"/>
      <c r="ETM74" s="41"/>
      <c r="EVI74" s="39"/>
      <c r="EVL74" s="41"/>
      <c r="EVM74" s="41"/>
      <c r="EVN74" s="41"/>
      <c r="EVO74" s="41"/>
      <c r="EVP74" s="41"/>
      <c r="EXL74" s="39"/>
      <c r="EXO74" s="41"/>
      <c r="EXP74" s="41"/>
      <c r="EXQ74" s="41"/>
      <c r="EXR74" s="41"/>
      <c r="EXS74" s="41"/>
      <c r="EZO74" s="39"/>
      <c r="EZR74" s="41"/>
      <c r="EZS74" s="41"/>
      <c r="EZT74" s="41"/>
      <c r="EZU74" s="41"/>
      <c r="EZV74" s="41"/>
      <c r="FBR74" s="39"/>
      <c r="FBU74" s="41"/>
      <c r="FBV74" s="41"/>
      <c r="FBW74" s="41"/>
      <c r="FBX74" s="41"/>
      <c r="FBY74" s="41"/>
      <c r="FDU74" s="39"/>
      <c r="FDX74" s="41"/>
      <c r="FDY74" s="41"/>
      <c r="FDZ74" s="41"/>
      <c r="FEA74" s="41"/>
      <c r="FEB74" s="41"/>
      <c r="FFX74" s="39"/>
      <c r="FGA74" s="41"/>
      <c r="FGB74" s="41"/>
      <c r="FGC74" s="41"/>
      <c r="FGD74" s="41"/>
      <c r="FGE74" s="41"/>
      <c r="FIA74" s="39"/>
      <c r="FID74" s="41"/>
      <c r="FIE74" s="41"/>
      <c r="FIF74" s="41"/>
      <c r="FIG74" s="41"/>
      <c r="FIH74" s="41"/>
      <c r="FKD74" s="39"/>
      <c r="FKG74" s="41"/>
      <c r="FKH74" s="41"/>
      <c r="FKI74" s="41"/>
      <c r="FKJ74" s="41"/>
      <c r="FKK74" s="41"/>
      <c r="FMG74" s="39"/>
      <c r="FMJ74" s="41"/>
      <c r="FMK74" s="41"/>
      <c r="FML74" s="41"/>
      <c r="FMM74" s="41"/>
      <c r="FMN74" s="41"/>
      <c r="FOJ74" s="39"/>
      <c r="FOM74" s="41"/>
      <c r="FON74" s="41"/>
      <c r="FOO74" s="41"/>
      <c r="FOP74" s="41"/>
      <c r="FOQ74" s="41"/>
      <c r="FQM74" s="39"/>
      <c r="FQP74" s="41"/>
      <c r="FQQ74" s="41"/>
      <c r="FQR74" s="41"/>
      <c r="FQS74" s="41"/>
      <c r="FQT74" s="41"/>
      <c r="FSP74" s="39"/>
      <c r="FSS74" s="41"/>
      <c r="FST74" s="41"/>
      <c r="FSU74" s="41"/>
      <c r="FSV74" s="41"/>
      <c r="FSW74" s="41"/>
      <c r="FUS74" s="39"/>
      <c r="FUV74" s="41"/>
      <c r="FUW74" s="41"/>
      <c r="FUX74" s="41"/>
      <c r="FUY74" s="41"/>
      <c r="FUZ74" s="41"/>
      <c r="FWV74" s="39"/>
      <c r="FWY74" s="41"/>
      <c r="FWZ74" s="41"/>
      <c r="FXA74" s="41"/>
      <c r="FXB74" s="41"/>
      <c r="FXC74" s="41"/>
      <c r="FYY74" s="39"/>
      <c r="FZB74" s="41"/>
      <c r="FZC74" s="41"/>
      <c r="FZD74" s="41"/>
      <c r="FZE74" s="41"/>
      <c r="FZF74" s="41"/>
      <c r="GBB74" s="39"/>
      <c r="GBE74" s="41"/>
      <c r="GBF74" s="41"/>
      <c r="GBG74" s="41"/>
      <c r="GBH74" s="41"/>
      <c r="GBI74" s="41"/>
      <c r="GDE74" s="39"/>
      <c r="GDH74" s="41"/>
      <c r="GDI74" s="41"/>
      <c r="GDJ74" s="41"/>
      <c r="GDK74" s="41"/>
      <c r="GDL74" s="41"/>
      <c r="GFH74" s="39"/>
      <c r="GFK74" s="41"/>
      <c r="GFL74" s="41"/>
      <c r="GFM74" s="41"/>
      <c r="GFN74" s="41"/>
      <c r="GFO74" s="41"/>
      <c r="GHK74" s="39"/>
      <c r="GHN74" s="41"/>
      <c r="GHO74" s="41"/>
      <c r="GHP74" s="41"/>
      <c r="GHQ74" s="41"/>
      <c r="GHR74" s="41"/>
      <c r="GJN74" s="39"/>
      <c r="GJQ74" s="41"/>
      <c r="GJR74" s="41"/>
      <c r="GJS74" s="41"/>
      <c r="GJT74" s="41"/>
      <c r="GJU74" s="41"/>
      <c r="GLQ74" s="39"/>
      <c r="GLT74" s="41"/>
      <c r="GLU74" s="41"/>
      <c r="GLV74" s="41"/>
      <c r="GLW74" s="41"/>
      <c r="GLX74" s="41"/>
      <c r="GNT74" s="39"/>
      <c r="GNW74" s="41"/>
      <c r="GNX74" s="41"/>
      <c r="GNY74" s="41"/>
      <c r="GNZ74" s="41"/>
      <c r="GOA74" s="41"/>
      <c r="GPW74" s="39"/>
      <c r="GPZ74" s="41"/>
      <c r="GQA74" s="41"/>
      <c r="GQB74" s="41"/>
      <c r="GQC74" s="41"/>
      <c r="GQD74" s="41"/>
      <c r="GRZ74" s="39"/>
      <c r="GSC74" s="41"/>
      <c r="GSD74" s="41"/>
      <c r="GSE74" s="41"/>
      <c r="GSF74" s="41"/>
      <c r="GSG74" s="41"/>
      <c r="GUC74" s="39"/>
      <c r="GUF74" s="41"/>
      <c r="GUG74" s="41"/>
      <c r="GUH74" s="41"/>
      <c r="GUI74" s="41"/>
      <c r="GUJ74" s="41"/>
      <c r="GWF74" s="39"/>
      <c r="GWI74" s="41"/>
      <c r="GWJ74" s="41"/>
      <c r="GWK74" s="41"/>
      <c r="GWL74" s="41"/>
      <c r="GWM74" s="41"/>
      <c r="GYI74" s="39"/>
      <c r="GYL74" s="41"/>
      <c r="GYM74" s="41"/>
      <c r="GYN74" s="41"/>
      <c r="GYO74" s="41"/>
      <c r="GYP74" s="41"/>
      <c r="HAL74" s="39"/>
      <c r="HAO74" s="41"/>
      <c r="HAP74" s="41"/>
      <c r="HAQ74" s="41"/>
      <c r="HAR74" s="41"/>
      <c r="HAS74" s="41"/>
      <c r="HCO74" s="39"/>
      <c r="HCR74" s="41"/>
      <c r="HCS74" s="41"/>
      <c r="HCT74" s="41"/>
      <c r="HCU74" s="41"/>
      <c r="HCV74" s="41"/>
      <c r="HER74" s="39"/>
      <c r="HEU74" s="41"/>
      <c r="HEV74" s="41"/>
      <c r="HEW74" s="41"/>
      <c r="HEX74" s="41"/>
      <c r="HEY74" s="41"/>
      <c r="HGU74" s="39"/>
      <c r="HGX74" s="41"/>
      <c r="HGY74" s="41"/>
      <c r="HGZ74" s="41"/>
      <c r="HHA74" s="41"/>
      <c r="HHB74" s="41"/>
      <c r="HIX74" s="39"/>
      <c r="HJA74" s="41"/>
      <c r="HJB74" s="41"/>
      <c r="HJC74" s="41"/>
      <c r="HJD74" s="41"/>
      <c r="HJE74" s="41"/>
      <c r="HLA74" s="39"/>
      <c r="HLD74" s="41"/>
      <c r="HLE74" s="41"/>
      <c r="HLF74" s="41"/>
      <c r="HLG74" s="41"/>
      <c r="HLH74" s="41"/>
      <c r="HND74" s="39"/>
      <c r="HNG74" s="41"/>
      <c r="HNH74" s="41"/>
      <c r="HNI74" s="41"/>
      <c r="HNJ74" s="41"/>
      <c r="HNK74" s="41"/>
      <c r="HPG74" s="39"/>
      <c r="HPJ74" s="41"/>
      <c r="HPK74" s="41"/>
      <c r="HPL74" s="41"/>
      <c r="HPM74" s="41"/>
      <c r="HPN74" s="41"/>
      <c r="HRJ74" s="39"/>
      <c r="HRM74" s="41"/>
      <c r="HRN74" s="41"/>
      <c r="HRO74" s="41"/>
      <c r="HRP74" s="41"/>
      <c r="HRQ74" s="41"/>
      <c r="HTM74" s="39"/>
      <c r="HTP74" s="41"/>
      <c r="HTQ74" s="41"/>
      <c r="HTR74" s="41"/>
      <c r="HTS74" s="41"/>
      <c r="HTT74" s="41"/>
      <c r="HVP74" s="39"/>
      <c r="HVS74" s="41"/>
      <c r="HVT74" s="41"/>
      <c r="HVU74" s="41"/>
      <c r="HVV74" s="41"/>
      <c r="HVW74" s="41"/>
      <c r="HXS74" s="39"/>
      <c r="HXV74" s="41"/>
      <c r="HXW74" s="41"/>
      <c r="HXX74" s="41"/>
      <c r="HXY74" s="41"/>
      <c r="HXZ74" s="41"/>
      <c r="HZV74" s="39"/>
      <c r="HZY74" s="41"/>
      <c r="HZZ74" s="41"/>
      <c r="IAA74" s="41"/>
      <c r="IAB74" s="41"/>
      <c r="IAC74" s="41"/>
      <c r="IBY74" s="39"/>
      <c r="ICB74" s="41"/>
      <c r="ICC74" s="41"/>
      <c r="ICD74" s="41"/>
      <c r="ICE74" s="41"/>
      <c r="ICF74" s="41"/>
      <c r="IEB74" s="39"/>
      <c r="IEE74" s="41"/>
      <c r="IEF74" s="41"/>
      <c r="IEG74" s="41"/>
      <c r="IEH74" s="41"/>
      <c r="IEI74" s="41"/>
      <c r="IGE74" s="39"/>
      <c r="IGH74" s="41"/>
      <c r="IGI74" s="41"/>
      <c r="IGJ74" s="41"/>
      <c r="IGK74" s="41"/>
      <c r="IGL74" s="41"/>
      <c r="IIH74" s="39"/>
      <c r="IIK74" s="41"/>
      <c r="IIL74" s="41"/>
      <c r="IIM74" s="41"/>
      <c r="IIN74" s="41"/>
      <c r="IIO74" s="41"/>
      <c r="IKK74" s="39"/>
      <c r="IKN74" s="41"/>
      <c r="IKO74" s="41"/>
      <c r="IKP74" s="41"/>
      <c r="IKQ74" s="41"/>
      <c r="IKR74" s="41"/>
      <c r="IMN74" s="39"/>
      <c r="IMQ74" s="41"/>
      <c r="IMR74" s="41"/>
      <c r="IMS74" s="41"/>
      <c r="IMT74" s="41"/>
      <c r="IMU74" s="41"/>
      <c r="IOQ74" s="39"/>
      <c r="IOT74" s="41"/>
      <c r="IOU74" s="41"/>
      <c r="IOV74" s="41"/>
      <c r="IOW74" s="41"/>
      <c r="IOX74" s="41"/>
      <c r="IQT74" s="39"/>
      <c r="IQW74" s="41"/>
      <c r="IQX74" s="41"/>
      <c r="IQY74" s="41"/>
      <c r="IQZ74" s="41"/>
      <c r="IRA74" s="41"/>
      <c r="ISW74" s="39"/>
      <c r="ISZ74" s="41"/>
      <c r="ITA74" s="41"/>
      <c r="ITB74" s="41"/>
      <c r="ITC74" s="41"/>
      <c r="ITD74" s="41"/>
      <c r="IUZ74" s="39"/>
      <c r="IVC74" s="41"/>
      <c r="IVD74" s="41"/>
      <c r="IVE74" s="41"/>
      <c r="IVF74" s="41"/>
      <c r="IVG74" s="41"/>
      <c r="IXC74" s="39"/>
      <c r="IXF74" s="41"/>
      <c r="IXG74" s="41"/>
      <c r="IXH74" s="41"/>
      <c r="IXI74" s="41"/>
      <c r="IXJ74" s="41"/>
      <c r="IZF74" s="39"/>
      <c r="IZI74" s="41"/>
      <c r="IZJ74" s="41"/>
      <c r="IZK74" s="41"/>
      <c r="IZL74" s="41"/>
      <c r="IZM74" s="41"/>
      <c r="JBI74" s="39"/>
      <c r="JBL74" s="41"/>
      <c r="JBM74" s="41"/>
      <c r="JBN74" s="41"/>
      <c r="JBO74" s="41"/>
      <c r="JBP74" s="41"/>
      <c r="JDL74" s="39"/>
      <c r="JDO74" s="41"/>
      <c r="JDP74" s="41"/>
      <c r="JDQ74" s="41"/>
      <c r="JDR74" s="41"/>
      <c r="JDS74" s="41"/>
      <c r="JFO74" s="39"/>
      <c r="JFR74" s="41"/>
      <c r="JFS74" s="41"/>
      <c r="JFT74" s="41"/>
      <c r="JFU74" s="41"/>
      <c r="JFV74" s="41"/>
      <c r="JHR74" s="39"/>
      <c r="JHU74" s="41"/>
      <c r="JHV74" s="41"/>
      <c r="JHW74" s="41"/>
      <c r="JHX74" s="41"/>
      <c r="JHY74" s="41"/>
      <c r="JJU74" s="39"/>
      <c r="JJX74" s="41"/>
      <c r="JJY74" s="41"/>
      <c r="JJZ74" s="41"/>
      <c r="JKA74" s="41"/>
      <c r="JKB74" s="41"/>
      <c r="JLX74" s="39"/>
      <c r="JMA74" s="41"/>
      <c r="JMB74" s="41"/>
      <c r="JMC74" s="41"/>
      <c r="JMD74" s="41"/>
      <c r="JME74" s="41"/>
      <c r="JOA74" s="39"/>
      <c r="JOD74" s="41"/>
      <c r="JOE74" s="41"/>
      <c r="JOF74" s="41"/>
      <c r="JOG74" s="41"/>
      <c r="JOH74" s="41"/>
      <c r="JQD74" s="39"/>
      <c r="JQG74" s="41"/>
      <c r="JQH74" s="41"/>
      <c r="JQI74" s="41"/>
      <c r="JQJ74" s="41"/>
      <c r="JQK74" s="41"/>
      <c r="JSG74" s="39"/>
      <c r="JSJ74" s="41"/>
      <c r="JSK74" s="41"/>
      <c r="JSL74" s="41"/>
      <c r="JSM74" s="41"/>
      <c r="JSN74" s="41"/>
      <c r="JUJ74" s="39"/>
      <c r="JUM74" s="41"/>
      <c r="JUN74" s="41"/>
      <c r="JUO74" s="41"/>
      <c r="JUP74" s="41"/>
      <c r="JUQ74" s="41"/>
      <c r="JWM74" s="39"/>
      <c r="JWP74" s="41"/>
      <c r="JWQ74" s="41"/>
      <c r="JWR74" s="41"/>
      <c r="JWS74" s="41"/>
      <c r="JWT74" s="41"/>
      <c r="JYP74" s="39"/>
      <c r="JYS74" s="41"/>
      <c r="JYT74" s="41"/>
      <c r="JYU74" s="41"/>
      <c r="JYV74" s="41"/>
      <c r="JYW74" s="41"/>
      <c r="KAS74" s="39"/>
      <c r="KAV74" s="41"/>
      <c r="KAW74" s="41"/>
      <c r="KAX74" s="41"/>
      <c r="KAY74" s="41"/>
      <c r="KAZ74" s="41"/>
      <c r="KCV74" s="39"/>
      <c r="KCY74" s="41"/>
      <c r="KCZ74" s="41"/>
      <c r="KDA74" s="41"/>
      <c r="KDB74" s="41"/>
      <c r="KDC74" s="41"/>
      <c r="KEY74" s="39"/>
      <c r="KFB74" s="41"/>
      <c r="KFC74" s="41"/>
      <c r="KFD74" s="41"/>
      <c r="KFE74" s="41"/>
      <c r="KFF74" s="41"/>
      <c r="KHB74" s="39"/>
      <c r="KHE74" s="41"/>
      <c r="KHF74" s="41"/>
      <c r="KHG74" s="41"/>
      <c r="KHH74" s="41"/>
      <c r="KHI74" s="41"/>
      <c r="KJE74" s="39"/>
      <c r="KJH74" s="41"/>
      <c r="KJI74" s="41"/>
      <c r="KJJ74" s="41"/>
      <c r="KJK74" s="41"/>
      <c r="KJL74" s="41"/>
      <c r="KLH74" s="39"/>
      <c r="KLK74" s="41"/>
      <c r="KLL74" s="41"/>
      <c r="KLM74" s="41"/>
      <c r="KLN74" s="41"/>
      <c r="KLO74" s="41"/>
      <c r="KNK74" s="39"/>
      <c r="KNN74" s="41"/>
      <c r="KNO74" s="41"/>
      <c r="KNP74" s="41"/>
      <c r="KNQ74" s="41"/>
      <c r="KNR74" s="41"/>
      <c r="KPN74" s="39"/>
      <c r="KPQ74" s="41"/>
      <c r="KPR74" s="41"/>
      <c r="KPS74" s="41"/>
      <c r="KPT74" s="41"/>
      <c r="KPU74" s="41"/>
      <c r="KRQ74" s="39"/>
      <c r="KRT74" s="41"/>
      <c r="KRU74" s="41"/>
      <c r="KRV74" s="41"/>
      <c r="KRW74" s="41"/>
      <c r="KRX74" s="41"/>
      <c r="KTT74" s="39"/>
      <c r="KTW74" s="41"/>
      <c r="KTX74" s="41"/>
      <c r="KTY74" s="41"/>
      <c r="KTZ74" s="41"/>
      <c r="KUA74" s="41"/>
      <c r="KVW74" s="39"/>
      <c r="KVZ74" s="41"/>
      <c r="KWA74" s="41"/>
      <c r="KWB74" s="41"/>
      <c r="KWC74" s="41"/>
      <c r="KWD74" s="41"/>
      <c r="KXZ74" s="39"/>
      <c r="KYC74" s="41"/>
      <c r="KYD74" s="41"/>
      <c r="KYE74" s="41"/>
      <c r="KYF74" s="41"/>
      <c r="KYG74" s="41"/>
      <c r="LAC74" s="39"/>
      <c r="LAF74" s="41"/>
      <c r="LAG74" s="41"/>
      <c r="LAH74" s="41"/>
      <c r="LAI74" s="41"/>
      <c r="LAJ74" s="41"/>
      <c r="LCF74" s="39"/>
      <c r="LCI74" s="41"/>
      <c r="LCJ74" s="41"/>
      <c r="LCK74" s="41"/>
      <c r="LCL74" s="41"/>
      <c r="LCM74" s="41"/>
      <c r="LEI74" s="39"/>
      <c r="LEL74" s="41"/>
      <c r="LEM74" s="41"/>
      <c r="LEN74" s="41"/>
      <c r="LEO74" s="41"/>
      <c r="LEP74" s="41"/>
      <c r="LGL74" s="39"/>
      <c r="LGO74" s="41"/>
      <c r="LGP74" s="41"/>
      <c r="LGQ74" s="41"/>
      <c r="LGR74" s="41"/>
      <c r="LGS74" s="41"/>
      <c r="LIO74" s="39"/>
      <c r="LIR74" s="41"/>
      <c r="LIS74" s="41"/>
      <c r="LIT74" s="41"/>
      <c r="LIU74" s="41"/>
      <c r="LIV74" s="41"/>
      <c r="LKR74" s="39"/>
      <c r="LKU74" s="41"/>
      <c r="LKV74" s="41"/>
      <c r="LKW74" s="41"/>
      <c r="LKX74" s="41"/>
      <c r="LKY74" s="41"/>
      <c r="LMU74" s="39"/>
      <c r="LMX74" s="41"/>
      <c r="LMY74" s="41"/>
      <c r="LMZ74" s="41"/>
      <c r="LNA74" s="41"/>
      <c r="LNB74" s="41"/>
      <c r="LOX74" s="39"/>
      <c r="LPA74" s="41"/>
      <c r="LPB74" s="41"/>
      <c r="LPC74" s="41"/>
      <c r="LPD74" s="41"/>
      <c r="LPE74" s="41"/>
      <c r="LRA74" s="39"/>
      <c r="LRD74" s="41"/>
      <c r="LRE74" s="41"/>
      <c r="LRF74" s="41"/>
      <c r="LRG74" s="41"/>
      <c r="LRH74" s="41"/>
      <c r="LTD74" s="39"/>
      <c r="LTG74" s="41"/>
      <c r="LTH74" s="41"/>
      <c r="LTI74" s="41"/>
      <c r="LTJ74" s="41"/>
      <c r="LTK74" s="41"/>
      <c r="LVG74" s="39"/>
      <c r="LVJ74" s="41"/>
      <c r="LVK74" s="41"/>
      <c r="LVL74" s="41"/>
      <c r="LVM74" s="41"/>
      <c r="LVN74" s="41"/>
      <c r="LXJ74" s="39"/>
      <c r="LXM74" s="41"/>
      <c r="LXN74" s="41"/>
      <c r="LXO74" s="41"/>
      <c r="LXP74" s="41"/>
      <c r="LXQ74" s="41"/>
      <c r="LZM74" s="39"/>
      <c r="LZP74" s="41"/>
      <c r="LZQ74" s="41"/>
      <c r="LZR74" s="41"/>
      <c r="LZS74" s="41"/>
      <c r="LZT74" s="41"/>
      <c r="MBP74" s="39"/>
      <c r="MBS74" s="41"/>
      <c r="MBT74" s="41"/>
      <c r="MBU74" s="41"/>
      <c r="MBV74" s="41"/>
      <c r="MBW74" s="41"/>
      <c r="MDS74" s="39"/>
      <c r="MDV74" s="41"/>
      <c r="MDW74" s="41"/>
      <c r="MDX74" s="41"/>
      <c r="MDY74" s="41"/>
      <c r="MDZ74" s="41"/>
      <c r="MFV74" s="39"/>
      <c r="MFY74" s="41"/>
      <c r="MFZ74" s="41"/>
      <c r="MGA74" s="41"/>
      <c r="MGB74" s="41"/>
      <c r="MGC74" s="41"/>
      <c r="MHY74" s="39"/>
      <c r="MIB74" s="41"/>
      <c r="MIC74" s="41"/>
      <c r="MID74" s="41"/>
      <c r="MIE74" s="41"/>
      <c r="MIF74" s="41"/>
      <c r="MKB74" s="39"/>
      <c r="MKE74" s="41"/>
      <c r="MKF74" s="41"/>
      <c r="MKG74" s="41"/>
      <c r="MKH74" s="41"/>
      <c r="MKI74" s="41"/>
      <c r="MME74" s="39"/>
      <c r="MMH74" s="41"/>
      <c r="MMI74" s="41"/>
      <c r="MMJ74" s="41"/>
      <c r="MMK74" s="41"/>
      <c r="MML74" s="41"/>
      <c r="MOH74" s="39"/>
      <c r="MOK74" s="41"/>
      <c r="MOL74" s="41"/>
      <c r="MOM74" s="41"/>
      <c r="MON74" s="41"/>
      <c r="MOO74" s="41"/>
      <c r="MQK74" s="39"/>
      <c r="MQN74" s="41"/>
      <c r="MQO74" s="41"/>
      <c r="MQP74" s="41"/>
      <c r="MQQ74" s="41"/>
      <c r="MQR74" s="41"/>
      <c r="MSN74" s="39"/>
      <c r="MSQ74" s="41"/>
      <c r="MSR74" s="41"/>
      <c r="MSS74" s="41"/>
      <c r="MST74" s="41"/>
      <c r="MSU74" s="41"/>
      <c r="MUQ74" s="39"/>
      <c r="MUT74" s="41"/>
      <c r="MUU74" s="41"/>
      <c r="MUV74" s="41"/>
      <c r="MUW74" s="41"/>
      <c r="MUX74" s="41"/>
      <c r="MWT74" s="39"/>
      <c r="MWW74" s="41"/>
      <c r="MWX74" s="41"/>
      <c r="MWY74" s="41"/>
      <c r="MWZ74" s="41"/>
      <c r="MXA74" s="41"/>
      <c r="MYW74" s="39"/>
      <c r="MYZ74" s="41"/>
      <c r="MZA74" s="41"/>
      <c r="MZB74" s="41"/>
      <c r="MZC74" s="41"/>
      <c r="MZD74" s="41"/>
      <c r="NAZ74" s="39"/>
      <c r="NBC74" s="41"/>
      <c r="NBD74" s="41"/>
      <c r="NBE74" s="41"/>
      <c r="NBF74" s="41"/>
      <c r="NBG74" s="41"/>
      <c r="NDC74" s="39"/>
      <c r="NDF74" s="41"/>
      <c r="NDG74" s="41"/>
      <c r="NDH74" s="41"/>
      <c r="NDI74" s="41"/>
      <c r="NDJ74" s="41"/>
      <c r="NFF74" s="39"/>
      <c r="NFI74" s="41"/>
      <c r="NFJ74" s="41"/>
      <c r="NFK74" s="41"/>
      <c r="NFL74" s="41"/>
      <c r="NFM74" s="41"/>
      <c r="NHI74" s="39"/>
      <c r="NHL74" s="41"/>
      <c r="NHM74" s="41"/>
      <c r="NHN74" s="41"/>
      <c r="NHO74" s="41"/>
      <c r="NHP74" s="41"/>
      <c r="NJL74" s="39"/>
      <c r="NJO74" s="41"/>
      <c r="NJP74" s="41"/>
      <c r="NJQ74" s="41"/>
      <c r="NJR74" s="41"/>
      <c r="NJS74" s="41"/>
      <c r="NLO74" s="39"/>
      <c r="NLR74" s="41"/>
      <c r="NLS74" s="41"/>
      <c r="NLT74" s="41"/>
      <c r="NLU74" s="41"/>
      <c r="NLV74" s="41"/>
      <c r="NNR74" s="39"/>
      <c r="NNU74" s="41"/>
      <c r="NNV74" s="41"/>
      <c r="NNW74" s="41"/>
      <c r="NNX74" s="41"/>
      <c r="NNY74" s="41"/>
      <c r="NPU74" s="39"/>
      <c r="NPX74" s="41"/>
      <c r="NPY74" s="41"/>
      <c r="NPZ74" s="41"/>
      <c r="NQA74" s="41"/>
      <c r="NQB74" s="41"/>
      <c r="NRX74" s="39"/>
      <c r="NSA74" s="41"/>
      <c r="NSB74" s="41"/>
      <c r="NSC74" s="41"/>
      <c r="NSD74" s="41"/>
      <c r="NSE74" s="41"/>
      <c r="NUA74" s="39"/>
      <c r="NUD74" s="41"/>
      <c r="NUE74" s="41"/>
      <c r="NUF74" s="41"/>
      <c r="NUG74" s="41"/>
      <c r="NUH74" s="41"/>
      <c r="NWD74" s="39"/>
      <c r="NWG74" s="41"/>
      <c r="NWH74" s="41"/>
      <c r="NWI74" s="41"/>
      <c r="NWJ74" s="41"/>
      <c r="NWK74" s="41"/>
      <c r="NYG74" s="39"/>
      <c r="NYJ74" s="41"/>
      <c r="NYK74" s="41"/>
      <c r="NYL74" s="41"/>
      <c r="NYM74" s="41"/>
      <c r="NYN74" s="41"/>
      <c r="OAJ74" s="39"/>
      <c r="OAM74" s="41"/>
      <c r="OAN74" s="41"/>
      <c r="OAO74" s="41"/>
      <c r="OAP74" s="41"/>
      <c r="OAQ74" s="41"/>
      <c r="OCM74" s="39"/>
      <c r="OCP74" s="41"/>
      <c r="OCQ74" s="41"/>
      <c r="OCR74" s="41"/>
      <c r="OCS74" s="41"/>
      <c r="OCT74" s="41"/>
      <c r="OEP74" s="39"/>
      <c r="OES74" s="41"/>
      <c r="OET74" s="41"/>
      <c r="OEU74" s="41"/>
      <c r="OEV74" s="41"/>
      <c r="OEW74" s="41"/>
      <c r="OGS74" s="39"/>
      <c r="OGV74" s="41"/>
      <c r="OGW74" s="41"/>
      <c r="OGX74" s="41"/>
      <c r="OGY74" s="41"/>
      <c r="OGZ74" s="41"/>
      <c r="OIV74" s="39"/>
      <c r="OIY74" s="41"/>
      <c r="OIZ74" s="41"/>
      <c r="OJA74" s="41"/>
      <c r="OJB74" s="41"/>
      <c r="OJC74" s="41"/>
      <c r="OKY74" s="39"/>
      <c r="OLB74" s="41"/>
      <c r="OLC74" s="41"/>
      <c r="OLD74" s="41"/>
      <c r="OLE74" s="41"/>
      <c r="OLF74" s="41"/>
      <c r="ONB74" s="39"/>
      <c r="ONE74" s="41"/>
      <c r="ONF74" s="41"/>
      <c r="ONG74" s="41"/>
      <c r="ONH74" s="41"/>
      <c r="ONI74" s="41"/>
      <c r="OPE74" s="39"/>
      <c r="OPH74" s="41"/>
      <c r="OPI74" s="41"/>
      <c r="OPJ74" s="41"/>
      <c r="OPK74" s="41"/>
      <c r="OPL74" s="41"/>
      <c r="ORH74" s="39"/>
      <c r="ORK74" s="41"/>
      <c r="ORL74" s="41"/>
      <c r="ORM74" s="41"/>
      <c r="ORN74" s="41"/>
      <c r="ORO74" s="41"/>
      <c r="OTK74" s="39"/>
      <c r="OTN74" s="41"/>
      <c r="OTO74" s="41"/>
      <c r="OTP74" s="41"/>
      <c r="OTQ74" s="41"/>
      <c r="OTR74" s="41"/>
      <c r="OVN74" s="39"/>
      <c r="OVQ74" s="41"/>
      <c r="OVR74" s="41"/>
      <c r="OVS74" s="41"/>
      <c r="OVT74" s="41"/>
      <c r="OVU74" s="41"/>
      <c r="OXQ74" s="39"/>
      <c r="OXT74" s="41"/>
      <c r="OXU74" s="41"/>
      <c r="OXV74" s="41"/>
      <c r="OXW74" s="41"/>
      <c r="OXX74" s="41"/>
      <c r="OZT74" s="39"/>
      <c r="OZW74" s="41"/>
      <c r="OZX74" s="41"/>
      <c r="OZY74" s="41"/>
      <c r="OZZ74" s="41"/>
      <c r="PAA74" s="41"/>
      <c r="PBW74" s="39"/>
      <c r="PBZ74" s="41"/>
      <c r="PCA74" s="41"/>
      <c r="PCB74" s="41"/>
      <c r="PCC74" s="41"/>
      <c r="PCD74" s="41"/>
      <c r="PDZ74" s="39"/>
      <c r="PEC74" s="41"/>
      <c r="PED74" s="41"/>
      <c r="PEE74" s="41"/>
      <c r="PEF74" s="41"/>
      <c r="PEG74" s="41"/>
      <c r="PGC74" s="39"/>
      <c r="PGF74" s="41"/>
      <c r="PGG74" s="41"/>
      <c r="PGH74" s="41"/>
      <c r="PGI74" s="41"/>
      <c r="PGJ74" s="41"/>
      <c r="PIF74" s="39"/>
      <c r="PII74" s="41"/>
      <c r="PIJ74" s="41"/>
      <c r="PIK74" s="41"/>
      <c r="PIL74" s="41"/>
      <c r="PIM74" s="41"/>
      <c r="PKI74" s="39"/>
      <c r="PKL74" s="41"/>
      <c r="PKM74" s="41"/>
      <c r="PKN74" s="41"/>
      <c r="PKO74" s="41"/>
      <c r="PKP74" s="41"/>
      <c r="PML74" s="39"/>
      <c r="PMO74" s="41"/>
      <c r="PMP74" s="41"/>
      <c r="PMQ74" s="41"/>
      <c r="PMR74" s="41"/>
      <c r="PMS74" s="41"/>
      <c r="POO74" s="39"/>
      <c r="POR74" s="41"/>
      <c r="POS74" s="41"/>
      <c r="POT74" s="41"/>
      <c r="POU74" s="41"/>
      <c r="POV74" s="41"/>
      <c r="PQR74" s="39"/>
      <c r="PQU74" s="41"/>
      <c r="PQV74" s="41"/>
      <c r="PQW74" s="41"/>
      <c r="PQX74" s="41"/>
      <c r="PQY74" s="41"/>
      <c r="PSU74" s="39"/>
      <c r="PSX74" s="41"/>
      <c r="PSY74" s="41"/>
      <c r="PSZ74" s="41"/>
      <c r="PTA74" s="41"/>
      <c r="PTB74" s="41"/>
      <c r="PUX74" s="39"/>
      <c r="PVA74" s="41"/>
      <c r="PVB74" s="41"/>
      <c r="PVC74" s="41"/>
      <c r="PVD74" s="41"/>
      <c r="PVE74" s="41"/>
      <c r="PXA74" s="39"/>
      <c r="PXD74" s="41"/>
      <c r="PXE74" s="41"/>
      <c r="PXF74" s="41"/>
      <c r="PXG74" s="41"/>
      <c r="PXH74" s="41"/>
      <c r="PZD74" s="39"/>
      <c r="PZG74" s="41"/>
      <c r="PZH74" s="41"/>
      <c r="PZI74" s="41"/>
      <c r="PZJ74" s="41"/>
      <c r="PZK74" s="41"/>
      <c r="QBG74" s="39"/>
      <c r="QBJ74" s="41"/>
      <c r="QBK74" s="41"/>
      <c r="QBL74" s="41"/>
      <c r="QBM74" s="41"/>
      <c r="QBN74" s="41"/>
      <c r="QDJ74" s="39"/>
      <c r="QDM74" s="41"/>
      <c r="QDN74" s="41"/>
      <c r="QDO74" s="41"/>
      <c r="QDP74" s="41"/>
      <c r="QDQ74" s="41"/>
      <c r="QFM74" s="39"/>
      <c r="QFP74" s="41"/>
      <c r="QFQ74" s="41"/>
      <c r="QFR74" s="41"/>
      <c r="QFS74" s="41"/>
      <c r="QFT74" s="41"/>
      <c r="QHP74" s="39"/>
      <c r="QHS74" s="41"/>
      <c r="QHT74" s="41"/>
      <c r="QHU74" s="41"/>
      <c r="QHV74" s="41"/>
      <c r="QHW74" s="41"/>
      <c r="QJS74" s="39"/>
      <c r="QJV74" s="41"/>
      <c r="QJW74" s="41"/>
      <c r="QJX74" s="41"/>
      <c r="QJY74" s="41"/>
      <c r="QJZ74" s="41"/>
      <c r="QLV74" s="39"/>
      <c r="QLY74" s="41"/>
      <c r="QLZ74" s="41"/>
      <c r="QMA74" s="41"/>
      <c r="QMB74" s="41"/>
      <c r="QMC74" s="41"/>
      <c r="QNY74" s="39"/>
      <c r="QOB74" s="41"/>
      <c r="QOC74" s="41"/>
      <c r="QOD74" s="41"/>
      <c r="QOE74" s="41"/>
      <c r="QOF74" s="41"/>
      <c r="QQB74" s="39"/>
      <c r="QQE74" s="41"/>
      <c r="QQF74" s="41"/>
      <c r="QQG74" s="41"/>
      <c r="QQH74" s="41"/>
      <c r="QQI74" s="41"/>
      <c r="QSE74" s="39"/>
      <c r="QSH74" s="41"/>
      <c r="QSI74" s="41"/>
      <c r="QSJ74" s="41"/>
      <c r="QSK74" s="41"/>
      <c r="QSL74" s="41"/>
      <c r="QUH74" s="39"/>
      <c r="QUK74" s="41"/>
      <c r="QUL74" s="41"/>
      <c r="QUM74" s="41"/>
      <c r="QUN74" s="41"/>
      <c r="QUO74" s="41"/>
      <c r="QWK74" s="39"/>
      <c r="QWN74" s="41"/>
      <c r="QWO74" s="41"/>
      <c r="QWP74" s="41"/>
      <c r="QWQ74" s="41"/>
      <c r="QWR74" s="41"/>
      <c r="QYN74" s="39"/>
      <c r="QYQ74" s="41"/>
      <c r="QYR74" s="41"/>
      <c r="QYS74" s="41"/>
      <c r="QYT74" s="41"/>
      <c r="QYU74" s="41"/>
      <c r="RAQ74" s="39"/>
      <c r="RAT74" s="41"/>
      <c r="RAU74" s="41"/>
      <c r="RAV74" s="41"/>
      <c r="RAW74" s="41"/>
      <c r="RAX74" s="41"/>
      <c r="RCT74" s="39"/>
      <c r="RCW74" s="41"/>
      <c r="RCX74" s="41"/>
      <c r="RCY74" s="41"/>
      <c r="RCZ74" s="41"/>
      <c r="RDA74" s="41"/>
      <c r="REW74" s="39"/>
      <c r="REZ74" s="41"/>
      <c r="RFA74" s="41"/>
      <c r="RFB74" s="41"/>
      <c r="RFC74" s="41"/>
      <c r="RFD74" s="41"/>
      <c r="RGZ74" s="39"/>
      <c r="RHC74" s="41"/>
      <c r="RHD74" s="41"/>
      <c r="RHE74" s="41"/>
      <c r="RHF74" s="41"/>
      <c r="RHG74" s="41"/>
      <c r="RJC74" s="39"/>
      <c r="RJF74" s="41"/>
      <c r="RJG74" s="41"/>
      <c r="RJH74" s="41"/>
      <c r="RJI74" s="41"/>
      <c r="RJJ74" s="41"/>
      <c r="RLF74" s="39"/>
      <c r="RLI74" s="41"/>
      <c r="RLJ74" s="41"/>
      <c r="RLK74" s="41"/>
      <c r="RLL74" s="41"/>
      <c r="RLM74" s="41"/>
      <c r="RNI74" s="39"/>
      <c r="RNL74" s="41"/>
      <c r="RNM74" s="41"/>
      <c r="RNN74" s="41"/>
      <c r="RNO74" s="41"/>
      <c r="RNP74" s="41"/>
      <c r="RPL74" s="39"/>
      <c r="RPO74" s="41"/>
      <c r="RPP74" s="41"/>
      <c r="RPQ74" s="41"/>
      <c r="RPR74" s="41"/>
      <c r="RPS74" s="41"/>
      <c r="RRO74" s="39"/>
      <c r="RRR74" s="41"/>
      <c r="RRS74" s="41"/>
      <c r="RRT74" s="41"/>
      <c r="RRU74" s="41"/>
      <c r="RRV74" s="41"/>
      <c r="RTR74" s="39"/>
      <c r="RTU74" s="41"/>
      <c r="RTV74" s="41"/>
      <c r="RTW74" s="41"/>
      <c r="RTX74" s="41"/>
      <c r="RTY74" s="41"/>
      <c r="RVU74" s="39"/>
      <c r="RVX74" s="41"/>
      <c r="RVY74" s="41"/>
      <c r="RVZ74" s="41"/>
      <c r="RWA74" s="41"/>
      <c r="RWB74" s="41"/>
      <c r="RXX74" s="39"/>
      <c r="RYA74" s="41"/>
      <c r="RYB74" s="41"/>
      <c r="RYC74" s="41"/>
      <c r="RYD74" s="41"/>
      <c r="RYE74" s="41"/>
      <c r="SAA74" s="39"/>
      <c r="SAD74" s="41"/>
      <c r="SAE74" s="41"/>
      <c r="SAF74" s="41"/>
      <c r="SAG74" s="41"/>
      <c r="SAH74" s="41"/>
      <c r="SCD74" s="39"/>
      <c r="SCG74" s="41"/>
      <c r="SCH74" s="41"/>
      <c r="SCI74" s="41"/>
      <c r="SCJ74" s="41"/>
      <c r="SCK74" s="41"/>
      <c r="SEG74" s="39"/>
      <c r="SEJ74" s="41"/>
      <c r="SEK74" s="41"/>
      <c r="SEL74" s="41"/>
      <c r="SEM74" s="41"/>
      <c r="SEN74" s="41"/>
      <c r="SGJ74" s="39"/>
      <c r="SGM74" s="41"/>
      <c r="SGN74" s="41"/>
      <c r="SGO74" s="41"/>
      <c r="SGP74" s="41"/>
      <c r="SGQ74" s="41"/>
      <c r="SIM74" s="39"/>
      <c r="SIP74" s="41"/>
      <c r="SIQ74" s="41"/>
      <c r="SIR74" s="41"/>
      <c r="SIS74" s="41"/>
      <c r="SIT74" s="41"/>
      <c r="SKP74" s="39"/>
      <c r="SKS74" s="41"/>
      <c r="SKT74" s="41"/>
      <c r="SKU74" s="41"/>
      <c r="SKV74" s="41"/>
      <c r="SKW74" s="41"/>
      <c r="SMS74" s="39"/>
      <c r="SMV74" s="41"/>
      <c r="SMW74" s="41"/>
      <c r="SMX74" s="41"/>
      <c r="SMY74" s="41"/>
      <c r="SMZ74" s="41"/>
      <c r="SOV74" s="39"/>
      <c r="SOY74" s="41"/>
      <c r="SOZ74" s="41"/>
      <c r="SPA74" s="41"/>
      <c r="SPB74" s="41"/>
      <c r="SPC74" s="41"/>
      <c r="SQY74" s="39"/>
      <c r="SRB74" s="41"/>
      <c r="SRC74" s="41"/>
      <c r="SRD74" s="41"/>
      <c r="SRE74" s="41"/>
      <c r="SRF74" s="41"/>
      <c r="STB74" s="39"/>
      <c r="STE74" s="41"/>
      <c r="STF74" s="41"/>
      <c r="STG74" s="41"/>
      <c r="STH74" s="41"/>
      <c r="STI74" s="41"/>
      <c r="SVE74" s="39"/>
      <c r="SVH74" s="41"/>
      <c r="SVI74" s="41"/>
      <c r="SVJ74" s="41"/>
      <c r="SVK74" s="41"/>
      <c r="SVL74" s="41"/>
      <c r="SXH74" s="39"/>
      <c r="SXK74" s="41"/>
      <c r="SXL74" s="41"/>
      <c r="SXM74" s="41"/>
      <c r="SXN74" s="41"/>
      <c r="SXO74" s="41"/>
      <c r="SZK74" s="39"/>
      <c r="SZN74" s="41"/>
      <c r="SZO74" s="41"/>
      <c r="SZP74" s="41"/>
      <c r="SZQ74" s="41"/>
      <c r="SZR74" s="41"/>
      <c r="TBN74" s="39"/>
      <c r="TBQ74" s="41"/>
      <c r="TBR74" s="41"/>
      <c r="TBS74" s="41"/>
      <c r="TBT74" s="41"/>
      <c r="TBU74" s="41"/>
      <c r="TDQ74" s="39"/>
      <c r="TDT74" s="41"/>
      <c r="TDU74" s="41"/>
      <c r="TDV74" s="41"/>
      <c r="TDW74" s="41"/>
      <c r="TDX74" s="41"/>
      <c r="TFT74" s="39"/>
      <c r="TFW74" s="41"/>
      <c r="TFX74" s="41"/>
      <c r="TFY74" s="41"/>
      <c r="TFZ74" s="41"/>
      <c r="TGA74" s="41"/>
      <c r="THW74" s="39"/>
      <c r="THZ74" s="41"/>
      <c r="TIA74" s="41"/>
      <c r="TIB74" s="41"/>
      <c r="TIC74" s="41"/>
      <c r="TID74" s="41"/>
      <c r="TJZ74" s="39"/>
      <c r="TKC74" s="41"/>
      <c r="TKD74" s="41"/>
      <c r="TKE74" s="41"/>
      <c r="TKF74" s="41"/>
      <c r="TKG74" s="41"/>
      <c r="TMC74" s="39"/>
      <c r="TMF74" s="41"/>
      <c r="TMG74" s="41"/>
      <c r="TMH74" s="41"/>
      <c r="TMI74" s="41"/>
      <c r="TMJ74" s="41"/>
      <c r="TOF74" s="39"/>
      <c r="TOI74" s="41"/>
      <c r="TOJ74" s="41"/>
      <c r="TOK74" s="41"/>
      <c r="TOL74" s="41"/>
      <c r="TOM74" s="41"/>
      <c r="TQI74" s="39"/>
      <c r="TQL74" s="41"/>
      <c r="TQM74" s="41"/>
      <c r="TQN74" s="41"/>
      <c r="TQO74" s="41"/>
      <c r="TQP74" s="41"/>
      <c r="TSL74" s="39"/>
      <c r="TSO74" s="41"/>
      <c r="TSP74" s="41"/>
      <c r="TSQ74" s="41"/>
      <c r="TSR74" s="41"/>
      <c r="TSS74" s="41"/>
      <c r="TUO74" s="39"/>
      <c r="TUR74" s="41"/>
      <c r="TUS74" s="41"/>
      <c r="TUT74" s="41"/>
      <c r="TUU74" s="41"/>
      <c r="TUV74" s="41"/>
      <c r="TWR74" s="39"/>
      <c r="TWU74" s="41"/>
      <c r="TWV74" s="41"/>
      <c r="TWW74" s="41"/>
      <c r="TWX74" s="41"/>
      <c r="TWY74" s="41"/>
      <c r="TYU74" s="39"/>
      <c r="TYX74" s="41"/>
      <c r="TYY74" s="41"/>
      <c r="TYZ74" s="41"/>
      <c r="TZA74" s="41"/>
      <c r="TZB74" s="41"/>
      <c r="UAX74" s="39"/>
      <c r="UBA74" s="41"/>
      <c r="UBB74" s="41"/>
      <c r="UBC74" s="41"/>
      <c r="UBD74" s="41"/>
      <c r="UBE74" s="41"/>
      <c r="UDA74" s="39"/>
      <c r="UDD74" s="41"/>
      <c r="UDE74" s="41"/>
      <c r="UDF74" s="41"/>
      <c r="UDG74" s="41"/>
      <c r="UDH74" s="41"/>
      <c r="UFD74" s="39"/>
      <c r="UFG74" s="41"/>
      <c r="UFH74" s="41"/>
      <c r="UFI74" s="41"/>
      <c r="UFJ74" s="41"/>
      <c r="UFK74" s="41"/>
      <c r="UHG74" s="39"/>
      <c r="UHJ74" s="41"/>
      <c r="UHK74" s="41"/>
      <c r="UHL74" s="41"/>
      <c r="UHM74" s="41"/>
      <c r="UHN74" s="41"/>
      <c r="UJJ74" s="39"/>
      <c r="UJM74" s="41"/>
      <c r="UJN74" s="41"/>
      <c r="UJO74" s="41"/>
      <c r="UJP74" s="41"/>
      <c r="UJQ74" s="41"/>
      <c r="ULM74" s="39"/>
      <c r="ULP74" s="41"/>
      <c r="ULQ74" s="41"/>
      <c r="ULR74" s="41"/>
      <c r="ULS74" s="41"/>
      <c r="ULT74" s="41"/>
      <c r="UNP74" s="39"/>
      <c r="UNS74" s="41"/>
      <c r="UNT74" s="41"/>
      <c r="UNU74" s="41"/>
      <c r="UNV74" s="41"/>
      <c r="UNW74" s="41"/>
      <c r="UPS74" s="39"/>
      <c r="UPV74" s="41"/>
      <c r="UPW74" s="41"/>
      <c r="UPX74" s="41"/>
      <c r="UPY74" s="41"/>
      <c r="UPZ74" s="41"/>
      <c r="URV74" s="39"/>
      <c r="URY74" s="41"/>
      <c r="URZ74" s="41"/>
      <c r="USA74" s="41"/>
      <c r="USB74" s="41"/>
      <c r="USC74" s="41"/>
      <c r="UTY74" s="39"/>
      <c r="UUB74" s="41"/>
      <c r="UUC74" s="41"/>
      <c r="UUD74" s="41"/>
      <c r="UUE74" s="41"/>
      <c r="UUF74" s="41"/>
      <c r="UWB74" s="39"/>
      <c r="UWE74" s="41"/>
      <c r="UWF74" s="41"/>
      <c r="UWG74" s="41"/>
      <c r="UWH74" s="41"/>
      <c r="UWI74" s="41"/>
      <c r="UYE74" s="39"/>
      <c r="UYH74" s="41"/>
      <c r="UYI74" s="41"/>
      <c r="UYJ74" s="41"/>
      <c r="UYK74" s="41"/>
      <c r="UYL74" s="41"/>
      <c r="VAH74" s="39"/>
      <c r="VAK74" s="41"/>
      <c r="VAL74" s="41"/>
      <c r="VAM74" s="41"/>
      <c r="VAN74" s="41"/>
      <c r="VAO74" s="41"/>
      <c r="VCK74" s="39"/>
      <c r="VCN74" s="41"/>
      <c r="VCO74" s="41"/>
      <c r="VCP74" s="41"/>
      <c r="VCQ74" s="41"/>
      <c r="VCR74" s="41"/>
      <c r="VEN74" s="39"/>
      <c r="VEQ74" s="41"/>
      <c r="VER74" s="41"/>
      <c r="VES74" s="41"/>
      <c r="VET74" s="41"/>
      <c r="VEU74" s="41"/>
      <c r="VGQ74" s="39"/>
      <c r="VGT74" s="41"/>
      <c r="VGU74" s="41"/>
      <c r="VGV74" s="41"/>
      <c r="VGW74" s="41"/>
      <c r="VGX74" s="41"/>
      <c r="VIT74" s="39"/>
      <c r="VIW74" s="41"/>
      <c r="VIX74" s="41"/>
      <c r="VIY74" s="41"/>
      <c r="VIZ74" s="41"/>
      <c r="VJA74" s="41"/>
      <c r="VKW74" s="39"/>
      <c r="VKZ74" s="41"/>
      <c r="VLA74" s="41"/>
      <c r="VLB74" s="41"/>
      <c r="VLC74" s="41"/>
      <c r="VLD74" s="41"/>
      <c r="VMZ74" s="39"/>
      <c r="VNC74" s="41"/>
      <c r="VND74" s="41"/>
      <c r="VNE74" s="41"/>
      <c r="VNF74" s="41"/>
      <c r="VNG74" s="41"/>
      <c r="VPC74" s="39"/>
      <c r="VPF74" s="41"/>
      <c r="VPG74" s="41"/>
      <c r="VPH74" s="41"/>
      <c r="VPI74" s="41"/>
      <c r="VPJ74" s="41"/>
      <c r="VRF74" s="39"/>
      <c r="VRI74" s="41"/>
      <c r="VRJ74" s="41"/>
      <c r="VRK74" s="41"/>
      <c r="VRL74" s="41"/>
      <c r="VRM74" s="41"/>
      <c r="VTI74" s="39"/>
      <c r="VTL74" s="41"/>
      <c r="VTM74" s="41"/>
      <c r="VTN74" s="41"/>
      <c r="VTO74" s="41"/>
      <c r="VTP74" s="41"/>
      <c r="VVL74" s="39"/>
      <c r="VVO74" s="41"/>
      <c r="VVP74" s="41"/>
      <c r="VVQ74" s="41"/>
      <c r="VVR74" s="41"/>
      <c r="VVS74" s="41"/>
      <c r="VXO74" s="39"/>
      <c r="VXR74" s="41"/>
      <c r="VXS74" s="41"/>
      <c r="VXT74" s="41"/>
      <c r="VXU74" s="41"/>
      <c r="VXV74" s="41"/>
      <c r="VZR74" s="39"/>
      <c r="VZU74" s="41"/>
      <c r="VZV74" s="41"/>
      <c r="VZW74" s="41"/>
      <c r="VZX74" s="41"/>
      <c r="VZY74" s="41"/>
      <c r="WBU74" s="39"/>
      <c r="WBX74" s="41"/>
      <c r="WBY74" s="41"/>
      <c r="WBZ74" s="41"/>
      <c r="WCA74" s="41"/>
      <c r="WCB74" s="41"/>
      <c r="WDX74" s="39"/>
      <c r="WEA74" s="41"/>
      <c r="WEB74" s="41"/>
      <c r="WEC74" s="41"/>
      <c r="WED74" s="41"/>
      <c r="WEE74" s="41"/>
      <c r="WGA74" s="39"/>
      <c r="WGD74" s="41"/>
      <c r="WGE74" s="41"/>
      <c r="WGF74" s="41"/>
      <c r="WGG74" s="41"/>
      <c r="WGH74" s="41"/>
      <c r="WID74" s="39"/>
      <c r="WIG74" s="41"/>
      <c r="WIH74" s="41"/>
      <c r="WII74" s="41"/>
      <c r="WIJ74" s="41"/>
      <c r="WIK74" s="41"/>
      <c r="WKG74" s="39"/>
      <c r="WKJ74" s="41"/>
      <c r="WKK74" s="41"/>
      <c r="WKL74" s="41"/>
      <c r="WKM74" s="41"/>
      <c r="WKN74" s="41"/>
      <c r="WMJ74" s="39"/>
      <c r="WMM74" s="41"/>
      <c r="WMN74" s="41"/>
      <c r="WMO74" s="41"/>
      <c r="WMP74" s="41"/>
      <c r="WMQ74" s="41"/>
      <c r="WOM74" s="39"/>
      <c r="WOP74" s="41"/>
      <c r="WOQ74" s="41"/>
      <c r="WOR74" s="41"/>
      <c r="WOS74" s="41"/>
      <c r="WOT74" s="41"/>
      <c r="WQP74" s="39"/>
      <c r="WQS74" s="41"/>
      <c r="WQT74" s="41"/>
      <c r="WQU74" s="41"/>
      <c r="WQV74" s="41"/>
      <c r="WQW74" s="41"/>
      <c r="WSS74" s="39"/>
      <c r="WSV74" s="41"/>
      <c r="WSW74" s="41"/>
      <c r="WSX74" s="41"/>
      <c r="WSY74" s="41"/>
      <c r="WSZ74" s="41"/>
      <c r="WUV74" s="39"/>
      <c r="WUY74" s="41"/>
      <c r="WUZ74" s="41"/>
      <c r="WVA74" s="41"/>
      <c r="WVB74" s="41"/>
      <c r="WVC74" s="41"/>
      <c r="WWY74" s="39"/>
      <c r="WXB74" s="41"/>
      <c r="WXC74" s="41"/>
      <c r="WXD74" s="41"/>
      <c r="WXE74" s="41"/>
      <c r="WXF74" s="41"/>
      <c r="WZB74" s="39"/>
      <c r="WZE74" s="41"/>
      <c r="WZF74" s="41"/>
      <c r="WZG74" s="41"/>
      <c r="WZH74" s="41"/>
      <c r="WZI74" s="41"/>
      <c r="XBE74" s="39"/>
      <c r="XBH74" s="41"/>
      <c r="XBI74" s="41"/>
      <c r="XBJ74" s="41"/>
      <c r="XBK74" s="41"/>
      <c r="XBL74" s="41"/>
      <c r="XDH74" s="39"/>
      <c r="XDK74" s="41"/>
      <c r="XDL74" s="41"/>
      <c r="XDM74" s="41"/>
      <c r="XDN74" s="41"/>
      <c r="XDO74" s="41"/>
    </row>
    <row r="75" spans="1:998 1046:2043 2091:3033 3081:4078 4126:6113 6161:7158 7206:8148 8196:9193 9241:10238 10286:11228 11276:12273 12321:13311 13314:14308 14356:15353 15401:16343" s="40" customFormat="1" ht="15" customHeight="1" x14ac:dyDescent="0.25">
      <c r="A75" s="22" t="s">
        <v>547</v>
      </c>
      <c r="B75" s="23">
        <v>750</v>
      </c>
      <c r="C75" s="23">
        <v>30</v>
      </c>
      <c r="D75" s="24">
        <v>30</v>
      </c>
      <c r="E75" s="24" t="s">
        <v>469</v>
      </c>
      <c r="F75" s="24">
        <v>0</v>
      </c>
      <c r="G75" s="24">
        <f t="shared" si="18"/>
        <v>360</v>
      </c>
      <c r="H75" s="24">
        <f t="shared" si="19"/>
        <v>187</v>
      </c>
      <c r="I75" s="23">
        <f t="shared" si="20"/>
        <v>175</v>
      </c>
      <c r="J75" s="23">
        <f t="shared" si="21"/>
        <v>30</v>
      </c>
      <c r="K75" s="23"/>
      <c r="L75" s="23">
        <v>12</v>
      </c>
      <c r="M75" s="23">
        <v>20</v>
      </c>
      <c r="N75" s="23">
        <f t="shared" si="22"/>
        <v>9</v>
      </c>
      <c r="O75" s="23">
        <f t="shared" si="23"/>
        <v>20</v>
      </c>
      <c r="P75" s="23">
        <f t="shared" si="24"/>
        <v>40</v>
      </c>
      <c r="Q75" s="23">
        <f t="shared" si="25"/>
        <v>40</v>
      </c>
      <c r="R75" s="23">
        <f t="shared" si="26"/>
        <v>20</v>
      </c>
      <c r="BD75" s="39"/>
      <c r="BG75" s="41"/>
      <c r="BH75" s="41"/>
      <c r="BI75" s="41"/>
      <c r="BJ75" s="41"/>
      <c r="BK75" s="41"/>
      <c r="DG75" s="39"/>
      <c r="DJ75" s="41"/>
      <c r="DK75" s="41"/>
      <c r="DL75" s="41"/>
      <c r="DM75" s="41"/>
      <c r="DN75" s="41"/>
      <c r="FJ75" s="39"/>
      <c r="FM75" s="41"/>
      <c r="FN75" s="41"/>
      <c r="FO75" s="41"/>
      <c r="FP75" s="41"/>
      <c r="FQ75" s="41"/>
      <c r="HM75" s="39"/>
      <c r="HP75" s="41"/>
      <c r="HQ75" s="41"/>
      <c r="HR75" s="41"/>
      <c r="HS75" s="41"/>
      <c r="HT75" s="41"/>
      <c r="JP75" s="39"/>
      <c r="JS75" s="41"/>
      <c r="JT75" s="41"/>
      <c r="JU75" s="41"/>
      <c r="JV75" s="41"/>
      <c r="JW75" s="41"/>
      <c r="LS75" s="39"/>
      <c r="LV75" s="41"/>
      <c r="LW75" s="41"/>
      <c r="LX75" s="41"/>
      <c r="LY75" s="41"/>
      <c r="LZ75" s="41"/>
      <c r="NV75" s="39"/>
      <c r="NY75" s="41"/>
      <c r="NZ75" s="41"/>
      <c r="OA75" s="41"/>
      <c r="OB75" s="41"/>
      <c r="OC75" s="41"/>
      <c r="PY75" s="39"/>
      <c r="QB75" s="41"/>
      <c r="QC75" s="41"/>
      <c r="QD75" s="41"/>
      <c r="QE75" s="41"/>
      <c r="QF75" s="41"/>
      <c r="SB75" s="39"/>
      <c r="SE75" s="41"/>
      <c r="SF75" s="41"/>
      <c r="SG75" s="41"/>
      <c r="SH75" s="41"/>
      <c r="SI75" s="41"/>
      <c r="UE75" s="39"/>
      <c r="UH75" s="41"/>
      <c r="UI75" s="41"/>
      <c r="UJ75" s="41"/>
      <c r="UK75" s="41"/>
      <c r="UL75" s="41"/>
      <c r="WH75" s="39"/>
      <c r="WK75" s="41"/>
      <c r="WL75" s="41"/>
      <c r="WM75" s="41"/>
      <c r="WN75" s="41"/>
      <c r="WO75" s="41"/>
      <c r="YK75" s="39"/>
      <c r="YN75" s="41"/>
      <c r="YO75" s="41"/>
      <c r="YP75" s="41"/>
      <c r="YQ75" s="41"/>
      <c r="YR75" s="41"/>
      <c r="AAN75" s="39"/>
      <c r="AAQ75" s="41"/>
      <c r="AAR75" s="41"/>
      <c r="AAS75" s="41"/>
      <c r="AAT75" s="41"/>
      <c r="AAU75" s="41"/>
      <c r="ACQ75" s="39"/>
      <c r="ACT75" s="41"/>
      <c r="ACU75" s="41"/>
      <c r="ACV75" s="41"/>
      <c r="ACW75" s="41"/>
      <c r="ACX75" s="41"/>
      <c r="AET75" s="39"/>
      <c r="AEW75" s="41"/>
      <c r="AEX75" s="41"/>
      <c r="AEY75" s="41"/>
      <c r="AEZ75" s="41"/>
      <c r="AFA75" s="41"/>
      <c r="AGW75" s="39"/>
      <c r="AGZ75" s="41"/>
      <c r="AHA75" s="41"/>
      <c r="AHB75" s="41"/>
      <c r="AHC75" s="41"/>
      <c r="AHD75" s="41"/>
      <c r="AIZ75" s="39"/>
      <c r="AJC75" s="41"/>
      <c r="AJD75" s="41"/>
      <c r="AJE75" s="41"/>
      <c r="AJF75" s="41"/>
      <c r="AJG75" s="41"/>
      <c r="ALC75" s="39"/>
      <c r="ALF75" s="41"/>
      <c r="ALG75" s="41"/>
      <c r="ALH75" s="41"/>
      <c r="ALI75" s="41"/>
      <c r="ALJ75" s="41"/>
      <c r="ANF75" s="39"/>
      <c r="ANI75" s="41"/>
      <c r="ANJ75" s="41"/>
      <c r="ANK75" s="41"/>
      <c r="ANL75" s="41"/>
      <c r="ANM75" s="41"/>
      <c r="API75" s="39"/>
      <c r="APL75" s="41"/>
      <c r="APM75" s="41"/>
      <c r="APN75" s="41"/>
      <c r="APO75" s="41"/>
      <c r="APP75" s="41"/>
      <c r="ARL75" s="39"/>
      <c r="ARO75" s="41"/>
      <c r="ARP75" s="41"/>
      <c r="ARQ75" s="41"/>
      <c r="ARR75" s="41"/>
      <c r="ARS75" s="41"/>
      <c r="ATO75" s="39"/>
      <c r="ATR75" s="41"/>
      <c r="ATS75" s="41"/>
      <c r="ATT75" s="41"/>
      <c r="ATU75" s="41"/>
      <c r="ATV75" s="41"/>
      <c r="AVR75" s="39"/>
      <c r="AVU75" s="41"/>
      <c r="AVV75" s="41"/>
      <c r="AVW75" s="41"/>
      <c r="AVX75" s="41"/>
      <c r="AVY75" s="41"/>
      <c r="AXU75" s="39"/>
      <c r="AXX75" s="41"/>
      <c r="AXY75" s="41"/>
      <c r="AXZ75" s="41"/>
      <c r="AYA75" s="41"/>
      <c r="AYB75" s="41"/>
      <c r="AZX75" s="39"/>
      <c r="BAA75" s="41"/>
      <c r="BAB75" s="41"/>
      <c r="BAC75" s="41"/>
      <c r="BAD75" s="41"/>
      <c r="BAE75" s="41"/>
      <c r="BCA75" s="39"/>
      <c r="BCD75" s="41"/>
      <c r="BCE75" s="41"/>
      <c r="BCF75" s="41"/>
      <c r="BCG75" s="41"/>
      <c r="BCH75" s="41"/>
      <c r="BED75" s="39"/>
      <c r="BEG75" s="41"/>
      <c r="BEH75" s="41"/>
      <c r="BEI75" s="41"/>
      <c r="BEJ75" s="41"/>
      <c r="BEK75" s="41"/>
      <c r="BGG75" s="39"/>
      <c r="BGJ75" s="41"/>
      <c r="BGK75" s="41"/>
      <c r="BGL75" s="41"/>
      <c r="BGM75" s="41"/>
      <c r="BGN75" s="41"/>
      <c r="BIJ75" s="39"/>
      <c r="BIM75" s="41"/>
      <c r="BIN75" s="41"/>
      <c r="BIO75" s="41"/>
      <c r="BIP75" s="41"/>
      <c r="BIQ75" s="41"/>
      <c r="BKM75" s="39"/>
      <c r="BKP75" s="41"/>
      <c r="BKQ75" s="41"/>
      <c r="BKR75" s="41"/>
      <c r="BKS75" s="41"/>
      <c r="BKT75" s="41"/>
      <c r="BMP75" s="39"/>
      <c r="BMS75" s="41"/>
      <c r="BMT75" s="41"/>
      <c r="BMU75" s="41"/>
      <c r="BMV75" s="41"/>
      <c r="BMW75" s="41"/>
      <c r="BOS75" s="39"/>
      <c r="BOV75" s="41"/>
      <c r="BOW75" s="41"/>
      <c r="BOX75" s="41"/>
      <c r="BOY75" s="41"/>
      <c r="BOZ75" s="41"/>
      <c r="BQV75" s="39"/>
      <c r="BQY75" s="41"/>
      <c r="BQZ75" s="41"/>
      <c r="BRA75" s="41"/>
      <c r="BRB75" s="41"/>
      <c r="BRC75" s="41"/>
      <c r="BSY75" s="39"/>
      <c r="BTB75" s="41"/>
      <c r="BTC75" s="41"/>
      <c r="BTD75" s="41"/>
      <c r="BTE75" s="41"/>
      <c r="BTF75" s="41"/>
      <c r="BVB75" s="39"/>
      <c r="BVE75" s="41"/>
      <c r="BVF75" s="41"/>
      <c r="BVG75" s="41"/>
      <c r="BVH75" s="41"/>
      <c r="BVI75" s="41"/>
      <c r="BXE75" s="39"/>
      <c r="BXH75" s="41"/>
      <c r="BXI75" s="41"/>
      <c r="BXJ75" s="41"/>
      <c r="BXK75" s="41"/>
      <c r="BXL75" s="41"/>
      <c r="BZH75" s="39"/>
      <c r="BZK75" s="41"/>
      <c r="BZL75" s="41"/>
      <c r="BZM75" s="41"/>
      <c r="BZN75" s="41"/>
      <c r="BZO75" s="41"/>
      <c r="CBK75" s="39"/>
      <c r="CBN75" s="41"/>
      <c r="CBO75" s="41"/>
      <c r="CBP75" s="41"/>
      <c r="CBQ75" s="41"/>
      <c r="CBR75" s="41"/>
      <c r="CDN75" s="39"/>
      <c r="CDQ75" s="41"/>
      <c r="CDR75" s="41"/>
      <c r="CDS75" s="41"/>
      <c r="CDT75" s="41"/>
      <c r="CDU75" s="41"/>
      <c r="CFQ75" s="39"/>
      <c r="CFT75" s="41"/>
      <c r="CFU75" s="41"/>
      <c r="CFV75" s="41"/>
      <c r="CFW75" s="41"/>
      <c r="CFX75" s="41"/>
      <c r="CHT75" s="39"/>
      <c r="CHW75" s="41"/>
      <c r="CHX75" s="41"/>
      <c r="CHY75" s="41"/>
      <c r="CHZ75" s="41"/>
      <c r="CIA75" s="41"/>
      <c r="CJW75" s="39"/>
      <c r="CJZ75" s="41"/>
      <c r="CKA75" s="41"/>
      <c r="CKB75" s="41"/>
      <c r="CKC75" s="41"/>
      <c r="CKD75" s="41"/>
      <c r="CLZ75" s="39"/>
      <c r="CMC75" s="41"/>
      <c r="CMD75" s="41"/>
      <c r="CME75" s="41"/>
      <c r="CMF75" s="41"/>
      <c r="CMG75" s="41"/>
      <c r="COC75" s="39"/>
      <c r="COF75" s="41"/>
      <c r="COG75" s="41"/>
      <c r="COH75" s="41"/>
      <c r="COI75" s="41"/>
      <c r="COJ75" s="41"/>
      <c r="CQF75" s="39"/>
      <c r="CQI75" s="41"/>
      <c r="CQJ75" s="41"/>
      <c r="CQK75" s="41"/>
      <c r="CQL75" s="41"/>
      <c r="CQM75" s="41"/>
      <c r="CSI75" s="39"/>
      <c r="CSL75" s="41"/>
      <c r="CSM75" s="41"/>
      <c r="CSN75" s="41"/>
      <c r="CSO75" s="41"/>
      <c r="CSP75" s="41"/>
      <c r="CUL75" s="39"/>
      <c r="CUO75" s="41"/>
      <c r="CUP75" s="41"/>
      <c r="CUQ75" s="41"/>
      <c r="CUR75" s="41"/>
      <c r="CUS75" s="41"/>
      <c r="CWO75" s="39"/>
      <c r="CWR75" s="41"/>
      <c r="CWS75" s="41"/>
      <c r="CWT75" s="41"/>
      <c r="CWU75" s="41"/>
      <c r="CWV75" s="41"/>
      <c r="CYR75" s="39"/>
      <c r="CYU75" s="41"/>
      <c r="CYV75" s="41"/>
      <c r="CYW75" s="41"/>
      <c r="CYX75" s="41"/>
      <c r="CYY75" s="41"/>
      <c r="DAU75" s="39"/>
      <c r="DAX75" s="41"/>
      <c r="DAY75" s="41"/>
      <c r="DAZ75" s="41"/>
      <c r="DBA75" s="41"/>
      <c r="DBB75" s="41"/>
      <c r="DCX75" s="39"/>
      <c r="DDA75" s="41"/>
      <c r="DDB75" s="41"/>
      <c r="DDC75" s="41"/>
      <c r="DDD75" s="41"/>
      <c r="DDE75" s="41"/>
      <c r="DFA75" s="39"/>
      <c r="DFD75" s="41"/>
      <c r="DFE75" s="41"/>
      <c r="DFF75" s="41"/>
      <c r="DFG75" s="41"/>
      <c r="DFH75" s="41"/>
      <c r="DHD75" s="39"/>
      <c r="DHG75" s="41"/>
      <c r="DHH75" s="41"/>
      <c r="DHI75" s="41"/>
      <c r="DHJ75" s="41"/>
      <c r="DHK75" s="41"/>
      <c r="DJG75" s="39"/>
      <c r="DJJ75" s="41"/>
      <c r="DJK75" s="41"/>
      <c r="DJL75" s="41"/>
      <c r="DJM75" s="41"/>
      <c r="DJN75" s="41"/>
      <c r="DLJ75" s="39"/>
      <c r="DLM75" s="41"/>
      <c r="DLN75" s="41"/>
      <c r="DLO75" s="41"/>
      <c r="DLP75" s="41"/>
      <c r="DLQ75" s="41"/>
      <c r="DNM75" s="39"/>
      <c r="DNP75" s="41"/>
      <c r="DNQ75" s="41"/>
      <c r="DNR75" s="41"/>
      <c r="DNS75" s="41"/>
      <c r="DNT75" s="41"/>
      <c r="DPP75" s="39"/>
      <c r="DPS75" s="41"/>
      <c r="DPT75" s="41"/>
      <c r="DPU75" s="41"/>
      <c r="DPV75" s="41"/>
      <c r="DPW75" s="41"/>
      <c r="DRS75" s="39"/>
      <c r="DRV75" s="41"/>
      <c r="DRW75" s="41"/>
      <c r="DRX75" s="41"/>
      <c r="DRY75" s="41"/>
      <c r="DRZ75" s="41"/>
      <c r="DTV75" s="39"/>
      <c r="DTY75" s="41"/>
      <c r="DTZ75" s="41"/>
      <c r="DUA75" s="41"/>
      <c r="DUB75" s="41"/>
      <c r="DUC75" s="41"/>
      <c r="DVY75" s="39"/>
      <c r="DWB75" s="41"/>
      <c r="DWC75" s="41"/>
      <c r="DWD75" s="41"/>
      <c r="DWE75" s="41"/>
      <c r="DWF75" s="41"/>
      <c r="DYB75" s="39"/>
      <c r="DYE75" s="41"/>
      <c r="DYF75" s="41"/>
      <c r="DYG75" s="41"/>
      <c r="DYH75" s="41"/>
      <c r="DYI75" s="41"/>
      <c r="EAE75" s="39"/>
      <c r="EAH75" s="41"/>
      <c r="EAI75" s="41"/>
      <c r="EAJ75" s="41"/>
      <c r="EAK75" s="41"/>
      <c r="EAL75" s="41"/>
      <c r="ECH75" s="39"/>
      <c r="ECK75" s="41"/>
      <c r="ECL75" s="41"/>
      <c r="ECM75" s="41"/>
      <c r="ECN75" s="41"/>
      <c r="ECO75" s="41"/>
      <c r="EEK75" s="39"/>
      <c r="EEN75" s="41"/>
      <c r="EEO75" s="41"/>
      <c r="EEP75" s="41"/>
      <c r="EEQ75" s="41"/>
      <c r="EER75" s="41"/>
      <c r="EGN75" s="39"/>
      <c r="EGQ75" s="41"/>
      <c r="EGR75" s="41"/>
      <c r="EGS75" s="41"/>
      <c r="EGT75" s="41"/>
      <c r="EGU75" s="41"/>
      <c r="EIQ75" s="39"/>
      <c r="EIT75" s="41"/>
      <c r="EIU75" s="41"/>
      <c r="EIV75" s="41"/>
      <c r="EIW75" s="41"/>
      <c r="EIX75" s="41"/>
      <c r="EKT75" s="39"/>
      <c r="EKW75" s="41"/>
      <c r="EKX75" s="41"/>
      <c r="EKY75" s="41"/>
      <c r="EKZ75" s="41"/>
      <c r="ELA75" s="41"/>
      <c r="EMW75" s="39"/>
      <c r="EMZ75" s="41"/>
      <c r="ENA75" s="41"/>
      <c r="ENB75" s="41"/>
      <c r="ENC75" s="41"/>
      <c r="END75" s="41"/>
      <c r="EOZ75" s="39"/>
      <c r="EPC75" s="41"/>
      <c r="EPD75" s="41"/>
      <c r="EPE75" s="41"/>
      <c r="EPF75" s="41"/>
      <c r="EPG75" s="41"/>
      <c r="ERC75" s="39"/>
      <c r="ERF75" s="41"/>
      <c r="ERG75" s="41"/>
      <c r="ERH75" s="41"/>
      <c r="ERI75" s="41"/>
      <c r="ERJ75" s="41"/>
      <c r="ETF75" s="39"/>
      <c r="ETI75" s="41"/>
      <c r="ETJ75" s="41"/>
      <c r="ETK75" s="41"/>
      <c r="ETL75" s="41"/>
      <c r="ETM75" s="41"/>
      <c r="EVI75" s="39"/>
      <c r="EVL75" s="41"/>
      <c r="EVM75" s="41"/>
      <c r="EVN75" s="41"/>
      <c r="EVO75" s="41"/>
      <c r="EVP75" s="41"/>
      <c r="EXL75" s="39"/>
      <c r="EXO75" s="41"/>
      <c r="EXP75" s="41"/>
      <c r="EXQ75" s="41"/>
      <c r="EXR75" s="41"/>
      <c r="EXS75" s="41"/>
      <c r="EZO75" s="39"/>
      <c r="EZR75" s="41"/>
      <c r="EZS75" s="41"/>
      <c r="EZT75" s="41"/>
      <c r="EZU75" s="41"/>
      <c r="EZV75" s="41"/>
      <c r="FBR75" s="39"/>
      <c r="FBU75" s="41"/>
      <c r="FBV75" s="41"/>
      <c r="FBW75" s="41"/>
      <c r="FBX75" s="41"/>
      <c r="FBY75" s="41"/>
      <c r="FDU75" s="39"/>
      <c r="FDX75" s="41"/>
      <c r="FDY75" s="41"/>
      <c r="FDZ75" s="41"/>
      <c r="FEA75" s="41"/>
      <c r="FEB75" s="41"/>
      <c r="FFX75" s="39"/>
      <c r="FGA75" s="41"/>
      <c r="FGB75" s="41"/>
      <c r="FGC75" s="41"/>
      <c r="FGD75" s="41"/>
      <c r="FGE75" s="41"/>
      <c r="FIA75" s="39"/>
      <c r="FID75" s="41"/>
      <c r="FIE75" s="41"/>
      <c r="FIF75" s="41"/>
      <c r="FIG75" s="41"/>
      <c r="FIH75" s="41"/>
      <c r="FKD75" s="39"/>
      <c r="FKG75" s="41"/>
      <c r="FKH75" s="41"/>
      <c r="FKI75" s="41"/>
      <c r="FKJ75" s="41"/>
      <c r="FKK75" s="41"/>
      <c r="FMG75" s="39"/>
      <c r="FMJ75" s="41"/>
      <c r="FMK75" s="41"/>
      <c r="FML75" s="41"/>
      <c r="FMM75" s="41"/>
      <c r="FMN75" s="41"/>
      <c r="FOJ75" s="39"/>
      <c r="FOM75" s="41"/>
      <c r="FON75" s="41"/>
      <c r="FOO75" s="41"/>
      <c r="FOP75" s="41"/>
      <c r="FOQ75" s="41"/>
      <c r="FQM75" s="39"/>
      <c r="FQP75" s="41"/>
      <c r="FQQ75" s="41"/>
      <c r="FQR75" s="41"/>
      <c r="FQS75" s="41"/>
      <c r="FQT75" s="41"/>
      <c r="FSP75" s="39"/>
      <c r="FSS75" s="41"/>
      <c r="FST75" s="41"/>
      <c r="FSU75" s="41"/>
      <c r="FSV75" s="41"/>
      <c r="FSW75" s="41"/>
      <c r="FUS75" s="39"/>
      <c r="FUV75" s="41"/>
      <c r="FUW75" s="41"/>
      <c r="FUX75" s="41"/>
      <c r="FUY75" s="41"/>
      <c r="FUZ75" s="41"/>
      <c r="FWV75" s="39"/>
      <c r="FWY75" s="41"/>
      <c r="FWZ75" s="41"/>
      <c r="FXA75" s="41"/>
      <c r="FXB75" s="41"/>
      <c r="FXC75" s="41"/>
      <c r="FYY75" s="39"/>
      <c r="FZB75" s="41"/>
      <c r="FZC75" s="41"/>
      <c r="FZD75" s="41"/>
      <c r="FZE75" s="41"/>
      <c r="FZF75" s="41"/>
      <c r="GBB75" s="39"/>
      <c r="GBE75" s="41"/>
      <c r="GBF75" s="41"/>
      <c r="GBG75" s="41"/>
      <c r="GBH75" s="41"/>
      <c r="GBI75" s="41"/>
      <c r="GDE75" s="39"/>
      <c r="GDH75" s="41"/>
      <c r="GDI75" s="41"/>
      <c r="GDJ75" s="41"/>
      <c r="GDK75" s="41"/>
      <c r="GDL75" s="41"/>
      <c r="GFH75" s="39"/>
      <c r="GFK75" s="41"/>
      <c r="GFL75" s="41"/>
      <c r="GFM75" s="41"/>
      <c r="GFN75" s="41"/>
      <c r="GFO75" s="41"/>
      <c r="GHK75" s="39"/>
      <c r="GHN75" s="41"/>
      <c r="GHO75" s="41"/>
      <c r="GHP75" s="41"/>
      <c r="GHQ75" s="41"/>
      <c r="GHR75" s="41"/>
      <c r="GJN75" s="39"/>
      <c r="GJQ75" s="41"/>
      <c r="GJR75" s="41"/>
      <c r="GJS75" s="41"/>
      <c r="GJT75" s="41"/>
      <c r="GJU75" s="41"/>
      <c r="GLQ75" s="39"/>
      <c r="GLT75" s="41"/>
      <c r="GLU75" s="41"/>
      <c r="GLV75" s="41"/>
      <c r="GLW75" s="41"/>
      <c r="GLX75" s="41"/>
      <c r="GNT75" s="39"/>
      <c r="GNW75" s="41"/>
      <c r="GNX75" s="41"/>
      <c r="GNY75" s="41"/>
      <c r="GNZ75" s="41"/>
      <c r="GOA75" s="41"/>
      <c r="GPW75" s="39"/>
      <c r="GPZ75" s="41"/>
      <c r="GQA75" s="41"/>
      <c r="GQB75" s="41"/>
      <c r="GQC75" s="41"/>
      <c r="GQD75" s="41"/>
      <c r="GRZ75" s="39"/>
      <c r="GSC75" s="41"/>
      <c r="GSD75" s="41"/>
      <c r="GSE75" s="41"/>
      <c r="GSF75" s="41"/>
      <c r="GSG75" s="41"/>
      <c r="GUC75" s="39"/>
      <c r="GUF75" s="41"/>
      <c r="GUG75" s="41"/>
      <c r="GUH75" s="41"/>
      <c r="GUI75" s="41"/>
      <c r="GUJ75" s="41"/>
      <c r="GWF75" s="39"/>
      <c r="GWI75" s="41"/>
      <c r="GWJ75" s="41"/>
      <c r="GWK75" s="41"/>
      <c r="GWL75" s="41"/>
      <c r="GWM75" s="41"/>
      <c r="GYI75" s="39"/>
      <c r="GYL75" s="41"/>
      <c r="GYM75" s="41"/>
      <c r="GYN75" s="41"/>
      <c r="GYO75" s="41"/>
      <c r="GYP75" s="41"/>
      <c r="HAL75" s="39"/>
      <c r="HAO75" s="41"/>
      <c r="HAP75" s="41"/>
      <c r="HAQ75" s="41"/>
      <c r="HAR75" s="41"/>
      <c r="HAS75" s="41"/>
      <c r="HCO75" s="39"/>
      <c r="HCR75" s="41"/>
      <c r="HCS75" s="41"/>
      <c r="HCT75" s="41"/>
      <c r="HCU75" s="41"/>
      <c r="HCV75" s="41"/>
      <c r="HER75" s="39"/>
      <c r="HEU75" s="41"/>
      <c r="HEV75" s="41"/>
      <c r="HEW75" s="41"/>
      <c r="HEX75" s="41"/>
      <c r="HEY75" s="41"/>
      <c r="HGU75" s="39"/>
      <c r="HGX75" s="41"/>
      <c r="HGY75" s="41"/>
      <c r="HGZ75" s="41"/>
      <c r="HHA75" s="41"/>
      <c r="HHB75" s="41"/>
      <c r="HIX75" s="39"/>
      <c r="HJA75" s="41"/>
      <c r="HJB75" s="41"/>
      <c r="HJC75" s="41"/>
      <c r="HJD75" s="41"/>
      <c r="HJE75" s="41"/>
      <c r="HLA75" s="39"/>
      <c r="HLD75" s="41"/>
      <c r="HLE75" s="41"/>
      <c r="HLF75" s="41"/>
      <c r="HLG75" s="41"/>
      <c r="HLH75" s="41"/>
      <c r="HND75" s="39"/>
      <c r="HNG75" s="41"/>
      <c r="HNH75" s="41"/>
      <c r="HNI75" s="41"/>
      <c r="HNJ75" s="41"/>
      <c r="HNK75" s="41"/>
      <c r="HPG75" s="39"/>
      <c r="HPJ75" s="41"/>
      <c r="HPK75" s="41"/>
      <c r="HPL75" s="41"/>
      <c r="HPM75" s="41"/>
      <c r="HPN75" s="41"/>
      <c r="HRJ75" s="39"/>
      <c r="HRM75" s="41"/>
      <c r="HRN75" s="41"/>
      <c r="HRO75" s="41"/>
      <c r="HRP75" s="41"/>
      <c r="HRQ75" s="41"/>
      <c r="HTM75" s="39"/>
      <c r="HTP75" s="41"/>
      <c r="HTQ75" s="41"/>
      <c r="HTR75" s="41"/>
      <c r="HTS75" s="41"/>
      <c r="HTT75" s="41"/>
      <c r="HVP75" s="39"/>
      <c r="HVS75" s="41"/>
      <c r="HVT75" s="41"/>
      <c r="HVU75" s="41"/>
      <c r="HVV75" s="41"/>
      <c r="HVW75" s="41"/>
      <c r="HXS75" s="39"/>
      <c r="HXV75" s="41"/>
      <c r="HXW75" s="41"/>
      <c r="HXX75" s="41"/>
      <c r="HXY75" s="41"/>
      <c r="HXZ75" s="41"/>
      <c r="HZV75" s="39"/>
      <c r="HZY75" s="41"/>
      <c r="HZZ75" s="41"/>
      <c r="IAA75" s="41"/>
      <c r="IAB75" s="41"/>
      <c r="IAC75" s="41"/>
      <c r="IBY75" s="39"/>
      <c r="ICB75" s="41"/>
      <c r="ICC75" s="41"/>
      <c r="ICD75" s="41"/>
      <c r="ICE75" s="41"/>
      <c r="ICF75" s="41"/>
      <c r="IEB75" s="39"/>
      <c r="IEE75" s="41"/>
      <c r="IEF75" s="41"/>
      <c r="IEG75" s="41"/>
      <c r="IEH75" s="41"/>
      <c r="IEI75" s="41"/>
      <c r="IGE75" s="39"/>
      <c r="IGH75" s="41"/>
      <c r="IGI75" s="41"/>
      <c r="IGJ75" s="41"/>
      <c r="IGK75" s="41"/>
      <c r="IGL75" s="41"/>
      <c r="IIH75" s="39"/>
      <c r="IIK75" s="41"/>
      <c r="IIL75" s="41"/>
      <c r="IIM75" s="41"/>
      <c r="IIN75" s="41"/>
      <c r="IIO75" s="41"/>
      <c r="IKK75" s="39"/>
      <c r="IKN75" s="41"/>
      <c r="IKO75" s="41"/>
      <c r="IKP75" s="41"/>
      <c r="IKQ75" s="41"/>
      <c r="IKR75" s="41"/>
      <c r="IMN75" s="39"/>
      <c r="IMQ75" s="41"/>
      <c r="IMR75" s="41"/>
      <c r="IMS75" s="41"/>
      <c r="IMT75" s="41"/>
      <c r="IMU75" s="41"/>
      <c r="IOQ75" s="39"/>
      <c r="IOT75" s="41"/>
      <c r="IOU75" s="41"/>
      <c r="IOV75" s="41"/>
      <c r="IOW75" s="41"/>
      <c r="IOX75" s="41"/>
      <c r="IQT75" s="39"/>
      <c r="IQW75" s="41"/>
      <c r="IQX75" s="41"/>
      <c r="IQY75" s="41"/>
      <c r="IQZ75" s="41"/>
      <c r="IRA75" s="41"/>
      <c r="ISW75" s="39"/>
      <c r="ISZ75" s="41"/>
      <c r="ITA75" s="41"/>
      <c r="ITB75" s="41"/>
      <c r="ITC75" s="41"/>
      <c r="ITD75" s="41"/>
      <c r="IUZ75" s="39"/>
      <c r="IVC75" s="41"/>
      <c r="IVD75" s="41"/>
      <c r="IVE75" s="41"/>
      <c r="IVF75" s="41"/>
      <c r="IVG75" s="41"/>
      <c r="IXC75" s="39"/>
      <c r="IXF75" s="41"/>
      <c r="IXG75" s="41"/>
      <c r="IXH75" s="41"/>
      <c r="IXI75" s="41"/>
      <c r="IXJ75" s="41"/>
      <c r="IZF75" s="39"/>
      <c r="IZI75" s="41"/>
      <c r="IZJ75" s="41"/>
      <c r="IZK75" s="41"/>
      <c r="IZL75" s="41"/>
      <c r="IZM75" s="41"/>
      <c r="JBI75" s="39"/>
      <c r="JBL75" s="41"/>
      <c r="JBM75" s="41"/>
      <c r="JBN75" s="41"/>
      <c r="JBO75" s="41"/>
      <c r="JBP75" s="41"/>
      <c r="JDL75" s="39"/>
      <c r="JDO75" s="41"/>
      <c r="JDP75" s="41"/>
      <c r="JDQ75" s="41"/>
      <c r="JDR75" s="41"/>
      <c r="JDS75" s="41"/>
      <c r="JFO75" s="39"/>
      <c r="JFR75" s="41"/>
      <c r="JFS75" s="41"/>
      <c r="JFT75" s="41"/>
      <c r="JFU75" s="41"/>
      <c r="JFV75" s="41"/>
      <c r="JHR75" s="39"/>
      <c r="JHU75" s="41"/>
      <c r="JHV75" s="41"/>
      <c r="JHW75" s="41"/>
      <c r="JHX75" s="41"/>
      <c r="JHY75" s="41"/>
      <c r="JJU75" s="39"/>
      <c r="JJX75" s="41"/>
      <c r="JJY75" s="41"/>
      <c r="JJZ75" s="41"/>
      <c r="JKA75" s="41"/>
      <c r="JKB75" s="41"/>
      <c r="JLX75" s="39"/>
      <c r="JMA75" s="41"/>
      <c r="JMB75" s="41"/>
      <c r="JMC75" s="41"/>
      <c r="JMD75" s="41"/>
      <c r="JME75" s="41"/>
      <c r="JOA75" s="39"/>
      <c r="JOD75" s="41"/>
      <c r="JOE75" s="41"/>
      <c r="JOF75" s="41"/>
      <c r="JOG75" s="41"/>
      <c r="JOH75" s="41"/>
      <c r="JQD75" s="39"/>
      <c r="JQG75" s="41"/>
      <c r="JQH75" s="41"/>
      <c r="JQI75" s="41"/>
      <c r="JQJ75" s="41"/>
      <c r="JQK75" s="41"/>
      <c r="JSG75" s="39"/>
      <c r="JSJ75" s="41"/>
      <c r="JSK75" s="41"/>
      <c r="JSL75" s="41"/>
      <c r="JSM75" s="41"/>
      <c r="JSN75" s="41"/>
      <c r="JUJ75" s="39"/>
      <c r="JUM75" s="41"/>
      <c r="JUN75" s="41"/>
      <c r="JUO75" s="41"/>
      <c r="JUP75" s="41"/>
      <c r="JUQ75" s="41"/>
      <c r="JWM75" s="39"/>
      <c r="JWP75" s="41"/>
      <c r="JWQ75" s="41"/>
      <c r="JWR75" s="41"/>
      <c r="JWS75" s="41"/>
      <c r="JWT75" s="41"/>
      <c r="JYP75" s="39"/>
      <c r="JYS75" s="41"/>
      <c r="JYT75" s="41"/>
      <c r="JYU75" s="41"/>
      <c r="JYV75" s="41"/>
      <c r="JYW75" s="41"/>
      <c r="KAS75" s="39"/>
      <c r="KAV75" s="41"/>
      <c r="KAW75" s="41"/>
      <c r="KAX75" s="41"/>
      <c r="KAY75" s="41"/>
      <c r="KAZ75" s="41"/>
      <c r="KCV75" s="39"/>
      <c r="KCY75" s="41"/>
      <c r="KCZ75" s="41"/>
      <c r="KDA75" s="41"/>
      <c r="KDB75" s="41"/>
      <c r="KDC75" s="41"/>
      <c r="KEY75" s="39"/>
      <c r="KFB75" s="41"/>
      <c r="KFC75" s="41"/>
      <c r="KFD75" s="41"/>
      <c r="KFE75" s="41"/>
      <c r="KFF75" s="41"/>
      <c r="KHB75" s="39"/>
      <c r="KHE75" s="41"/>
      <c r="KHF75" s="41"/>
      <c r="KHG75" s="41"/>
      <c r="KHH75" s="41"/>
      <c r="KHI75" s="41"/>
      <c r="KJE75" s="39"/>
      <c r="KJH75" s="41"/>
      <c r="KJI75" s="41"/>
      <c r="KJJ75" s="41"/>
      <c r="KJK75" s="41"/>
      <c r="KJL75" s="41"/>
      <c r="KLH75" s="39"/>
      <c r="KLK75" s="41"/>
      <c r="KLL75" s="41"/>
      <c r="KLM75" s="41"/>
      <c r="KLN75" s="41"/>
      <c r="KLO75" s="41"/>
      <c r="KNK75" s="39"/>
      <c r="KNN75" s="41"/>
      <c r="KNO75" s="41"/>
      <c r="KNP75" s="41"/>
      <c r="KNQ75" s="41"/>
      <c r="KNR75" s="41"/>
      <c r="KPN75" s="39"/>
      <c r="KPQ75" s="41"/>
      <c r="KPR75" s="41"/>
      <c r="KPS75" s="41"/>
      <c r="KPT75" s="41"/>
      <c r="KPU75" s="41"/>
      <c r="KRQ75" s="39"/>
      <c r="KRT75" s="41"/>
      <c r="KRU75" s="41"/>
      <c r="KRV75" s="41"/>
      <c r="KRW75" s="41"/>
      <c r="KRX75" s="41"/>
      <c r="KTT75" s="39"/>
      <c r="KTW75" s="41"/>
      <c r="KTX75" s="41"/>
      <c r="KTY75" s="41"/>
      <c r="KTZ75" s="41"/>
      <c r="KUA75" s="41"/>
      <c r="KVW75" s="39"/>
      <c r="KVZ75" s="41"/>
      <c r="KWA75" s="41"/>
      <c r="KWB75" s="41"/>
      <c r="KWC75" s="41"/>
      <c r="KWD75" s="41"/>
      <c r="KXZ75" s="39"/>
      <c r="KYC75" s="41"/>
      <c r="KYD75" s="41"/>
      <c r="KYE75" s="41"/>
      <c r="KYF75" s="41"/>
      <c r="KYG75" s="41"/>
      <c r="LAC75" s="39"/>
      <c r="LAF75" s="41"/>
      <c r="LAG75" s="41"/>
      <c r="LAH75" s="41"/>
      <c r="LAI75" s="41"/>
      <c r="LAJ75" s="41"/>
      <c r="LCF75" s="39"/>
      <c r="LCI75" s="41"/>
      <c r="LCJ75" s="41"/>
      <c r="LCK75" s="41"/>
      <c r="LCL75" s="41"/>
      <c r="LCM75" s="41"/>
      <c r="LEI75" s="39"/>
      <c r="LEL75" s="41"/>
      <c r="LEM75" s="41"/>
      <c r="LEN75" s="41"/>
      <c r="LEO75" s="41"/>
      <c r="LEP75" s="41"/>
      <c r="LGL75" s="39"/>
      <c r="LGO75" s="41"/>
      <c r="LGP75" s="41"/>
      <c r="LGQ75" s="41"/>
      <c r="LGR75" s="41"/>
      <c r="LGS75" s="41"/>
      <c r="LIO75" s="39"/>
      <c r="LIR75" s="41"/>
      <c r="LIS75" s="41"/>
      <c r="LIT75" s="41"/>
      <c r="LIU75" s="41"/>
      <c r="LIV75" s="41"/>
      <c r="LKR75" s="39"/>
      <c r="LKU75" s="41"/>
      <c r="LKV75" s="41"/>
      <c r="LKW75" s="41"/>
      <c r="LKX75" s="41"/>
      <c r="LKY75" s="41"/>
      <c r="LMU75" s="39"/>
      <c r="LMX75" s="41"/>
      <c r="LMY75" s="41"/>
      <c r="LMZ75" s="41"/>
      <c r="LNA75" s="41"/>
      <c r="LNB75" s="41"/>
      <c r="LOX75" s="39"/>
      <c r="LPA75" s="41"/>
      <c r="LPB75" s="41"/>
      <c r="LPC75" s="41"/>
      <c r="LPD75" s="41"/>
      <c r="LPE75" s="41"/>
      <c r="LRA75" s="39"/>
      <c r="LRD75" s="41"/>
      <c r="LRE75" s="41"/>
      <c r="LRF75" s="41"/>
      <c r="LRG75" s="41"/>
      <c r="LRH75" s="41"/>
      <c r="LTD75" s="39"/>
      <c r="LTG75" s="41"/>
      <c r="LTH75" s="41"/>
      <c r="LTI75" s="41"/>
      <c r="LTJ75" s="41"/>
      <c r="LTK75" s="41"/>
      <c r="LVG75" s="39"/>
      <c r="LVJ75" s="41"/>
      <c r="LVK75" s="41"/>
      <c r="LVL75" s="41"/>
      <c r="LVM75" s="41"/>
      <c r="LVN75" s="41"/>
      <c r="LXJ75" s="39"/>
      <c r="LXM75" s="41"/>
      <c r="LXN75" s="41"/>
      <c r="LXO75" s="41"/>
      <c r="LXP75" s="41"/>
      <c r="LXQ75" s="41"/>
      <c r="LZM75" s="39"/>
      <c r="LZP75" s="41"/>
      <c r="LZQ75" s="41"/>
      <c r="LZR75" s="41"/>
      <c r="LZS75" s="41"/>
      <c r="LZT75" s="41"/>
      <c r="MBP75" s="39"/>
      <c r="MBS75" s="41"/>
      <c r="MBT75" s="41"/>
      <c r="MBU75" s="41"/>
      <c r="MBV75" s="41"/>
      <c r="MBW75" s="41"/>
      <c r="MDS75" s="39"/>
      <c r="MDV75" s="41"/>
      <c r="MDW75" s="41"/>
      <c r="MDX75" s="41"/>
      <c r="MDY75" s="41"/>
      <c r="MDZ75" s="41"/>
      <c r="MFV75" s="39"/>
      <c r="MFY75" s="41"/>
      <c r="MFZ75" s="41"/>
      <c r="MGA75" s="41"/>
      <c r="MGB75" s="41"/>
      <c r="MGC75" s="41"/>
      <c r="MHY75" s="39"/>
      <c r="MIB75" s="41"/>
      <c r="MIC75" s="41"/>
      <c r="MID75" s="41"/>
      <c r="MIE75" s="41"/>
      <c r="MIF75" s="41"/>
      <c r="MKB75" s="39"/>
      <c r="MKE75" s="41"/>
      <c r="MKF75" s="41"/>
      <c r="MKG75" s="41"/>
      <c r="MKH75" s="41"/>
      <c r="MKI75" s="41"/>
      <c r="MME75" s="39"/>
      <c r="MMH75" s="41"/>
      <c r="MMI75" s="41"/>
      <c r="MMJ75" s="41"/>
      <c r="MMK75" s="41"/>
      <c r="MML75" s="41"/>
      <c r="MOH75" s="39"/>
      <c r="MOK75" s="41"/>
      <c r="MOL75" s="41"/>
      <c r="MOM75" s="41"/>
      <c r="MON75" s="41"/>
      <c r="MOO75" s="41"/>
      <c r="MQK75" s="39"/>
      <c r="MQN75" s="41"/>
      <c r="MQO75" s="41"/>
      <c r="MQP75" s="41"/>
      <c r="MQQ75" s="41"/>
      <c r="MQR75" s="41"/>
      <c r="MSN75" s="39"/>
      <c r="MSQ75" s="41"/>
      <c r="MSR75" s="41"/>
      <c r="MSS75" s="41"/>
      <c r="MST75" s="41"/>
      <c r="MSU75" s="41"/>
      <c r="MUQ75" s="39"/>
      <c r="MUT75" s="41"/>
      <c r="MUU75" s="41"/>
      <c r="MUV75" s="41"/>
      <c r="MUW75" s="41"/>
      <c r="MUX75" s="41"/>
      <c r="MWT75" s="39"/>
      <c r="MWW75" s="41"/>
      <c r="MWX75" s="41"/>
      <c r="MWY75" s="41"/>
      <c r="MWZ75" s="41"/>
      <c r="MXA75" s="41"/>
      <c r="MYW75" s="39"/>
      <c r="MYZ75" s="41"/>
      <c r="MZA75" s="41"/>
      <c r="MZB75" s="41"/>
      <c r="MZC75" s="41"/>
      <c r="MZD75" s="41"/>
      <c r="NAZ75" s="39"/>
      <c r="NBC75" s="41"/>
      <c r="NBD75" s="41"/>
      <c r="NBE75" s="41"/>
      <c r="NBF75" s="41"/>
      <c r="NBG75" s="41"/>
      <c r="NDC75" s="39"/>
      <c r="NDF75" s="41"/>
      <c r="NDG75" s="41"/>
      <c r="NDH75" s="41"/>
      <c r="NDI75" s="41"/>
      <c r="NDJ75" s="41"/>
      <c r="NFF75" s="39"/>
      <c r="NFI75" s="41"/>
      <c r="NFJ75" s="41"/>
      <c r="NFK75" s="41"/>
      <c r="NFL75" s="41"/>
      <c r="NFM75" s="41"/>
      <c r="NHI75" s="39"/>
      <c r="NHL75" s="41"/>
      <c r="NHM75" s="41"/>
      <c r="NHN75" s="41"/>
      <c r="NHO75" s="41"/>
      <c r="NHP75" s="41"/>
      <c r="NJL75" s="39"/>
      <c r="NJO75" s="41"/>
      <c r="NJP75" s="41"/>
      <c r="NJQ75" s="41"/>
      <c r="NJR75" s="41"/>
      <c r="NJS75" s="41"/>
      <c r="NLO75" s="39"/>
      <c r="NLR75" s="41"/>
      <c r="NLS75" s="41"/>
      <c r="NLT75" s="41"/>
      <c r="NLU75" s="41"/>
      <c r="NLV75" s="41"/>
      <c r="NNR75" s="39"/>
      <c r="NNU75" s="41"/>
      <c r="NNV75" s="41"/>
      <c r="NNW75" s="41"/>
      <c r="NNX75" s="41"/>
      <c r="NNY75" s="41"/>
      <c r="NPU75" s="39"/>
      <c r="NPX75" s="41"/>
      <c r="NPY75" s="41"/>
      <c r="NPZ75" s="41"/>
      <c r="NQA75" s="41"/>
      <c r="NQB75" s="41"/>
      <c r="NRX75" s="39"/>
      <c r="NSA75" s="41"/>
      <c r="NSB75" s="41"/>
      <c r="NSC75" s="41"/>
      <c r="NSD75" s="41"/>
      <c r="NSE75" s="41"/>
      <c r="NUA75" s="39"/>
      <c r="NUD75" s="41"/>
      <c r="NUE75" s="41"/>
      <c r="NUF75" s="41"/>
      <c r="NUG75" s="41"/>
      <c r="NUH75" s="41"/>
      <c r="NWD75" s="39"/>
      <c r="NWG75" s="41"/>
      <c r="NWH75" s="41"/>
      <c r="NWI75" s="41"/>
      <c r="NWJ75" s="41"/>
      <c r="NWK75" s="41"/>
      <c r="NYG75" s="39"/>
      <c r="NYJ75" s="41"/>
      <c r="NYK75" s="41"/>
      <c r="NYL75" s="41"/>
      <c r="NYM75" s="41"/>
      <c r="NYN75" s="41"/>
      <c r="OAJ75" s="39"/>
      <c r="OAM75" s="41"/>
      <c r="OAN75" s="41"/>
      <c r="OAO75" s="41"/>
      <c r="OAP75" s="41"/>
      <c r="OAQ75" s="41"/>
      <c r="OCM75" s="39"/>
      <c r="OCP75" s="41"/>
      <c r="OCQ75" s="41"/>
      <c r="OCR75" s="41"/>
      <c r="OCS75" s="41"/>
      <c r="OCT75" s="41"/>
      <c r="OEP75" s="39"/>
      <c r="OES75" s="41"/>
      <c r="OET75" s="41"/>
      <c r="OEU75" s="41"/>
      <c r="OEV75" s="41"/>
      <c r="OEW75" s="41"/>
      <c r="OGS75" s="39"/>
      <c r="OGV75" s="41"/>
      <c r="OGW75" s="41"/>
      <c r="OGX75" s="41"/>
      <c r="OGY75" s="41"/>
      <c r="OGZ75" s="41"/>
      <c r="OIV75" s="39"/>
      <c r="OIY75" s="41"/>
      <c r="OIZ75" s="41"/>
      <c r="OJA75" s="41"/>
      <c r="OJB75" s="41"/>
      <c r="OJC75" s="41"/>
      <c r="OKY75" s="39"/>
      <c r="OLB75" s="41"/>
      <c r="OLC75" s="41"/>
      <c r="OLD75" s="41"/>
      <c r="OLE75" s="41"/>
      <c r="OLF75" s="41"/>
      <c r="ONB75" s="39"/>
      <c r="ONE75" s="41"/>
      <c r="ONF75" s="41"/>
      <c r="ONG75" s="41"/>
      <c r="ONH75" s="41"/>
      <c r="ONI75" s="41"/>
      <c r="OPE75" s="39"/>
      <c r="OPH75" s="41"/>
      <c r="OPI75" s="41"/>
      <c r="OPJ75" s="41"/>
      <c r="OPK75" s="41"/>
      <c r="OPL75" s="41"/>
      <c r="ORH75" s="39"/>
      <c r="ORK75" s="41"/>
      <c r="ORL75" s="41"/>
      <c r="ORM75" s="41"/>
      <c r="ORN75" s="41"/>
      <c r="ORO75" s="41"/>
      <c r="OTK75" s="39"/>
      <c r="OTN75" s="41"/>
      <c r="OTO75" s="41"/>
      <c r="OTP75" s="41"/>
      <c r="OTQ75" s="41"/>
      <c r="OTR75" s="41"/>
      <c r="OVN75" s="39"/>
      <c r="OVQ75" s="41"/>
      <c r="OVR75" s="41"/>
      <c r="OVS75" s="41"/>
      <c r="OVT75" s="41"/>
      <c r="OVU75" s="41"/>
      <c r="OXQ75" s="39"/>
      <c r="OXT75" s="41"/>
      <c r="OXU75" s="41"/>
      <c r="OXV75" s="41"/>
      <c r="OXW75" s="41"/>
      <c r="OXX75" s="41"/>
      <c r="OZT75" s="39"/>
      <c r="OZW75" s="41"/>
      <c r="OZX75" s="41"/>
      <c r="OZY75" s="41"/>
      <c r="OZZ75" s="41"/>
      <c r="PAA75" s="41"/>
      <c r="PBW75" s="39"/>
      <c r="PBZ75" s="41"/>
      <c r="PCA75" s="41"/>
      <c r="PCB75" s="41"/>
      <c r="PCC75" s="41"/>
      <c r="PCD75" s="41"/>
      <c r="PDZ75" s="39"/>
      <c r="PEC75" s="41"/>
      <c r="PED75" s="41"/>
      <c r="PEE75" s="41"/>
      <c r="PEF75" s="41"/>
      <c r="PEG75" s="41"/>
      <c r="PGC75" s="39"/>
      <c r="PGF75" s="41"/>
      <c r="PGG75" s="41"/>
      <c r="PGH75" s="41"/>
      <c r="PGI75" s="41"/>
      <c r="PGJ75" s="41"/>
      <c r="PIF75" s="39"/>
      <c r="PII75" s="41"/>
      <c r="PIJ75" s="41"/>
      <c r="PIK75" s="41"/>
      <c r="PIL75" s="41"/>
      <c r="PIM75" s="41"/>
      <c r="PKI75" s="39"/>
      <c r="PKL75" s="41"/>
      <c r="PKM75" s="41"/>
      <c r="PKN75" s="41"/>
      <c r="PKO75" s="41"/>
      <c r="PKP75" s="41"/>
      <c r="PML75" s="39"/>
      <c r="PMO75" s="41"/>
      <c r="PMP75" s="41"/>
      <c r="PMQ75" s="41"/>
      <c r="PMR75" s="41"/>
      <c r="PMS75" s="41"/>
      <c r="POO75" s="39"/>
      <c r="POR75" s="41"/>
      <c r="POS75" s="41"/>
      <c r="POT75" s="41"/>
      <c r="POU75" s="41"/>
      <c r="POV75" s="41"/>
      <c r="PQR75" s="39"/>
      <c r="PQU75" s="41"/>
      <c r="PQV75" s="41"/>
      <c r="PQW75" s="41"/>
      <c r="PQX75" s="41"/>
      <c r="PQY75" s="41"/>
      <c r="PSU75" s="39"/>
      <c r="PSX75" s="41"/>
      <c r="PSY75" s="41"/>
      <c r="PSZ75" s="41"/>
      <c r="PTA75" s="41"/>
      <c r="PTB75" s="41"/>
      <c r="PUX75" s="39"/>
      <c r="PVA75" s="41"/>
      <c r="PVB75" s="41"/>
      <c r="PVC75" s="41"/>
      <c r="PVD75" s="41"/>
      <c r="PVE75" s="41"/>
      <c r="PXA75" s="39"/>
      <c r="PXD75" s="41"/>
      <c r="PXE75" s="41"/>
      <c r="PXF75" s="41"/>
      <c r="PXG75" s="41"/>
      <c r="PXH75" s="41"/>
      <c r="PZD75" s="39"/>
      <c r="PZG75" s="41"/>
      <c r="PZH75" s="41"/>
      <c r="PZI75" s="41"/>
      <c r="PZJ75" s="41"/>
      <c r="PZK75" s="41"/>
      <c r="QBG75" s="39"/>
      <c r="QBJ75" s="41"/>
      <c r="QBK75" s="41"/>
      <c r="QBL75" s="41"/>
      <c r="QBM75" s="41"/>
      <c r="QBN75" s="41"/>
      <c r="QDJ75" s="39"/>
      <c r="QDM75" s="41"/>
      <c r="QDN75" s="41"/>
      <c r="QDO75" s="41"/>
      <c r="QDP75" s="41"/>
      <c r="QDQ75" s="41"/>
      <c r="QFM75" s="39"/>
      <c r="QFP75" s="41"/>
      <c r="QFQ75" s="41"/>
      <c r="QFR75" s="41"/>
      <c r="QFS75" s="41"/>
      <c r="QFT75" s="41"/>
      <c r="QHP75" s="39"/>
      <c r="QHS75" s="41"/>
      <c r="QHT75" s="41"/>
      <c r="QHU75" s="41"/>
      <c r="QHV75" s="41"/>
      <c r="QHW75" s="41"/>
      <c r="QJS75" s="39"/>
      <c r="QJV75" s="41"/>
      <c r="QJW75" s="41"/>
      <c r="QJX75" s="41"/>
      <c r="QJY75" s="41"/>
      <c r="QJZ75" s="41"/>
      <c r="QLV75" s="39"/>
      <c r="QLY75" s="41"/>
      <c r="QLZ75" s="41"/>
      <c r="QMA75" s="41"/>
      <c r="QMB75" s="41"/>
      <c r="QMC75" s="41"/>
      <c r="QNY75" s="39"/>
      <c r="QOB75" s="41"/>
      <c r="QOC75" s="41"/>
      <c r="QOD75" s="41"/>
      <c r="QOE75" s="41"/>
      <c r="QOF75" s="41"/>
      <c r="QQB75" s="39"/>
      <c r="QQE75" s="41"/>
      <c r="QQF75" s="41"/>
      <c r="QQG75" s="41"/>
      <c r="QQH75" s="41"/>
      <c r="QQI75" s="41"/>
      <c r="QSE75" s="39"/>
      <c r="QSH75" s="41"/>
      <c r="QSI75" s="41"/>
      <c r="QSJ75" s="41"/>
      <c r="QSK75" s="41"/>
      <c r="QSL75" s="41"/>
      <c r="QUH75" s="39"/>
      <c r="QUK75" s="41"/>
      <c r="QUL75" s="41"/>
      <c r="QUM75" s="41"/>
      <c r="QUN75" s="41"/>
      <c r="QUO75" s="41"/>
      <c r="QWK75" s="39"/>
      <c r="QWN75" s="41"/>
      <c r="QWO75" s="41"/>
      <c r="QWP75" s="41"/>
      <c r="QWQ75" s="41"/>
      <c r="QWR75" s="41"/>
      <c r="QYN75" s="39"/>
      <c r="QYQ75" s="41"/>
      <c r="QYR75" s="41"/>
      <c r="QYS75" s="41"/>
      <c r="QYT75" s="41"/>
      <c r="QYU75" s="41"/>
      <c r="RAQ75" s="39"/>
      <c r="RAT75" s="41"/>
      <c r="RAU75" s="41"/>
      <c r="RAV75" s="41"/>
      <c r="RAW75" s="41"/>
      <c r="RAX75" s="41"/>
      <c r="RCT75" s="39"/>
      <c r="RCW75" s="41"/>
      <c r="RCX75" s="41"/>
      <c r="RCY75" s="41"/>
      <c r="RCZ75" s="41"/>
      <c r="RDA75" s="41"/>
      <c r="REW75" s="39"/>
      <c r="REZ75" s="41"/>
      <c r="RFA75" s="41"/>
      <c r="RFB75" s="41"/>
      <c r="RFC75" s="41"/>
      <c r="RFD75" s="41"/>
      <c r="RGZ75" s="39"/>
      <c r="RHC75" s="41"/>
      <c r="RHD75" s="41"/>
      <c r="RHE75" s="41"/>
      <c r="RHF75" s="41"/>
      <c r="RHG75" s="41"/>
      <c r="RJC75" s="39"/>
      <c r="RJF75" s="41"/>
      <c r="RJG75" s="41"/>
      <c r="RJH75" s="41"/>
      <c r="RJI75" s="41"/>
      <c r="RJJ75" s="41"/>
      <c r="RLF75" s="39"/>
      <c r="RLI75" s="41"/>
      <c r="RLJ75" s="41"/>
      <c r="RLK75" s="41"/>
      <c r="RLL75" s="41"/>
      <c r="RLM75" s="41"/>
      <c r="RNI75" s="39"/>
      <c r="RNL75" s="41"/>
      <c r="RNM75" s="41"/>
      <c r="RNN75" s="41"/>
      <c r="RNO75" s="41"/>
      <c r="RNP75" s="41"/>
      <c r="RPL75" s="39"/>
      <c r="RPO75" s="41"/>
      <c r="RPP75" s="41"/>
      <c r="RPQ75" s="41"/>
      <c r="RPR75" s="41"/>
      <c r="RPS75" s="41"/>
      <c r="RRO75" s="39"/>
      <c r="RRR75" s="41"/>
      <c r="RRS75" s="41"/>
      <c r="RRT75" s="41"/>
      <c r="RRU75" s="41"/>
      <c r="RRV75" s="41"/>
      <c r="RTR75" s="39"/>
      <c r="RTU75" s="41"/>
      <c r="RTV75" s="41"/>
      <c r="RTW75" s="41"/>
      <c r="RTX75" s="41"/>
      <c r="RTY75" s="41"/>
      <c r="RVU75" s="39"/>
      <c r="RVX75" s="41"/>
      <c r="RVY75" s="41"/>
      <c r="RVZ75" s="41"/>
      <c r="RWA75" s="41"/>
      <c r="RWB75" s="41"/>
      <c r="RXX75" s="39"/>
      <c r="RYA75" s="41"/>
      <c r="RYB75" s="41"/>
      <c r="RYC75" s="41"/>
      <c r="RYD75" s="41"/>
      <c r="RYE75" s="41"/>
      <c r="SAA75" s="39"/>
      <c r="SAD75" s="41"/>
      <c r="SAE75" s="41"/>
      <c r="SAF75" s="41"/>
      <c r="SAG75" s="41"/>
      <c r="SAH75" s="41"/>
      <c r="SCD75" s="39"/>
      <c r="SCG75" s="41"/>
      <c r="SCH75" s="41"/>
      <c r="SCI75" s="41"/>
      <c r="SCJ75" s="41"/>
      <c r="SCK75" s="41"/>
      <c r="SEG75" s="39"/>
      <c r="SEJ75" s="41"/>
      <c r="SEK75" s="41"/>
      <c r="SEL75" s="41"/>
      <c r="SEM75" s="41"/>
      <c r="SEN75" s="41"/>
      <c r="SGJ75" s="39"/>
      <c r="SGM75" s="41"/>
      <c r="SGN75" s="41"/>
      <c r="SGO75" s="41"/>
      <c r="SGP75" s="41"/>
      <c r="SGQ75" s="41"/>
      <c r="SIM75" s="39"/>
      <c r="SIP75" s="41"/>
      <c r="SIQ75" s="41"/>
      <c r="SIR75" s="41"/>
      <c r="SIS75" s="41"/>
      <c r="SIT75" s="41"/>
      <c r="SKP75" s="39"/>
      <c r="SKS75" s="41"/>
      <c r="SKT75" s="41"/>
      <c r="SKU75" s="41"/>
      <c r="SKV75" s="41"/>
      <c r="SKW75" s="41"/>
      <c r="SMS75" s="39"/>
      <c r="SMV75" s="41"/>
      <c r="SMW75" s="41"/>
      <c r="SMX75" s="41"/>
      <c r="SMY75" s="41"/>
      <c r="SMZ75" s="41"/>
      <c r="SOV75" s="39"/>
      <c r="SOY75" s="41"/>
      <c r="SOZ75" s="41"/>
      <c r="SPA75" s="41"/>
      <c r="SPB75" s="41"/>
      <c r="SPC75" s="41"/>
      <c r="SQY75" s="39"/>
      <c r="SRB75" s="41"/>
      <c r="SRC75" s="41"/>
      <c r="SRD75" s="41"/>
      <c r="SRE75" s="41"/>
      <c r="SRF75" s="41"/>
      <c r="STB75" s="39"/>
      <c r="STE75" s="41"/>
      <c r="STF75" s="41"/>
      <c r="STG75" s="41"/>
      <c r="STH75" s="41"/>
      <c r="STI75" s="41"/>
      <c r="SVE75" s="39"/>
      <c r="SVH75" s="41"/>
      <c r="SVI75" s="41"/>
      <c r="SVJ75" s="41"/>
      <c r="SVK75" s="41"/>
      <c r="SVL75" s="41"/>
      <c r="SXH75" s="39"/>
      <c r="SXK75" s="41"/>
      <c r="SXL75" s="41"/>
      <c r="SXM75" s="41"/>
      <c r="SXN75" s="41"/>
      <c r="SXO75" s="41"/>
      <c r="SZK75" s="39"/>
      <c r="SZN75" s="41"/>
      <c r="SZO75" s="41"/>
      <c r="SZP75" s="41"/>
      <c r="SZQ75" s="41"/>
      <c r="SZR75" s="41"/>
      <c r="TBN75" s="39"/>
      <c r="TBQ75" s="41"/>
      <c r="TBR75" s="41"/>
      <c r="TBS75" s="41"/>
      <c r="TBT75" s="41"/>
      <c r="TBU75" s="41"/>
      <c r="TDQ75" s="39"/>
      <c r="TDT75" s="41"/>
      <c r="TDU75" s="41"/>
      <c r="TDV75" s="41"/>
      <c r="TDW75" s="41"/>
      <c r="TDX75" s="41"/>
      <c r="TFT75" s="39"/>
      <c r="TFW75" s="41"/>
      <c r="TFX75" s="41"/>
      <c r="TFY75" s="41"/>
      <c r="TFZ75" s="41"/>
      <c r="TGA75" s="41"/>
      <c r="THW75" s="39"/>
      <c r="THZ75" s="41"/>
      <c r="TIA75" s="41"/>
      <c r="TIB75" s="41"/>
      <c r="TIC75" s="41"/>
      <c r="TID75" s="41"/>
      <c r="TJZ75" s="39"/>
      <c r="TKC75" s="41"/>
      <c r="TKD75" s="41"/>
      <c r="TKE75" s="41"/>
      <c r="TKF75" s="41"/>
      <c r="TKG75" s="41"/>
      <c r="TMC75" s="39"/>
      <c r="TMF75" s="41"/>
      <c r="TMG75" s="41"/>
      <c r="TMH75" s="41"/>
      <c r="TMI75" s="41"/>
      <c r="TMJ75" s="41"/>
      <c r="TOF75" s="39"/>
      <c r="TOI75" s="41"/>
      <c r="TOJ75" s="41"/>
      <c r="TOK75" s="41"/>
      <c r="TOL75" s="41"/>
      <c r="TOM75" s="41"/>
      <c r="TQI75" s="39"/>
      <c r="TQL75" s="41"/>
      <c r="TQM75" s="41"/>
      <c r="TQN75" s="41"/>
      <c r="TQO75" s="41"/>
      <c r="TQP75" s="41"/>
      <c r="TSL75" s="39"/>
      <c r="TSO75" s="41"/>
      <c r="TSP75" s="41"/>
      <c r="TSQ75" s="41"/>
      <c r="TSR75" s="41"/>
      <c r="TSS75" s="41"/>
      <c r="TUO75" s="39"/>
      <c r="TUR75" s="41"/>
      <c r="TUS75" s="41"/>
      <c r="TUT75" s="41"/>
      <c r="TUU75" s="41"/>
      <c r="TUV75" s="41"/>
      <c r="TWR75" s="39"/>
      <c r="TWU75" s="41"/>
      <c r="TWV75" s="41"/>
      <c r="TWW75" s="41"/>
      <c r="TWX75" s="41"/>
      <c r="TWY75" s="41"/>
      <c r="TYU75" s="39"/>
      <c r="TYX75" s="41"/>
      <c r="TYY75" s="41"/>
      <c r="TYZ75" s="41"/>
      <c r="TZA75" s="41"/>
      <c r="TZB75" s="41"/>
      <c r="UAX75" s="39"/>
      <c r="UBA75" s="41"/>
      <c r="UBB75" s="41"/>
      <c r="UBC75" s="41"/>
      <c r="UBD75" s="41"/>
      <c r="UBE75" s="41"/>
      <c r="UDA75" s="39"/>
      <c r="UDD75" s="41"/>
      <c r="UDE75" s="41"/>
      <c r="UDF75" s="41"/>
      <c r="UDG75" s="41"/>
      <c r="UDH75" s="41"/>
      <c r="UFD75" s="39"/>
      <c r="UFG75" s="41"/>
      <c r="UFH75" s="41"/>
      <c r="UFI75" s="41"/>
      <c r="UFJ75" s="41"/>
      <c r="UFK75" s="41"/>
      <c r="UHG75" s="39"/>
      <c r="UHJ75" s="41"/>
      <c r="UHK75" s="41"/>
      <c r="UHL75" s="41"/>
      <c r="UHM75" s="41"/>
      <c r="UHN75" s="41"/>
      <c r="UJJ75" s="39"/>
      <c r="UJM75" s="41"/>
      <c r="UJN75" s="41"/>
      <c r="UJO75" s="41"/>
      <c r="UJP75" s="41"/>
      <c r="UJQ75" s="41"/>
      <c r="ULM75" s="39"/>
      <c r="ULP75" s="41"/>
      <c r="ULQ75" s="41"/>
      <c r="ULR75" s="41"/>
      <c r="ULS75" s="41"/>
      <c r="ULT75" s="41"/>
      <c r="UNP75" s="39"/>
      <c r="UNS75" s="41"/>
      <c r="UNT75" s="41"/>
      <c r="UNU75" s="41"/>
      <c r="UNV75" s="41"/>
      <c r="UNW75" s="41"/>
      <c r="UPS75" s="39"/>
      <c r="UPV75" s="41"/>
      <c r="UPW75" s="41"/>
      <c r="UPX75" s="41"/>
      <c r="UPY75" s="41"/>
      <c r="UPZ75" s="41"/>
      <c r="URV75" s="39"/>
      <c r="URY75" s="41"/>
      <c r="URZ75" s="41"/>
      <c r="USA75" s="41"/>
      <c r="USB75" s="41"/>
      <c r="USC75" s="41"/>
      <c r="UTY75" s="39"/>
      <c r="UUB75" s="41"/>
      <c r="UUC75" s="41"/>
      <c r="UUD75" s="41"/>
      <c r="UUE75" s="41"/>
      <c r="UUF75" s="41"/>
      <c r="UWB75" s="39"/>
      <c r="UWE75" s="41"/>
      <c r="UWF75" s="41"/>
      <c r="UWG75" s="41"/>
      <c r="UWH75" s="41"/>
      <c r="UWI75" s="41"/>
      <c r="UYE75" s="39"/>
      <c r="UYH75" s="41"/>
      <c r="UYI75" s="41"/>
      <c r="UYJ75" s="41"/>
      <c r="UYK75" s="41"/>
      <c r="UYL75" s="41"/>
      <c r="VAH75" s="39"/>
      <c r="VAK75" s="41"/>
      <c r="VAL75" s="41"/>
      <c r="VAM75" s="41"/>
      <c r="VAN75" s="41"/>
      <c r="VAO75" s="41"/>
      <c r="VCK75" s="39"/>
      <c r="VCN75" s="41"/>
      <c r="VCO75" s="41"/>
      <c r="VCP75" s="41"/>
      <c r="VCQ75" s="41"/>
      <c r="VCR75" s="41"/>
      <c r="VEN75" s="39"/>
      <c r="VEQ75" s="41"/>
      <c r="VER75" s="41"/>
      <c r="VES75" s="41"/>
      <c r="VET75" s="41"/>
      <c r="VEU75" s="41"/>
      <c r="VGQ75" s="39"/>
      <c r="VGT75" s="41"/>
      <c r="VGU75" s="41"/>
      <c r="VGV75" s="41"/>
      <c r="VGW75" s="41"/>
      <c r="VGX75" s="41"/>
      <c r="VIT75" s="39"/>
      <c r="VIW75" s="41"/>
      <c r="VIX75" s="41"/>
      <c r="VIY75" s="41"/>
      <c r="VIZ75" s="41"/>
      <c r="VJA75" s="41"/>
      <c r="VKW75" s="39"/>
      <c r="VKZ75" s="41"/>
      <c r="VLA75" s="41"/>
      <c r="VLB75" s="41"/>
      <c r="VLC75" s="41"/>
      <c r="VLD75" s="41"/>
      <c r="VMZ75" s="39"/>
      <c r="VNC75" s="41"/>
      <c r="VND75" s="41"/>
      <c r="VNE75" s="41"/>
      <c r="VNF75" s="41"/>
      <c r="VNG75" s="41"/>
      <c r="VPC75" s="39"/>
      <c r="VPF75" s="41"/>
      <c r="VPG75" s="41"/>
      <c r="VPH75" s="41"/>
      <c r="VPI75" s="41"/>
      <c r="VPJ75" s="41"/>
      <c r="VRF75" s="39"/>
      <c r="VRI75" s="41"/>
      <c r="VRJ75" s="41"/>
      <c r="VRK75" s="41"/>
      <c r="VRL75" s="41"/>
      <c r="VRM75" s="41"/>
      <c r="VTI75" s="39"/>
      <c r="VTL75" s="41"/>
      <c r="VTM75" s="41"/>
      <c r="VTN75" s="41"/>
      <c r="VTO75" s="41"/>
      <c r="VTP75" s="41"/>
      <c r="VVL75" s="39"/>
      <c r="VVO75" s="41"/>
      <c r="VVP75" s="41"/>
      <c r="VVQ75" s="41"/>
      <c r="VVR75" s="41"/>
      <c r="VVS75" s="41"/>
      <c r="VXO75" s="39"/>
      <c r="VXR75" s="41"/>
      <c r="VXS75" s="41"/>
      <c r="VXT75" s="41"/>
      <c r="VXU75" s="41"/>
      <c r="VXV75" s="41"/>
      <c r="VZR75" s="39"/>
      <c r="VZU75" s="41"/>
      <c r="VZV75" s="41"/>
      <c r="VZW75" s="41"/>
      <c r="VZX75" s="41"/>
      <c r="VZY75" s="41"/>
      <c r="WBU75" s="39"/>
      <c r="WBX75" s="41"/>
      <c r="WBY75" s="41"/>
      <c r="WBZ75" s="41"/>
      <c r="WCA75" s="41"/>
      <c r="WCB75" s="41"/>
      <c r="WDX75" s="39"/>
      <c r="WEA75" s="41"/>
      <c r="WEB75" s="41"/>
      <c r="WEC75" s="41"/>
      <c r="WED75" s="41"/>
      <c r="WEE75" s="41"/>
      <c r="WGA75" s="39"/>
      <c r="WGD75" s="41"/>
      <c r="WGE75" s="41"/>
      <c r="WGF75" s="41"/>
      <c r="WGG75" s="41"/>
      <c r="WGH75" s="41"/>
      <c r="WID75" s="39"/>
      <c r="WIG75" s="41"/>
      <c r="WIH75" s="41"/>
      <c r="WII75" s="41"/>
      <c r="WIJ75" s="41"/>
      <c r="WIK75" s="41"/>
      <c r="WKG75" s="39"/>
      <c r="WKJ75" s="41"/>
      <c r="WKK75" s="41"/>
      <c r="WKL75" s="41"/>
      <c r="WKM75" s="41"/>
      <c r="WKN75" s="41"/>
      <c r="WMJ75" s="39"/>
      <c r="WMM75" s="41"/>
      <c r="WMN75" s="41"/>
      <c r="WMO75" s="41"/>
      <c r="WMP75" s="41"/>
      <c r="WMQ75" s="41"/>
      <c r="WOM75" s="39"/>
      <c r="WOP75" s="41"/>
      <c r="WOQ75" s="41"/>
      <c r="WOR75" s="41"/>
      <c r="WOS75" s="41"/>
      <c r="WOT75" s="41"/>
      <c r="WQP75" s="39"/>
      <c r="WQS75" s="41"/>
      <c r="WQT75" s="41"/>
      <c r="WQU75" s="41"/>
      <c r="WQV75" s="41"/>
      <c r="WQW75" s="41"/>
      <c r="WSS75" s="39"/>
      <c r="WSV75" s="41"/>
      <c r="WSW75" s="41"/>
      <c r="WSX75" s="41"/>
      <c r="WSY75" s="41"/>
      <c r="WSZ75" s="41"/>
      <c r="WUV75" s="39"/>
      <c r="WUY75" s="41"/>
      <c r="WUZ75" s="41"/>
      <c r="WVA75" s="41"/>
      <c r="WVB75" s="41"/>
      <c r="WVC75" s="41"/>
      <c r="WWY75" s="39"/>
      <c r="WXB75" s="41"/>
      <c r="WXC75" s="41"/>
      <c r="WXD75" s="41"/>
      <c r="WXE75" s="41"/>
      <c r="WXF75" s="41"/>
      <c r="WZB75" s="39"/>
      <c r="WZE75" s="41"/>
      <c r="WZF75" s="41"/>
      <c r="WZG75" s="41"/>
      <c r="WZH75" s="41"/>
      <c r="WZI75" s="41"/>
      <c r="XBE75" s="39"/>
      <c r="XBH75" s="41"/>
      <c r="XBI75" s="41"/>
      <c r="XBJ75" s="41"/>
      <c r="XBK75" s="41"/>
      <c r="XBL75" s="41"/>
      <c r="XDH75" s="39"/>
      <c r="XDK75" s="41"/>
      <c r="XDL75" s="41"/>
      <c r="XDM75" s="41"/>
      <c r="XDN75" s="41"/>
      <c r="XDO75" s="41"/>
    </row>
    <row r="76" spans="1:998 1046:2043 2091:3033 3081:4078 4126:6113 6161:7158 7206:8148 8196:9193 9241:10238 10286:11228 11276:12273 12321:13311 13314:14308 14356:15353 15401:16343" s="40" customFormat="1" ht="15" customHeight="1" x14ac:dyDescent="0.25">
      <c r="A76" s="22" t="s">
        <v>549</v>
      </c>
      <c r="B76" s="23">
        <v>750</v>
      </c>
      <c r="C76" s="23">
        <v>36</v>
      </c>
      <c r="D76" s="24">
        <v>30</v>
      </c>
      <c r="E76" s="24" t="s">
        <v>469</v>
      </c>
      <c r="F76" s="24">
        <v>0</v>
      </c>
      <c r="G76" s="24">
        <f t="shared" si="18"/>
        <v>432</v>
      </c>
      <c r="H76" s="24">
        <f t="shared" si="19"/>
        <v>223</v>
      </c>
      <c r="I76" s="23">
        <f t="shared" si="20"/>
        <v>211</v>
      </c>
      <c r="J76" s="23">
        <f t="shared" si="21"/>
        <v>30</v>
      </c>
      <c r="K76" s="23">
        <v>2.125</v>
      </c>
      <c r="L76" s="23">
        <v>12</v>
      </c>
      <c r="M76" s="23">
        <v>28</v>
      </c>
      <c r="N76" s="23">
        <f t="shared" si="22"/>
        <v>6.4285714285714288</v>
      </c>
      <c r="O76" s="23">
        <f t="shared" si="23"/>
        <v>28</v>
      </c>
      <c r="P76" s="23">
        <f t="shared" si="24"/>
        <v>56</v>
      </c>
      <c r="Q76" s="23">
        <f t="shared" si="25"/>
        <v>56</v>
      </c>
      <c r="R76" s="23">
        <f t="shared" si="26"/>
        <v>28</v>
      </c>
      <c r="BD76" s="39"/>
      <c r="BG76" s="41"/>
      <c r="BH76" s="41"/>
      <c r="BI76" s="41"/>
      <c r="BJ76" s="41"/>
      <c r="BK76" s="41"/>
      <c r="DG76" s="39"/>
      <c r="DJ76" s="41"/>
      <c r="DK76" s="41"/>
      <c r="DL76" s="41"/>
      <c r="DM76" s="41"/>
      <c r="DN76" s="41"/>
      <c r="FJ76" s="39"/>
      <c r="FM76" s="41"/>
      <c r="FN76" s="41"/>
      <c r="FO76" s="41"/>
      <c r="FP76" s="41"/>
      <c r="FQ76" s="41"/>
      <c r="HM76" s="39"/>
      <c r="HP76" s="41"/>
      <c r="HQ76" s="41"/>
      <c r="HR76" s="41"/>
      <c r="HS76" s="41"/>
      <c r="HT76" s="41"/>
      <c r="JP76" s="39"/>
      <c r="JS76" s="41"/>
      <c r="JT76" s="41"/>
      <c r="JU76" s="41"/>
      <c r="JV76" s="41"/>
      <c r="JW76" s="41"/>
      <c r="LS76" s="39"/>
      <c r="LV76" s="41"/>
      <c r="LW76" s="41"/>
      <c r="LX76" s="41"/>
      <c r="LY76" s="41"/>
      <c r="LZ76" s="41"/>
      <c r="NV76" s="39"/>
      <c r="NY76" s="41"/>
      <c r="NZ76" s="41"/>
      <c r="OA76" s="41"/>
      <c r="OB76" s="41"/>
      <c r="OC76" s="41"/>
      <c r="PY76" s="39"/>
      <c r="QB76" s="41"/>
      <c r="QC76" s="41"/>
      <c r="QD76" s="41"/>
      <c r="QE76" s="41"/>
      <c r="QF76" s="41"/>
      <c r="SB76" s="39"/>
      <c r="SE76" s="41"/>
      <c r="SF76" s="41"/>
      <c r="SG76" s="41"/>
      <c r="SH76" s="41"/>
      <c r="SI76" s="41"/>
      <c r="UE76" s="39"/>
      <c r="UH76" s="41"/>
      <c r="UI76" s="41"/>
      <c r="UJ76" s="41"/>
      <c r="UK76" s="41"/>
      <c r="UL76" s="41"/>
      <c r="WH76" s="39"/>
      <c r="WK76" s="41"/>
      <c r="WL76" s="41"/>
      <c r="WM76" s="41"/>
      <c r="WN76" s="41"/>
      <c r="WO76" s="41"/>
      <c r="YK76" s="39"/>
      <c r="YN76" s="41"/>
      <c r="YO76" s="41"/>
      <c r="YP76" s="41"/>
      <c r="YQ76" s="41"/>
      <c r="YR76" s="41"/>
      <c r="AAN76" s="39"/>
      <c r="AAQ76" s="41"/>
      <c r="AAR76" s="41"/>
      <c r="AAS76" s="41"/>
      <c r="AAT76" s="41"/>
      <c r="AAU76" s="41"/>
      <c r="ACQ76" s="39"/>
      <c r="ACT76" s="41"/>
      <c r="ACU76" s="41"/>
      <c r="ACV76" s="41"/>
      <c r="ACW76" s="41"/>
      <c r="ACX76" s="41"/>
      <c r="AET76" s="39"/>
      <c r="AEW76" s="41"/>
      <c r="AEX76" s="41"/>
      <c r="AEY76" s="41"/>
      <c r="AEZ76" s="41"/>
      <c r="AFA76" s="41"/>
      <c r="AGW76" s="39"/>
      <c r="AGZ76" s="41"/>
      <c r="AHA76" s="41"/>
      <c r="AHB76" s="41"/>
      <c r="AHC76" s="41"/>
      <c r="AHD76" s="41"/>
      <c r="AIZ76" s="39"/>
      <c r="AJC76" s="41"/>
      <c r="AJD76" s="41"/>
      <c r="AJE76" s="41"/>
      <c r="AJF76" s="41"/>
      <c r="AJG76" s="41"/>
      <c r="ALC76" s="39"/>
      <c r="ALF76" s="41"/>
      <c r="ALG76" s="41"/>
      <c r="ALH76" s="41"/>
      <c r="ALI76" s="41"/>
      <c r="ALJ76" s="41"/>
      <c r="ANF76" s="39"/>
      <c r="ANI76" s="41"/>
      <c r="ANJ76" s="41"/>
      <c r="ANK76" s="41"/>
      <c r="ANL76" s="41"/>
      <c r="ANM76" s="41"/>
      <c r="API76" s="39"/>
      <c r="APL76" s="41"/>
      <c r="APM76" s="41"/>
      <c r="APN76" s="41"/>
      <c r="APO76" s="41"/>
      <c r="APP76" s="41"/>
      <c r="ARL76" s="39"/>
      <c r="ARO76" s="41"/>
      <c r="ARP76" s="41"/>
      <c r="ARQ76" s="41"/>
      <c r="ARR76" s="41"/>
      <c r="ARS76" s="41"/>
      <c r="ATO76" s="39"/>
      <c r="ATR76" s="41"/>
      <c r="ATS76" s="41"/>
      <c r="ATT76" s="41"/>
      <c r="ATU76" s="41"/>
      <c r="ATV76" s="41"/>
      <c r="AVR76" s="39"/>
      <c r="AVU76" s="41"/>
      <c r="AVV76" s="41"/>
      <c r="AVW76" s="41"/>
      <c r="AVX76" s="41"/>
      <c r="AVY76" s="41"/>
      <c r="AXU76" s="39"/>
      <c r="AXX76" s="41"/>
      <c r="AXY76" s="41"/>
      <c r="AXZ76" s="41"/>
      <c r="AYA76" s="41"/>
      <c r="AYB76" s="41"/>
      <c r="AZX76" s="39"/>
      <c r="BAA76" s="41"/>
      <c r="BAB76" s="41"/>
      <c r="BAC76" s="41"/>
      <c r="BAD76" s="41"/>
      <c r="BAE76" s="41"/>
      <c r="BCA76" s="39"/>
      <c r="BCD76" s="41"/>
      <c r="BCE76" s="41"/>
      <c r="BCF76" s="41"/>
      <c r="BCG76" s="41"/>
      <c r="BCH76" s="41"/>
      <c r="BED76" s="39"/>
      <c r="BEG76" s="41"/>
      <c r="BEH76" s="41"/>
      <c r="BEI76" s="41"/>
      <c r="BEJ76" s="41"/>
      <c r="BEK76" s="41"/>
      <c r="BGG76" s="39"/>
      <c r="BGJ76" s="41"/>
      <c r="BGK76" s="41"/>
      <c r="BGL76" s="41"/>
      <c r="BGM76" s="41"/>
      <c r="BGN76" s="41"/>
      <c r="BIJ76" s="39"/>
      <c r="BIM76" s="41"/>
      <c r="BIN76" s="41"/>
      <c r="BIO76" s="41"/>
      <c r="BIP76" s="41"/>
      <c r="BIQ76" s="41"/>
      <c r="BKM76" s="39"/>
      <c r="BKP76" s="41"/>
      <c r="BKQ76" s="41"/>
      <c r="BKR76" s="41"/>
      <c r="BKS76" s="41"/>
      <c r="BKT76" s="41"/>
      <c r="BMP76" s="39"/>
      <c r="BMS76" s="41"/>
      <c r="BMT76" s="41"/>
      <c r="BMU76" s="41"/>
      <c r="BMV76" s="41"/>
      <c r="BMW76" s="41"/>
      <c r="BOS76" s="39"/>
      <c r="BOV76" s="41"/>
      <c r="BOW76" s="41"/>
      <c r="BOX76" s="41"/>
      <c r="BOY76" s="41"/>
      <c r="BOZ76" s="41"/>
      <c r="BQV76" s="39"/>
      <c r="BQY76" s="41"/>
      <c r="BQZ76" s="41"/>
      <c r="BRA76" s="41"/>
      <c r="BRB76" s="41"/>
      <c r="BRC76" s="41"/>
      <c r="BSY76" s="39"/>
      <c r="BTB76" s="41"/>
      <c r="BTC76" s="41"/>
      <c r="BTD76" s="41"/>
      <c r="BTE76" s="41"/>
      <c r="BTF76" s="41"/>
      <c r="BVB76" s="39"/>
      <c r="BVE76" s="41"/>
      <c r="BVF76" s="41"/>
      <c r="BVG76" s="41"/>
      <c r="BVH76" s="41"/>
      <c r="BVI76" s="41"/>
      <c r="BXE76" s="39"/>
      <c r="BXH76" s="41"/>
      <c r="BXI76" s="41"/>
      <c r="BXJ76" s="41"/>
      <c r="BXK76" s="41"/>
      <c r="BXL76" s="41"/>
      <c r="BZH76" s="39"/>
      <c r="BZK76" s="41"/>
      <c r="BZL76" s="41"/>
      <c r="BZM76" s="41"/>
      <c r="BZN76" s="41"/>
      <c r="BZO76" s="41"/>
      <c r="CBK76" s="39"/>
      <c r="CBN76" s="41"/>
      <c r="CBO76" s="41"/>
      <c r="CBP76" s="41"/>
      <c r="CBQ76" s="41"/>
      <c r="CBR76" s="41"/>
      <c r="CDN76" s="39"/>
      <c r="CDQ76" s="41"/>
      <c r="CDR76" s="41"/>
      <c r="CDS76" s="41"/>
      <c r="CDT76" s="41"/>
      <c r="CDU76" s="41"/>
      <c r="CFQ76" s="39"/>
      <c r="CFT76" s="41"/>
      <c r="CFU76" s="41"/>
      <c r="CFV76" s="41"/>
      <c r="CFW76" s="41"/>
      <c r="CFX76" s="41"/>
      <c r="CHT76" s="39"/>
      <c r="CHW76" s="41"/>
      <c r="CHX76" s="41"/>
      <c r="CHY76" s="41"/>
      <c r="CHZ76" s="41"/>
      <c r="CIA76" s="41"/>
      <c r="CJW76" s="39"/>
      <c r="CJZ76" s="41"/>
      <c r="CKA76" s="41"/>
      <c r="CKB76" s="41"/>
      <c r="CKC76" s="41"/>
      <c r="CKD76" s="41"/>
      <c r="CLZ76" s="39"/>
      <c r="CMC76" s="41"/>
      <c r="CMD76" s="41"/>
      <c r="CME76" s="41"/>
      <c r="CMF76" s="41"/>
      <c r="CMG76" s="41"/>
      <c r="COC76" s="39"/>
      <c r="COF76" s="41"/>
      <c r="COG76" s="41"/>
      <c r="COH76" s="41"/>
      <c r="COI76" s="41"/>
      <c r="COJ76" s="41"/>
      <c r="CQF76" s="39"/>
      <c r="CQI76" s="41"/>
      <c r="CQJ76" s="41"/>
      <c r="CQK76" s="41"/>
      <c r="CQL76" s="41"/>
      <c r="CQM76" s="41"/>
      <c r="CSI76" s="39"/>
      <c r="CSL76" s="41"/>
      <c r="CSM76" s="41"/>
      <c r="CSN76" s="41"/>
      <c r="CSO76" s="41"/>
      <c r="CSP76" s="41"/>
      <c r="CUL76" s="39"/>
      <c r="CUO76" s="41"/>
      <c r="CUP76" s="41"/>
      <c r="CUQ76" s="41"/>
      <c r="CUR76" s="41"/>
      <c r="CUS76" s="41"/>
      <c r="CWO76" s="39"/>
      <c r="CWR76" s="41"/>
      <c r="CWS76" s="41"/>
      <c r="CWT76" s="41"/>
      <c r="CWU76" s="41"/>
      <c r="CWV76" s="41"/>
      <c r="CYR76" s="39"/>
      <c r="CYU76" s="41"/>
      <c r="CYV76" s="41"/>
      <c r="CYW76" s="41"/>
      <c r="CYX76" s="41"/>
      <c r="CYY76" s="41"/>
      <c r="DAU76" s="39"/>
      <c r="DAX76" s="41"/>
      <c r="DAY76" s="41"/>
      <c r="DAZ76" s="41"/>
      <c r="DBA76" s="41"/>
      <c r="DBB76" s="41"/>
      <c r="DCX76" s="39"/>
      <c r="DDA76" s="41"/>
      <c r="DDB76" s="41"/>
      <c r="DDC76" s="41"/>
      <c r="DDD76" s="41"/>
      <c r="DDE76" s="41"/>
      <c r="DFA76" s="39"/>
      <c r="DFD76" s="41"/>
      <c r="DFE76" s="41"/>
      <c r="DFF76" s="41"/>
      <c r="DFG76" s="41"/>
      <c r="DFH76" s="41"/>
      <c r="DHD76" s="39"/>
      <c r="DHG76" s="41"/>
      <c r="DHH76" s="41"/>
      <c r="DHI76" s="41"/>
      <c r="DHJ76" s="41"/>
      <c r="DHK76" s="41"/>
      <c r="DJG76" s="39"/>
      <c r="DJJ76" s="41"/>
      <c r="DJK76" s="41"/>
      <c r="DJL76" s="41"/>
      <c r="DJM76" s="41"/>
      <c r="DJN76" s="41"/>
      <c r="DLJ76" s="39"/>
      <c r="DLM76" s="41"/>
      <c r="DLN76" s="41"/>
      <c r="DLO76" s="41"/>
      <c r="DLP76" s="41"/>
      <c r="DLQ76" s="41"/>
      <c r="DNM76" s="39"/>
      <c r="DNP76" s="41"/>
      <c r="DNQ76" s="41"/>
      <c r="DNR76" s="41"/>
      <c r="DNS76" s="41"/>
      <c r="DNT76" s="41"/>
      <c r="DPP76" s="39"/>
      <c r="DPS76" s="41"/>
      <c r="DPT76" s="41"/>
      <c r="DPU76" s="41"/>
      <c r="DPV76" s="41"/>
      <c r="DPW76" s="41"/>
      <c r="DRS76" s="39"/>
      <c r="DRV76" s="41"/>
      <c r="DRW76" s="41"/>
      <c r="DRX76" s="41"/>
      <c r="DRY76" s="41"/>
      <c r="DRZ76" s="41"/>
      <c r="DTV76" s="39"/>
      <c r="DTY76" s="41"/>
      <c r="DTZ76" s="41"/>
      <c r="DUA76" s="41"/>
      <c r="DUB76" s="41"/>
      <c r="DUC76" s="41"/>
      <c r="DVY76" s="39"/>
      <c r="DWB76" s="41"/>
      <c r="DWC76" s="41"/>
      <c r="DWD76" s="41"/>
      <c r="DWE76" s="41"/>
      <c r="DWF76" s="41"/>
      <c r="DYB76" s="39"/>
      <c r="DYE76" s="41"/>
      <c r="DYF76" s="41"/>
      <c r="DYG76" s="41"/>
      <c r="DYH76" s="41"/>
      <c r="DYI76" s="41"/>
      <c r="EAE76" s="39"/>
      <c r="EAH76" s="41"/>
      <c r="EAI76" s="41"/>
      <c r="EAJ76" s="41"/>
      <c r="EAK76" s="41"/>
      <c r="EAL76" s="41"/>
      <c r="ECH76" s="39"/>
      <c r="ECK76" s="41"/>
      <c r="ECL76" s="41"/>
      <c r="ECM76" s="41"/>
      <c r="ECN76" s="41"/>
      <c r="ECO76" s="41"/>
      <c r="EEK76" s="39"/>
      <c r="EEN76" s="41"/>
      <c r="EEO76" s="41"/>
      <c r="EEP76" s="41"/>
      <c r="EEQ76" s="41"/>
      <c r="EER76" s="41"/>
      <c r="EGN76" s="39"/>
      <c r="EGQ76" s="41"/>
      <c r="EGR76" s="41"/>
      <c r="EGS76" s="41"/>
      <c r="EGT76" s="41"/>
      <c r="EGU76" s="41"/>
      <c r="EIQ76" s="39"/>
      <c r="EIT76" s="41"/>
      <c r="EIU76" s="41"/>
      <c r="EIV76" s="41"/>
      <c r="EIW76" s="41"/>
      <c r="EIX76" s="41"/>
      <c r="EKT76" s="39"/>
      <c r="EKW76" s="41"/>
      <c r="EKX76" s="41"/>
      <c r="EKY76" s="41"/>
      <c r="EKZ76" s="41"/>
      <c r="ELA76" s="41"/>
      <c r="EMW76" s="39"/>
      <c r="EMZ76" s="41"/>
      <c r="ENA76" s="41"/>
      <c r="ENB76" s="41"/>
      <c r="ENC76" s="41"/>
      <c r="END76" s="41"/>
      <c r="EOZ76" s="39"/>
      <c r="EPC76" s="41"/>
      <c r="EPD76" s="41"/>
      <c r="EPE76" s="41"/>
      <c r="EPF76" s="41"/>
      <c r="EPG76" s="41"/>
      <c r="ERC76" s="39"/>
      <c r="ERF76" s="41"/>
      <c r="ERG76" s="41"/>
      <c r="ERH76" s="41"/>
      <c r="ERI76" s="41"/>
      <c r="ERJ76" s="41"/>
      <c r="ETF76" s="39"/>
      <c r="ETI76" s="41"/>
      <c r="ETJ76" s="41"/>
      <c r="ETK76" s="41"/>
      <c r="ETL76" s="41"/>
      <c r="ETM76" s="41"/>
      <c r="EVI76" s="39"/>
      <c r="EVL76" s="41"/>
      <c r="EVM76" s="41"/>
      <c r="EVN76" s="41"/>
      <c r="EVO76" s="41"/>
      <c r="EVP76" s="41"/>
      <c r="EXL76" s="39"/>
      <c r="EXO76" s="41"/>
      <c r="EXP76" s="41"/>
      <c r="EXQ76" s="41"/>
      <c r="EXR76" s="41"/>
      <c r="EXS76" s="41"/>
      <c r="EZO76" s="39"/>
      <c r="EZR76" s="41"/>
      <c r="EZS76" s="41"/>
      <c r="EZT76" s="41"/>
      <c r="EZU76" s="41"/>
      <c r="EZV76" s="41"/>
      <c r="FBR76" s="39"/>
      <c r="FBU76" s="41"/>
      <c r="FBV76" s="41"/>
      <c r="FBW76" s="41"/>
      <c r="FBX76" s="41"/>
      <c r="FBY76" s="41"/>
      <c r="FDU76" s="39"/>
      <c r="FDX76" s="41"/>
      <c r="FDY76" s="41"/>
      <c r="FDZ76" s="41"/>
      <c r="FEA76" s="41"/>
      <c r="FEB76" s="41"/>
      <c r="FFX76" s="39"/>
      <c r="FGA76" s="41"/>
      <c r="FGB76" s="41"/>
      <c r="FGC76" s="41"/>
      <c r="FGD76" s="41"/>
      <c r="FGE76" s="41"/>
      <c r="FIA76" s="39"/>
      <c r="FID76" s="41"/>
      <c r="FIE76" s="41"/>
      <c r="FIF76" s="41"/>
      <c r="FIG76" s="41"/>
      <c r="FIH76" s="41"/>
      <c r="FKD76" s="39"/>
      <c r="FKG76" s="41"/>
      <c r="FKH76" s="41"/>
      <c r="FKI76" s="41"/>
      <c r="FKJ76" s="41"/>
      <c r="FKK76" s="41"/>
      <c r="FMG76" s="39"/>
      <c r="FMJ76" s="41"/>
      <c r="FMK76" s="41"/>
      <c r="FML76" s="41"/>
      <c r="FMM76" s="41"/>
      <c r="FMN76" s="41"/>
      <c r="FOJ76" s="39"/>
      <c r="FOM76" s="41"/>
      <c r="FON76" s="41"/>
      <c r="FOO76" s="41"/>
      <c r="FOP76" s="41"/>
      <c r="FOQ76" s="41"/>
      <c r="FQM76" s="39"/>
      <c r="FQP76" s="41"/>
      <c r="FQQ76" s="41"/>
      <c r="FQR76" s="41"/>
      <c r="FQS76" s="41"/>
      <c r="FQT76" s="41"/>
      <c r="FSP76" s="39"/>
      <c r="FSS76" s="41"/>
      <c r="FST76" s="41"/>
      <c r="FSU76" s="41"/>
      <c r="FSV76" s="41"/>
      <c r="FSW76" s="41"/>
      <c r="FUS76" s="39"/>
      <c r="FUV76" s="41"/>
      <c r="FUW76" s="41"/>
      <c r="FUX76" s="41"/>
      <c r="FUY76" s="41"/>
      <c r="FUZ76" s="41"/>
      <c r="FWV76" s="39"/>
      <c r="FWY76" s="41"/>
      <c r="FWZ76" s="41"/>
      <c r="FXA76" s="41"/>
      <c r="FXB76" s="41"/>
      <c r="FXC76" s="41"/>
      <c r="FYY76" s="39"/>
      <c r="FZB76" s="41"/>
      <c r="FZC76" s="41"/>
      <c r="FZD76" s="41"/>
      <c r="FZE76" s="41"/>
      <c r="FZF76" s="41"/>
      <c r="GBB76" s="39"/>
      <c r="GBE76" s="41"/>
      <c r="GBF76" s="41"/>
      <c r="GBG76" s="41"/>
      <c r="GBH76" s="41"/>
      <c r="GBI76" s="41"/>
      <c r="GDE76" s="39"/>
      <c r="GDH76" s="41"/>
      <c r="GDI76" s="41"/>
      <c r="GDJ76" s="41"/>
      <c r="GDK76" s="41"/>
      <c r="GDL76" s="41"/>
      <c r="GFH76" s="39"/>
      <c r="GFK76" s="41"/>
      <c r="GFL76" s="41"/>
      <c r="GFM76" s="41"/>
      <c r="GFN76" s="41"/>
      <c r="GFO76" s="41"/>
      <c r="GHK76" s="39"/>
      <c r="GHN76" s="41"/>
      <c r="GHO76" s="41"/>
      <c r="GHP76" s="41"/>
      <c r="GHQ76" s="41"/>
      <c r="GHR76" s="41"/>
      <c r="GJN76" s="39"/>
      <c r="GJQ76" s="41"/>
      <c r="GJR76" s="41"/>
      <c r="GJS76" s="41"/>
      <c r="GJT76" s="41"/>
      <c r="GJU76" s="41"/>
      <c r="GLQ76" s="39"/>
      <c r="GLT76" s="41"/>
      <c r="GLU76" s="41"/>
      <c r="GLV76" s="41"/>
      <c r="GLW76" s="41"/>
      <c r="GLX76" s="41"/>
      <c r="GNT76" s="39"/>
      <c r="GNW76" s="41"/>
      <c r="GNX76" s="41"/>
      <c r="GNY76" s="41"/>
      <c r="GNZ76" s="41"/>
      <c r="GOA76" s="41"/>
      <c r="GPW76" s="39"/>
      <c r="GPZ76" s="41"/>
      <c r="GQA76" s="41"/>
      <c r="GQB76" s="41"/>
      <c r="GQC76" s="41"/>
      <c r="GQD76" s="41"/>
      <c r="GRZ76" s="39"/>
      <c r="GSC76" s="41"/>
      <c r="GSD76" s="41"/>
      <c r="GSE76" s="41"/>
      <c r="GSF76" s="41"/>
      <c r="GSG76" s="41"/>
      <c r="GUC76" s="39"/>
      <c r="GUF76" s="41"/>
      <c r="GUG76" s="41"/>
      <c r="GUH76" s="41"/>
      <c r="GUI76" s="41"/>
      <c r="GUJ76" s="41"/>
      <c r="GWF76" s="39"/>
      <c r="GWI76" s="41"/>
      <c r="GWJ76" s="41"/>
      <c r="GWK76" s="41"/>
      <c r="GWL76" s="41"/>
      <c r="GWM76" s="41"/>
      <c r="GYI76" s="39"/>
      <c r="GYL76" s="41"/>
      <c r="GYM76" s="41"/>
      <c r="GYN76" s="41"/>
      <c r="GYO76" s="41"/>
      <c r="GYP76" s="41"/>
      <c r="HAL76" s="39"/>
      <c r="HAO76" s="41"/>
      <c r="HAP76" s="41"/>
      <c r="HAQ76" s="41"/>
      <c r="HAR76" s="41"/>
      <c r="HAS76" s="41"/>
      <c r="HCO76" s="39"/>
      <c r="HCR76" s="41"/>
      <c r="HCS76" s="41"/>
      <c r="HCT76" s="41"/>
      <c r="HCU76" s="41"/>
      <c r="HCV76" s="41"/>
      <c r="HER76" s="39"/>
      <c r="HEU76" s="41"/>
      <c r="HEV76" s="41"/>
      <c r="HEW76" s="41"/>
      <c r="HEX76" s="41"/>
      <c r="HEY76" s="41"/>
      <c r="HGU76" s="39"/>
      <c r="HGX76" s="41"/>
      <c r="HGY76" s="41"/>
      <c r="HGZ76" s="41"/>
      <c r="HHA76" s="41"/>
      <c r="HHB76" s="41"/>
      <c r="HIX76" s="39"/>
      <c r="HJA76" s="41"/>
      <c r="HJB76" s="41"/>
      <c r="HJC76" s="41"/>
      <c r="HJD76" s="41"/>
      <c r="HJE76" s="41"/>
      <c r="HLA76" s="39"/>
      <c r="HLD76" s="41"/>
      <c r="HLE76" s="41"/>
      <c r="HLF76" s="41"/>
      <c r="HLG76" s="41"/>
      <c r="HLH76" s="41"/>
      <c r="HND76" s="39"/>
      <c r="HNG76" s="41"/>
      <c r="HNH76" s="41"/>
      <c r="HNI76" s="41"/>
      <c r="HNJ76" s="41"/>
      <c r="HNK76" s="41"/>
      <c r="HPG76" s="39"/>
      <c r="HPJ76" s="41"/>
      <c r="HPK76" s="41"/>
      <c r="HPL76" s="41"/>
      <c r="HPM76" s="41"/>
      <c r="HPN76" s="41"/>
      <c r="HRJ76" s="39"/>
      <c r="HRM76" s="41"/>
      <c r="HRN76" s="41"/>
      <c r="HRO76" s="41"/>
      <c r="HRP76" s="41"/>
      <c r="HRQ76" s="41"/>
      <c r="HTM76" s="39"/>
      <c r="HTP76" s="41"/>
      <c r="HTQ76" s="41"/>
      <c r="HTR76" s="41"/>
      <c r="HTS76" s="41"/>
      <c r="HTT76" s="41"/>
      <c r="HVP76" s="39"/>
      <c r="HVS76" s="41"/>
      <c r="HVT76" s="41"/>
      <c r="HVU76" s="41"/>
      <c r="HVV76" s="41"/>
      <c r="HVW76" s="41"/>
      <c r="HXS76" s="39"/>
      <c r="HXV76" s="41"/>
      <c r="HXW76" s="41"/>
      <c r="HXX76" s="41"/>
      <c r="HXY76" s="41"/>
      <c r="HXZ76" s="41"/>
      <c r="HZV76" s="39"/>
      <c r="HZY76" s="41"/>
      <c r="HZZ76" s="41"/>
      <c r="IAA76" s="41"/>
      <c r="IAB76" s="41"/>
      <c r="IAC76" s="41"/>
      <c r="IBY76" s="39"/>
      <c r="ICB76" s="41"/>
      <c r="ICC76" s="41"/>
      <c r="ICD76" s="41"/>
      <c r="ICE76" s="41"/>
      <c r="ICF76" s="41"/>
      <c r="IEB76" s="39"/>
      <c r="IEE76" s="41"/>
      <c r="IEF76" s="41"/>
      <c r="IEG76" s="41"/>
      <c r="IEH76" s="41"/>
      <c r="IEI76" s="41"/>
      <c r="IGE76" s="39"/>
      <c r="IGH76" s="41"/>
      <c r="IGI76" s="41"/>
      <c r="IGJ76" s="41"/>
      <c r="IGK76" s="41"/>
      <c r="IGL76" s="41"/>
      <c r="IIH76" s="39"/>
      <c r="IIK76" s="41"/>
      <c r="IIL76" s="41"/>
      <c r="IIM76" s="41"/>
      <c r="IIN76" s="41"/>
      <c r="IIO76" s="41"/>
      <c r="IKK76" s="39"/>
      <c r="IKN76" s="41"/>
      <c r="IKO76" s="41"/>
      <c r="IKP76" s="41"/>
      <c r="IKQ76" s="41"/>
      <c r="IKR76" s="41"/>
      <c r="IMN76" s="39"/>
      <c r="IMQ76" s="41"/>
      <c r="IMR76" s="41"/>
      <c r="IMS76" s="41"/>
      <c r="IMT76" s="41"/>
      <c r="IMU76" s="41"/>
      <c r="IOQ76" s="39"/>
      <c r="IOT76" s="41"/>
      <c r="IOU76" s="41"/>
      <c r="IOV76" s="41"/>
      <c r="IOW76" s="41"/>
      <c r="IOX76" s="41"/>
      <c r="IQT76" s="39"/>
      <c r="IQW76" s="41"/>
      <c r="IQX76" s="41"/>
      <c r="IQY76" s="41"/>
      <c r="IQZ76" s="41"/>
      <c r="IRA76" s="41"/>
      <c r="ISW76" s="39"/>
      <c r="ISZ76" s="41"/>
      <c r="ITA76" s="41"/>
      <c r="ITB76" s="41"/>
      <c r="ITC76" s="41"/>
      <c r="ITD76" s="41"/>
      <c r="IUZ76" s="39"/>
      <c r="IVC76" s="41"/>
      <c r="IVD76" s="41"/>
      <c r="IVE76" s="41"/>
      <c r="IVF76" s="41"/>
      <c r="IVG76" s="41"/>
      <c r="IXC76" s="39"/>
      <c r="IXF76" s="41"/>
      <c r="IXG76" s="41"/>
      <c r="IXH76" s="41"/>
      <c r="IXI76" s="41"/>
      <c r="IXJ76" s="41"/>
      <c r="IZF76" s="39"/>
      <c r="IZI76" s="41"/>
      <c r="IZJ76" s="41"/>
      <c r="IZK76" s="41"/>
      <c r="IZL76" s="41"/>
      <c r="IZM76" s="41"/>
      <c r="JBI76" s="39"/>
      <c r="JBL76" s="41"/>
      <c r="JBM76" s="41"/>
      <c r="JBN76" s="41"/>
      <c r="JBO76" s="41"/>
      <c r="JBP76" s="41"/>
      <c r="JDL76" s="39"/>
      <c r="JDO76" s="41"/>
      <c r="JDP76" s="41"/>
      <c r="JDQ76" s="41"/>
      <c r="JDR76" s="41"/>
      <c r="JDS76" s="41"/>
      <c r="JFO76" s="39"/>
      <c r="JFR76" s="41"/>
      <c r="JFS76" s="41"/>
      <c r="JFT76" s="41"/>
      <c r="JFU76" s="41"/>
      <c r="JFV76" s="41"/>
      <c r="JHR76" s="39"/>
      <c r="JHU76" s="41"/>
      <c r="JHV76" s="41"/>
      <c r="JHW76" s="41"/>
      <c r="JHX76" s="41"/>
      <c r="JHY76" s="41"/>
      <c r="JJU76" s="39"/>
      <c r="JJX76" s="41"/>
      <c r="JJY76" s="41"/>
      <c r="JJZ76" s="41"/>
      <c r="JKA76" s="41"/>
      <c r="JKB76" s="41"/>
      <c r="JLX76" s="39"/>
      <c r="JMA76" s="41"/>
      <c r="JMB76" s="41"/>
      <c r="JMC76" s="41"/>
      <c r="JMD76" s="41"/>
      <c r="JME76" s="41"/>
      <c r="JOA76" s="39"/>
      <c r="JOD76" s="41"/>
      <c r="JOE76" s="41"/>
      <c r="JOF76" s="41"/>
      <c r="JOG76" s="41"/>
      <c r="JOH76" s="41"/>
      <c r="JQD76" s="39"/>
      <c r="JQG76" s="41"/>
      <c r="JQH76" s="41"/>
      <c r="JQI76" s="41"/>
      <c r="JQJ76" s="41"/>
      <c r="JQK76" s="41"/>
      <c r="JSG76" s="39"/>
      <c r="JSJ76" s="41"/>
      <c r="JSK76" s="41"/>
      <c r="JSL76" s="41"/>
      <c r="JSM76" s="41"/>
      <c r="JSN76" s="41"/>
      <c r="JUJ76" s="39"/>
      <c r="JUM76" s="41"/>
      <c r="JUN76" s="41"/>
      <c r="JUO76" s="41"/>
      <c r="JUP76" s="41"/>
      <c r="JUQ76" s="41"/>
      <c r="JWM76" s="39"/>
      <c r="JWP76" s="41"/>
      <c r="JWQ76" s="41"/>
      <c r="JWR76" s="41"/>
      <c r="JWS76" s="41"/>
      <c r="JWT76" s="41"/>
      <c r="JYP76" s="39"/>
      <c r="JYS76" s="41"/>
      <c r="JYT76" s="41"/>
      <c r="JYU76" s="41"/>
      <c r="JYV76" s="41"/>
      <c r="JYW76" s="41"/>
      <c r="KAS76" s="39"/>
      <c r="KAV76" s="41"/>
      <c r="KAW76" s="41"/>
      <c r="KAX76" s="41"/>
      <c r="KAY76" s="41"/>
      <c r="KAZ76" s="41"/>
      <c r="KCV76" s="39"/>
      <c r="KCY76" s="41"/>
      <c r="KCZ76" s="41"/>
      <c r="KDA76" s="41"/>
      <c r="KDB76" s="41"/>
      <c r="KDC76" s="41"/>
      <c r="KEY76" s="39"/>
      <c r="KFB76" s="41"/>
      <c r="KFC76" s="41"/>
      <c r="KFD76" s="41"/>
      <c r="KFE76" s="41"/>
      <c r="KFF76" s="41"/>
      <c r="KHB76" s="39"/>
      <c r="KHE76" s="41"/>
      <c r="KHF76" s="41"/>
      <c r="KHG76" s="41"/>
      <c r="KHH76" s="41"/>
      <c r="KHI76" s="41"/>
      <c r="KJE76" s="39"/>
      <c r="KJH76" s="41"/>
      <c r="KJI76" s="41"/>
      <c r="KJJ76" s="41"/>
      <c r="KJK76" s="41"/>
      <c r="KJL76" s="41"/>
      <c r="KLH76" s="39"/>
      <c r="KLK76" s="41"/>
      <c r="KLL76" s="41"/>
      <c r="KLM76" s="41"/>
      <c r="KLN76" s="41"/>
      <c r="KLO76" s="41"/>
      <c r="KNK76" s="39"/>
      <c r="KNN76" s="41"/>
      <c r="KNO76" s="41"/>
      <c r="KNP76" s="41"/>
      <c r="KNQ76" s="41"/>
      <c r="KNR76" s="41"/>
      <c r="KPN76" s="39"/>
      <c r="KPQ76" s="41"/>
      <c r="KPR76" s="41"/>
      <c r="KPS76" s="41"/>
      <c r="KPT76" s="41"/>
      <c r="KPU76" s="41"/>
      <c r="KRQ76" s="39"/>
      <c r="KRT76" s="41"/>
      <c r="KRU76" s="41"/>
      <c r="KRV76" s="41"/>
      <c r="KRW76" s="41"/>
      <c r="KRX76" s="41"/>
      <c r="KTT76" s="39"/>
      <c r="KTW76" s="41"/>
      <c r="KTX76" s="41"/>
      <c r="KTY76" s="41"/>
      <c r="KTZ76" s="41"/>
      <c r="KUA76" s="41"/>
      <c r="KVW76" s="39"/>
      <c r="KVZ76" s="41"/>
      <c r="KWA76" s="41"/>
      <c r="KWB76" s="41"/>
      <c r="KWC76" s="41"/>
      <c r="KWD76" s="41"/>
      <c r="KXZ76" s="39"/>
      <c r="KYC76" s="41"/>
      <c r="KYD76" s="41"/>
      <c r="KYE76" s="41"/>
      <c r="KYF76" s="41"/>
      <c r="KYG76" s="41"/>
      <c r="LAC76" s="39"/>
      <c r="LAF76" s="41"/>
      <c r="LAG76" s="41"/>
      <c r="LAH76" s="41"/>
      <c r="LAI76" s="41"/>
      <c r="LAJ76" s="41"/>
      <c r="LCF76" s="39"/>
      <c r="LCI76" s="41"/>
      <c r="LCJ76" s="41"/>
      <c r="LCK76" s="41"/>
      <c r="LCL76" s="41"/>
      <c r="LCM76" s="41"/>
      <c r="LEI76" s="39"/>
      <c r="LEL76" s="41"/>
      <c r="LEM76" s="41"/>
      <c r="LEN76" s="41"/>
      <c r="LEO76" s="41"/>
      <c r="LEP76" s="41"/>
      <c r="LGL76" s="39"/>
      <c r="LGO76" s="41"/>
      <c r="LGP76" s="41"/>
      <c r="LGQ76" s="41"/>
      <c r="LGR76" s="41"/>
      <c r="LGS76" s="41"/>
      <c r="LIO76" s="39"/>
      <c r="LIR76" s="41"/>
      <c r="LIS76" s="41"/>
      <c r="LIT76" s="41"/>
      <c r="LIU76" s="41"/>
      <c r="LIV76" s="41"/>
      <c r="LKR76" s="39"/>
      <c r="LKU76" s="41"/>
      <c r="LKV76" s="41"/>
      <c r="LKW76" s="41"/>
      <c r="LKX76" s="41"/>
      <c r="LKY76" s="41"/>
      <c r="LMU76" s="39"/>
      <c r="LMX76" s="41"/>
      <c r="LMY76" s="41"/>
      <c r="LMZ76" s="41"/>
      <c r="LNA76" s="41"/>
      <c r="LNB76" s="41"/>
      <c r="LOX76" s="39"/>
      <c r="LPA76" s="41"/>
      <c r="LPB76" s="41"/>
      <c r="LPC76" s="41"/>
      <c r="LPD76" s="41"/>
      <c r="LPE76" s="41"/>
      <c r="LRA76" s="39"/>
      <c r="LRD76" s="41"/>
      <c r="LRE76" s="41"/>
      <c r="LRF76" s="41"/>
      <c r="LRG76" s="41"/>
      <c r="LRH76" s="41"/>
      <c r="LTD76" s="39"/>
      <c r="LTG76" s="41"/>
      <c r="LTH76" s="41"/>
      <c r="LTI76" s="41"/>
      <c r="LTJ76" s="41"/>
      <c r="LTK76" s="41"/>
      <c r="LVG76" s="39"/>
      <c r="LVJ76" s="41"/>
      <c r="LVK76" s="41"/>
      <c r="LVL76" s="41"/>
      <c r="LVM76" s="41"/>
      <c r="LVN76" s="41"/>
      <c r="LXJ76" s="39"/>
      <c r="LXM76" s="41"/>
      <c r="LXN76" s="41"/>
      <c r="LXO76" s="41"/>
      <c r="LXP76" s="41"/>
      <c r="LXQ76" s="41"/>
      <c r="LZM76" s="39"/>
      <c r="LZP76" s="41"/>
      <c r="LZQ76" s="41"/>
      <c r="LZR76" s="41"/>
      <c r="LZS76" s="41"/>
      <c r="LZT76" s="41"/>
      <c r="MBP76" s="39"/>
      <c r="MBS76" s="41"/>
      <c r="MBT76" s="41"/>
      <c r="MBU76" s="41"/>
      <c r="MBV76" s="41"/>
      <c r="MBW76" s="41"/>
      <c r="MDS76" s="39"/>
      <c r="MDV76" s="41"/>
      <c r="MDW76" s="41"/>
      <c r="MDX76" s="41"/>
      <c r="MDY76" s="41"/>
      <c r="MDZ76" s="41"/>
      <c r="MFV76" s="39"/>
      <c r="MFY76" s="41"/>
      <c r="MFZ76" s="41"/>
      <c r="MGA76" s="41"/>
      <c r="MGB76" s="41"/>
      <c r="MGC76" s="41"/>
      <c r="MHY76" s="39"/>
      <c r="MIB76" s="41"/>
      <c r="MIC76" s="41"/>
      <c r="MID76" s="41"/>
      <c r="MIE76" s="41"/>
      <c r="MIF76" s="41"/>
      <c r="MKB76" s="39"/>
      <c r="MKE76" s="41"/>
      <c r="MKF76" s="41"/>
      <c r="MKG76" s="41"/>
      <c r="MKH76" s="41"/>
      <c r="MKI76" s="41"/>
      <c r="MME76" s="39"/>
      <c r="MMH76" s="41"/>
      <c r="MMI76" s="41"/>
      <c r="MMJ76" s="41"/>
      <c r="MMK76" s="41"/>
      <c r="MML76" s="41"/>
      <c r="MOH76" s="39"/>
      <c r="MOK76" s="41"/>
      <c r="MOL76" s="41"/>
      <c r="MOM76" s="41"/>
      <c r="MON76" s="41"/>
      <c r="MOO76" s="41"/>
      <c r="MQK76" s="39"/>
      <c r="MQN76" s="41"/>
      <c r="MQO76" s="41"/>
      <c r="MQP76" s="41"/>
      <c r="MQQ76" s="41"/>
      <c r="MQR76" s="41"/>
      <c r="MSN76" s="39"/>
      <c r="MSQ76" s="41"/>
      <c r="MSR76" s="41"/>
      <c r="MSS76" s="41"/>
      <c r="MST76" s="41"/>
      <c r="MSU76" s="41"/>
      <c r="MUQ76" s="39"/>
      <c r="MUT76" s="41"/>
      <c r="MUU76" s="41"/>
      <c r="MUV76" s="41"/>
      <c r="MUW76" s="41"/>
      <c r="MUX76" s="41"/>
      <c r="MWT76" s="39"/>
      <c r="MWW76" s="41"/>
      <c r="MWX76" s="41"/>
      <c r="MWY76" s="41"/>
      <c r="MWZ76" s="41"/>
      <c r="MXA76" s="41"/>
      <c r="MYW76" s="39"/>
      <c r="MYZ76" s="41"/>
      <c r="MZA76" s="41"/>
      <c r="MZB76" s="41"/>
      <c r="MZC76" s="41"/>
      <c r="MZD76" s="41"/>
      <c r="NAZ76" s="39"/>
      <c r="NBC76" s="41"/>
      <c r="NBD76" s="41"/>
      <c r="NBE76" s="41"/>
      <c r="NBF76" s="41"/>
      <c r="NBG76" s="41"/>
      <c r="NDC76" s="39"/>
      <c r="NDF76" s="41"/>
      <c r="NDG76" s="41"/>
      <c r="NDH76" s="41"/>
      <c r="NDI76" s="41"/>
      <c r="NDJ76" s="41"/>
      <c r="NFF76" s="39"/>
      <c r="NFI76" s="41"/>
      <c r="NFJ76" s="41"/>
      <c r="NFK76" s="41"/>
      <c r="NFL76" s="41"/>
      <c r="NFM76" s="41"/>
      <c r="NHI76" s="39"/>
      <c r="NHL76" s="41"/>
      <c r="NHM76" s="41"/>
      <c r="NHN76" s="41"/>
      <c r="NHO76" s="41"/>
      <c r="NHP76" s="41"/>
      <c r="NJL76" s="39"/>
      <c r="NJO76" s="41"/>
      <c r="NJP76" s="41"/>
      <c r="NJQ76" s="41"/>
      <c r="NJR76" s="41"/>
      <c r="NJS76" s="41"/>
      <c r="NLO76" s="39"/>
      <c r="NLR76" s="41"/>
      <c r="NLS76" s="41"/>
      <c r="NLT76" s="41"/>
      <c r="NLU76" s="41"/>
      <c r="NLV76" s="41"/>
      <c r="NNR76" s="39"/>
      <c r="NNU76" s="41"/>
      <c r="NNV76" s="41"/>
      <c r="NNW76" s="41"/>
      <c r="NNX76" s="41"/>
      <c r="NNY76" s="41"/>
      <c r="NPU76" s="39"/>
      <c r="NPX76" s="41"/>
      <c r="NPY76" s="41"/>
      <c r="NPZ76" s="41"/>
      <c r="NQA76" s="41"/>
      <c r="NQB76" s="41"/>
      <c r="NRX76" s="39"/>
      <c r="NSA76" s="41"/>
      <c r="NSB76" s="41"/>
      <c r="NSC76" s="41"/>
      <c r="NSD76" s="41"/>
      <c r="NSE76" s="41"/>
      <c r="NUA76" s="39"/>
      <c r="NUD76" s="41"/>
      <c r="NUE76" s="41"/>
      <c r="NUF76" s="41"/>
      <c r="NUG76" s="41"/>
      <c r="NUH76" s="41"/>
      <c r="NWD76" s="39"/>
      <c r="NWG76" s="41"/>
      <c r="NWH76" s="41"/>
      <c r="NWI76" s="41"/>
      <c r="NWJ76" s="41"/>
      <c r="NWK76" s="41"/>
      <c r="NYG76" s="39"/>
      <c r="NYJ76" s="41"/>
      <c r="NYK76" s="41"/>
      <c r="NYL76" s="41"/>
      <c r="NYM76" s="41"/>
      <c r="NYN76" s="41"/>
      <c r="OAJ76" s="39"/>
      <c r="OAM76" s="41"/>
      <c r="OAN76" s="41"/>
      <c r="OAO76" s="41"/>
      <c r="OAP76" s="41"/>
      <c r="OAQ76" s="41"/>
      <c r="OCM76" s="39"/>
      <c r="OCP76" s="41"/>
      <c r="OCQ76" s="41"/>
      <c r="OCR76" s="41"/>
      <c r="OCS76" s="41"/>
      <c r="OCT76" s="41"/>
      <c r="OEP76" s="39"/>
      <c r="OES76" s="41"/>
      <c r="OET76" s="41"/>
      <c r="OEU76" s="41"/>
      <c r="OEV76" s="41"/>
      <c r="OEW76" s="41"/>
      <c r="OGS76" s="39"/>
      <c r="OGV76" s="41"/>
      <c r="OGW76" s="41"/>
      <c r="OGX76" s="41"/>
      <c r="OGY76" s="41"/>
      <c r="OGZ76" s="41"/>
      <c r="OIV76" s="39"/>
      <c r="OIY76" s="41"/>
      <c r="OIZ76" s="41"/>
      <c r="OJA76" s="41"/>
      <c r="OJB76" s="41"/>
      <c r="OJC76" s="41"/>
      <c r="OKY76" s="39"/>
      <c r="OLB76" s="41"/>
      <c r="OLC76" s="41"/>
      <c r="OLD76" s="41"/>
      <c r="OLE76" s="41"/>
      <c r="OLF76" s="41"/>
      <c r="ONB76" s="39"/>
      <c r="ONE76" s="41"/>
      <c r="ONF76" s="41"/>
      <c r="ONG76" s="41"/>
      <c r="ONH76" s="41"/>
      <c r="ONI76" s="41"/>
      <c r="OPE76" s="39"/>
      <c r="OPH76" s="41"/>
      <c r="OPI76" s="41"/>
      <c r="OPJ76" s="41"/>
      <c r="OPK76" s="41"/>
      <c r="OPL76" s="41"/>
      <c r="ORH76" s="39"/>
      <c r="ORK76" s="41"/>
      <c r="ORL76" s="41"/>
      <c r="ORM76" s="41"/>
      <c r="ORN76" s="41"/>
      <c r="ORO76" s="41"/>
      <c r="OTK76" s="39"/>
      <c r="OTN76" s="41"/>
      <c r="OTO76" s="41"/>
      <c r="OTP76" s="41"/>
      <c r="OTQ76" s="41"/>
      <c r="OTR76" s="41"/>
      <c r="OVN76" s="39"/>
      <c r="OVQ76" s="41"/>
      <c r="OVR76" s="41"/>
      <c r="OVS76" s="41"/>
      <c r="OVT76" s="41"/>
      <c r="OVU76" s="41"/>
      <c r="OXQ76" s="39"/>
      <c r="OXT76" s="41"/>
      <c r="OXU76" s="41"/>
      <c r="OXV76" s="41"/>
      <c r="OXW76" s="41"/>
      <c r="OXX76" s="41"/>
      <c r="OZT76" s="39"/>
      <c r="OZW76" s="41"/>
      <c r="OZX76" s="41"/>
      <c r="OZY76" s="41"/>
      <c r="OZZ76" s="41"/>
      <c r="PAA76" s="41"/>
      <c r="PBW76" s="39"/>
      <c r="PBZ76" s="41"/>
      <c r="PCA76" s="41"/>
      <c r="PCB76" s="41"/>
      <c r="PCC76" s="41"/>
      <c r="PCD76" s="41"/>
      <c r="PDZ76" s="39"/>
      <c r="PEC76" s="41"/>
      <c r="PED76" s="41"/>
      <c r="PEE76" s="41"/>
      <c r="PEF76" s="41"/>
      <c r="PEG76" s="41"/>
      <c r="PGC76" s="39"/>
      <c r="PGF76" s="41"/>
      <c r="PGG76" s="41"/>
      <c r="PGH76" s="41"/>
      <c r="PGI76" s="41"/>
      <c r="PGJ76" s="41"/>
      <c r="PIF76" s="39"/>
      <c r="PII76" s="41"/>
      <c r="PIJ76" s="41"/>
      <c r="PIK76" s="41"/>
      <c r="PIL76" s="41"/>
      <c r="PIM76" s="41"/>
      <c r="PKI76" s="39"/>
      <c r="PKL76" s="41"/>
      <c r="PKM76" s="41"/>
      <c r="PKN76" s="41"/>
      <c r="PKO76" s="41"/>
      <c r="PKP76" s="41"/>
      <c r="PML76" s="39"/>
      <c r="PMO76" s="41"/>
      <c r="PMP76" s="41"/>
      <c r="PMQ76" s="41"/>
      <c r="PMR76" s="41"/>
      <c r="PMS76" s="41"/>
      <c r="POO76" s="39"/>
      <c r="POR76" s="41"/>
      <c r="POS76" s="41"/>
      <c r="POT76" s="41"/>
      <c r="POU76" s="41"/>
      <c r="POV76" s="41"/>
      <c r="PQR76" s="39"/>
      <c r="PQU76" s="41"/>
      <c r="PQV76" s="41"/>
      <c r="PQW76" s="41"/>
      <c r="PQX76" s="41"/>
      <c r="PQY76" s="41"/>
      <c r="PSU76" s="39"/>
      <c r="PSX76" s="41"/>
      <c r="PSY76" s="41"/>
      <c r="PSZ76" s="41"/>
      <c r="PTA76" s="41"/>
      <c r="PTB76" s="41"/>
      <c r="PUX76" s="39"/>
      <c r="PVA76" s="41"/>
      <c r="PVB76" s="41"/>
      <c r="PVC76" s="41"/>
      <c r="PVD76" s="41"/>
      <c r="PVE76" s="41"/>
      <c r="PXA76" s="39"/>
      <c r="PXD76" s="41"/>
      <c r="PXE76" s="41"/>
      <c r="PXF76" s="41"/>
      <c r="PXG76" s="41"/>
      <c r="PXH76" s="41"/>
      <c r="PZD76" s="39"/>
      <c r="PZG76" s="41"/>
      <c r="PZH76" s="41"/>
      <c r="PZI76" s="41"/>
      <c r="PZJ76" s="41"/>
      <c r="PZK76" s="41"/>
      <c r="QBG76" s="39"/>
      <c r="QBJ76" s="41"/>
      <c r="QBK76" s="41"/>
      <c r="QBL76" s="41"/>
      <c r="QBM76" s="41"/>
      <c r="QBN76" s="41"/>
      <c r="QDJ76" s="39"/>
      <c r="QDM76" s="41"/>
      <c r="QDN76" s="41"/>
      <c r="QDO76" s="41"/>
      <c r="QDP76" s="41"/>
      <c r="QDQ76" s="41"/>
      <c r="QFM76" s="39"/>
      <c r="QFP76" s="41"/>
      <c r="QFQ76" s="41"/>
      <c r="QFR76" s="41"/>
      <c r="QFS76" s="41"/>
      <c r="QFT76" s="41"/>
      <c r="QHP76" s="39"/>
      <c r="QHS76" s="41"/>
      <c r="QHT76" s="41"/>
      <c r="QHU76" s="41"/>
      <c r="QHV76" s="41"/>
      <c r="QHW76" s="41"/>
      <c r="QJS76" s="39"/>
      <c r="QJV76" s="41"/>
      <c r="QJW76" s="41"/>
      <c r="QJX76" s="41"/>
      <c r="QJY76" s="41"/>
      <c r="QJZ76" s="41"/>
      <c r="QLV76" s="39"/>
      <c r="QLY76" s="41"/>
      <c r="QLZ76" s="41"/>
      <c r="QMA76" s="41"/>
      <c r="QMB76" s="41"/>
      <c r="QMC76" s="41"/>
      <c r="QNY76" s="39"/>
      <c r="QOB76" s="41"/>
      <c r="QOC76" s="41"/>
      <c r="QOD76" s="41"/>
      <c r="QOE76" s="41"/>
      <c r="QOF76" s="41"/>
      <c r="QQB76" s="39"/>
      <c r="QQE76" s="41"/>
      <c r="QQF76" s="41"/>
      <c r="QQG76" s="41"/>
      <c r="QQH76" s="41"/>
      <c r="QQI76" s="41"/>
      <c r="QSE76" s="39"/>
      <c r="QSH76" s="41"/>
      <c r="QSI76" s="41"/>
      <c r="QSJ76" s="41"/>
      <c r="QSK76" s="41"/>
      <c r="QSL76" s="41"/>
      <c r="QUH76" s="39"/>
      <c r="QUK76" s="41"/>
      <c r="QUL76" s="41"/>
      <c r="QUM76" s="41"/>
      <c r="QUN76" s="41"/>
      <c r="QUO76" s="41"/>
      <c r="QWK76" s="39"/>
      <c r="QWN76" s="41"/>
      <c r="QWO76" s="41"/>
      <c r="QWP76" s="41"/>
      <c r="QWQ76" s="41"/>
      <c r="QWR76" s="41"/>
      <c r="QYN76" s="39"/>
      <c r="QYQ76" s="41"/>
      <c r="QYR76" s="41"/>
      <c r="QYS76" s="41"/>
      <c r="QYT76" s="41"/>
      <c r="QYU76" s="41"/>
      <c r="RAQ76" s="39"/>
      <c r="RAT76" s="41"/>
      <c r="RAU76" s="41"/>
      <c r="RAV76" s="41"/>
      <c r="RAW76" s="41"/>
      <c r="RAX76" s="41"/>
      <c r="RCT76" s="39"/>
      <c r="RCW76" s="41"/>
      <c r="RCX76" s="41"/>
      <c r="RCY76" s="41"/>
      <c r="RCZ76" s="41"/>
      <c r="RDA76" s="41"/>
      <c r="REW76" s="39"/>
      <c r="REZ76" s="41"/>
      <c r="RFA76" s="41"/>
      <c r="RFB76" s="41"/>
      <c r="RFC76" s="41"/>
      <c r="RFD76" s="41"/>
      <c r="RGZ76" s="39"/>
      <c r="RHC76" s="41"/>
      <c r="RHD76" s="41"/>
      <c r="RHE76" s="41"/>
      <c r="RHF76" s="41"/>
      <c r="RHG76" s="41"/>
      <c r="RJC76" s="39"/>
      <c r="RJF76" s="41"/>
      <c r="RJG76" s="41"/>
      <c r="RJH76" s="41"/>
      <c r="RJI76" s="41"/>
      <c r="RJJ76" s="41"/>
      <c r="RLF76" s="39"/>
      <c r="RLI76" s="41"/>
      <c r="RLJ76" s="41"/>
      <c r="RLK76" s="41"/>
      <c r="RLL76" s="41"/>
      <c r="RLM76" s="41"/>
      <c r="RNI76" s="39"/>
      <c r="RNL76" s="41"/>
      <c r="RNM76" s="41"/>
      <c r="RNN76" s="41"/>
      <c r="RNO76" s="41"/>
      <c r="RNP76" s="41"/>
      <c r="RPL76" s="39"/>
      <c r="RPO76" s="41"/>
      <c r="RPP76" s="41"/>
      <c r="RPQ76" s="41"/>
      <c r="RPR76" s="41"/>
      <c r="RPS76" s="41"/>
      <c r="RRO76" s="39"/>
      <c r="RRR76" s="41"/>
      <c r="RRS76" s="41"/>
      <c r="RRT76" s="41"/>
      <c r="RRU76" s="41"/>
      <c r="RRV76" s="41"/>
      <c r="RTR76" s="39"/>
      <c r="RTU76" s="41"/>
      <c r="RTV76" s="41"/>
      <c r="RTW76" s="41"/>
      <c r="RTX76" s="41"/>
      <c r="RTY76" s="41"/>
      <c r="RVU76" s="39"/>
      <c r="RVX76" s="41"/>
      <c r="RVY76" s="41"/>
      <c r="RVZ76" s="41"/>
      <c r="RWA76" s="41"/>
      <c r="RWB76" s="41"/>
      <c r="RXX76" s="39"/>
      <c r="RYA76" s="41"/>
      <c r="RYB76" s="41"/>
      <c r="RYC76" s="41"/>
      <c r="RYD76" s="41"/>
      <c r="RYE76" s="41"/>
      <c r="SAA76" s="39"/>
      <c r="SAD76" s="41"/>
      <c r="SAE76" s="41"/>
      <c r="SAF76" s="41"/>
      <c r="SAG76" s="41"/>
      <c r="SAH76" s="41"/>
      <c r="SCD76" s="39"/>
      <c r="SCG76" s="41"/>
      <c r="SCH76" s="41"/>
      <c r="SCI76" s="41"/>
      <c r="SCJ76" s="41"/>
      <c r="SCK76" s="41"/>
      <c r="SEG76" s="39"/>
      <c r="SEJ76" s="41"/>
      <c r="SEK76" s="41"/>
      <c r="SEL76" s="41"/>
      <c r="SEM76" s="41"/>
      <c r="SEN76" s="41"/>
      <c r="SGJ76" s="39"/>
      <c r="SGM76" s="41"/>
      <c r="SGN76" s="41"/>
      <c r="SGO76" s="41"/>
      <c r="SGP76" s="41"/>
      <c r="SGQ76" s="41"/>
      <c r="SIM76" s="39"/>
      <c r="SIP76" s="41"/>
      <c r="SIQ76" s="41"/>
      <c r="SIR76" s="41"/>
      <c r="SIS76" s="41"/>
      <c r="SIT76" s="41"/>
      <c r="SKP76" s="39"/>
      <c r="SKS76" s="41"/>
      <c r="SKT76" s="41"/>
      <c r="SKU76" s="41"/>
      <c r="SKV76" s="41"/>
      <c r="SKW76" s="41"/>
      <c r="SMS76" s="39"/>
      <c r="SMV76" s="41"/>
      <c r="SMW76" s="41"/>
      <c r="SMX76" s="41"/>
      <c r="SMY76" s="41"/>
      <c r="SMZ76" s="41"/>
      <c r="SOV76" s="39"/>
      <c r="SOY76" s="41"/>
      <c r="SOZ76" s="41"/>
      <c r="SPA76" s="41"/>
      <c r="SPB76" s="41"/>
      <c r="SPC76" s="41"/>
      <c r="SQY76" s="39"/>
      <c r="SRB76" s="41"/>
      <c r="SRC76" s="41"/>
      <c r="SRD76" s="41"/>
      <c r="SRE76" s="41"/>
      <c r="SRF76" s="41"/>
      <c r="STB76" s="39"/>
      <c r="STE76" s="41"/>
      <c r="STF76" s="41"/>
      <c r="STG76" s="41"/>
      <c r="STH76" s="41"/>
      <c r="STI76" s="41"/>
      <c r="SVE76" s="39"/>
      <c r="SVH76" s="41"/>
      <c r="SVI76" s="41"/>
      <c r="SVJ76" s="41"/>
      <c r="SVK76" s="41"/>
      <c r="SVL76" s="41"/>
      <c r="SXH76" s="39"/>
      <c r="SXK76" s="41"/>
      <c r="SXL76" s="41"/>
      <c r="SXM76" s="41"/>
      <c r="SXN76" s="41"/>
      <c r="SXO76" s="41"/>
      <c r="SZK76" s="39"/>
      <c r="SZN76" s="41"/>
      <c r="SZO76" s="41"/>
      <c r="SZP76" s="41"/>
      <c r="SZQ76" s="41"/>
      <c r="SZR76" s="41"/>
      <c r="TBN76" s="39"/>
      <c r="TBQ76" s="41"/>
      <c r="TBR76" s="41"/>
      <c r="TBS76" s="41"/>
      <c r="TBT76" s="41"/>
      <c r="TBU76" s="41"/>
      <c r="TDQ76" s="39"/>
      <c r="TDT76" s="41"/>
      <c r="TDU76" s="41"/>
      <c r="TDV76" s="41"/>
      <c r="TDW76" s="41"/>
      <c r="TDX76" s="41"/>
      <c r="TFT76" s="39"/>
      <c r="TFW76" s="41"/>
      <c r="TFX76" s="41"/>
      <c r="TFY76" s="41"/>
      <c r="TFZ76" s="41"/>
      <c r="TGA76" s="41"/>
      <c r="THW76" s="39"/>
      <c r="THZ76" s="41"/>
      <c r="TIA76" s="41"/>
      <c r="TIB76" s="41"/>
      <c r="TIC76" s="41"/>
      <c r="TID76" s="41"/>
      <c r="TJZ76" s="39"/>
      <c r="TKC76" s="41"/>
      <c r="TKD76" s="41"/>
      <c r="TKE76" s="41"/>
      <c r="TKF76" s="41"/>
      <c r="TKG76" s="41"/>
      <c r="TMC76" s="39"/>
      <c r="TMF76" s="41"/>
      <c r="TMG76" s="41"/>
      <c r="TMH76" s="41"/>
      <c r="TMI76" s="41"/>
      <c r="TMJ76" s="41"/>
      <c r="TOF76" s="39"/>
      <c r="TOI76" s="41"/>
      <c r="TOJ76" s="41"/>
      <c r="TOK76" s="41"/>
      <c r="TOL76" s="41"/>
      <c r="TOM76" s="41"/>
      <c r="TQI76" s="39"/>
      <c r="TQL76" s="41"/>
      <c r="TQM76" s="41"/>
      <c r="TQN76" s="41"/>
      <c r="TQO76" s="41"/>
      <c r="TQP76" s="41"/>
      <c r="TSL76" s="39"/>
      <c r="TSO76" s="41"/>
      <c r="TSP76" s="41"/>
      <c r="TSQ76" s="41"/>
      <c r="TSR76" s="41"/>
      <c r="TSS76" s="41"/>
      <c r="TUO76" s="39"/>
      <c r="TUR76" s="41"/>
      <c r="TUS76" s="41"/>
      <c r="TUT76" s="41"/>
      <c r="TUU76" s="41"/>
      <c r="TUV76" s="41"/>
      <c r="TWR76" s="39"/>
      <c r="TWU76" s="41"/>
      <c r="TWV76" s="41"/>
      <c r="TWW76" s="41"/>
      <c r="TWX76" s="41"/>
      <c r="TWY76" s="41"/>
      <c r="TYU76" s="39"/>
      <c r="TYX76" s="41"/>
      <c r="TYY76" s="41"/>
      <c r="TYZ76" s="41"/>
      <c r="TZA76" s="41"/>
      <c r="TZB76" s="41"/>
      <c r="UAX76" s="39"/>
      <c r="UBA76" s="41"/>
      <c r="UBB76" s="41"/>
      <c r="UBC76" s="41"/>
      <c r="UBD76" s="41"/>
      <c r="UBE76" s="41"/>
      <c r="UDA76" s="39"/>
      <c r="UDD76" s="41"/>
      <c r="UDE76" s="41"/>
      <c r="UDF76" s="41"/>
      <c r="UDG76" s="41"/>
      <c r="UDH76" s="41"/>
      <c r="UFD76" s="39"/>
      <c r="UFG76" s="41"/>
      <c r="UFH76" s="41"/>
      <c r="UFI76" s="41"/>
      <c r="UFJ76" s="41"/>
      <c r="UFK76" s="41"/>
      <c r="UHG76" s="39"/>
      <c r="UHJ76" s="41"/>
      <c r="UHK76" s="41"/>
      <c r="UHL76" s="41"/>
      <c r="UHM76" s="41"/>
      <c r="UHN76" s="41"/>
      <c r="UJJ76" s="39"/>
      <c r="UJM76" s="41"/>
      <c r="UJN76" s="41"/>
      <c r="UJO76" s="41"/>
      <c r="UJP76" s="41"/>
      <c r="UJQ76" s="41"/>
      <c r="ULM76" s="39"/>
      <c r="ULP76" s="41"/>
      <c r="ULQ76" s="41"/>
      <c r="ULR76" s="41"/>
      <c r="ULS76" s="41"/>
      <c r="ULT76" s="41"/>
      <c r="UNP76" s="39"/>
      <c r="UNS76" s="41"/>
      <c r="UNT76" s="41"/>
      <c r="UNU76" s="41"/>
      <c r="UNV76" s="41"/>
      <c r="UNW76" s="41"/>
      <c r="UPS76" s="39"/>
      <c r="UPV76" s="41"/>
      <c r="UPW76" s="41"/>
      <c r="UPX76" s="41"/>
      <c r="UPY76" s="41"/>
      <c r="UPZ76" s="41"/>
      <c r="URV76" s="39"/>
      <c r="URY76" s="41"/>
      <c r="URZ76" s="41"/>
      <c r="USA76" s="41"/>
      <c r="USB76" s="41"/>
      <c r="USC76" s="41"/>
      <c r="UTY76" s="39"/>
      <c r="UUB76" s="41"/>
      <c r="UUC76" s="41"/>
      <c r="UUD76" s="41"/>
      <c r="UUE76" s="41"/>
      <c r="UUF76" s="41"/>
      <c r="UWB76" s="39"/>
      <c r="UWE76" s="41"/>
      <c r="UWF76" s="41"/>
      <c r="UWG76" s="41"/>
      <c r="UWH76" s="41"/>
      <c r="UWI76" s="41"/>
      <c r="UYE76" s="39"/>
      <c r="UYH76" s="41"/>
      <c r="UYI76" s="41"/>
      <c r="UYJ76" s="41"/>
      <c r="UYK76" s="41"/>
      <c r="UYL76" s="41"/>
      <c r="VAH76" s="39"/>
      <c r="VAK76" s="41"/>
      <c r="VAL76" s="41"/>
      <c r="VAM76" s="41"/>
      <c r="VAN76" s="41"/>
      <c r="VAO76" s="41"/>
      <c r="VCK76" s="39"/>
      <c r="VCN76" s="41"/>
      <c r="VCO76" s="41"/>
      <c r="VCP76" s="41"/>
      <c r="VCQ76" s="41"/>
      <c r="VCR76" s="41"/>
      <c r="VEN76" s="39"/>
      <c r="VEQ76" s="41"/>
      <c r="VER76" s="41"/>
      <c r="VES76" s="41"/>
      <c r="VET76" s="41"/>
      <c r="VEU76" s="41"/>
      <c r="VGQ76" s="39"/>
      <c r="VGT76" s="41"/>
      <c r="VGU76" s="41"/>
      <c r="VGV76" s="41"/>
      <c r="VGW76" s="41"/>
      <c r="VGX76" s="41"/>
      <c r="VIT76" s="39"/>
      <c r="VIW76" s="41"/>
      <c r="VIX76" s="41"/>
      <c r="VIY76" s="41"/>
      <c r="VIZ76" s="41"/>
      <c r="VJA76" s="41"/>
      <c r="VKW76" s="39"/>
      <c r="VKZ76" s="41"/>
      <c r="VLA76" s="41"/>
      <c r="VLB76" s="41"/>
      <c r="VLC76" s="41"/>
      <c r="VLD76" s="41"/>
      <c r="VMZ76" s="39"/>
      <c r="VNC76" s="41"/>
      <c r="VND76" s="41"/>
      <c r="VNE76" s="41"/>
      <c r="VNF76" s="41"/>
      <c r="VNG76" s="41"/>
      <c r="VPC76" s="39"/>
      <c r="VPF76" s="41"/>
      <c r="VPG76" s="41"/>
      <c r="VPH76" s="41"/>
      <c r="VPI76" s="41"/>
      <c r="VPJ76" s="41"/>
      <c r="VRF76" s="39"/>
      <c r="VRI76" s="41"/>
      <c r="VRJ76" s="41"/>
      <c r="VRK76" s="41"/>
      <c r="VRL76" s="41"/>
      <c r="VRM76" s="41"/>
      <c r="VTI76" s="39"/>
      <c r="VTL76" s="41"/>
      <c r="VTM76" s="41"/>
      <c r="VTN76" s="41"/>
      <c r="VTO76" s="41"/>
      <c r="VTP76" s="41"/>
      <c r="VVL76" s="39"/>
      <c r="VVO76" s="41"/>
      <c r="VVP76" s="41"/>
      <c r="VVQ76" s="41"/>
      <c r="VVR76" s="41"/>
      <c r="VVS76" s="41"/>
      <c r="VXO76" s="39"/>
      <c r="VXR76" s="41"/>
      <c r="VXS76" s="41"/>
      <c r="VXT76" s="41"/>
      <c r="VXU76" s="41"/>
      <c r="VXV76" s="41"/>
      <c r="VZR76" s="39"/>
      <c r="VZU76" s="41"/>
      <c r="VZV76" s="41"/>
      <c r="VZW76" s="41"/>
      <c r="VZX76" s="41"/>
      <c r="VZY76" s="41"/>
      <c r="WBU76" s="39"/>
      <c r="WBX76" s="41"/>
      <c r="WBY76" s="41"/>
      <c r="WBZ76" s="41"/>
      <c r="WCA76" s="41"/>
      <c r="WCB76" s="41"/>
      <c r="WDX76" s="39"/>
      <c r="WEA76" s="41"/>
      <c r="WEB76" s="41"/>
      <c r="WEC76" s="41"/>
      <c r="WED76" s="41"/>
      <c r="WEE76" s="41"/>
      <c r="WGA76" s="39"/>
      <c r="WGD76" s="41"/>
      <c r="WGE76" s="41"/>
      <c r="WGF76" s="41"/>
      <c r="WGG76" s="41"/>
      <c r="WGH76" s="41"/>
      <c r="WID76" s="39"/>
      <c r="WIG76" s="41"/>
      <c r="WIH76" s="41"/>
      <c r="WII76" s="41"/>
      <c r="WIJ76" s="41"/>
      <c r="WIK76" s="41"/>
      <c r="WKG76" s="39"/>
      <c r="WKJ76" s="41"/>
      <c r="WKK76" s="41"/>
      <c r="WKL76" s="41"/>
      <c r="WKM76" s="41"/>
      <c r="WKN76" s="41"/>
      <c r="WMJ76" s="39"/>
      <c r="WMM76" s="41"/>
      <c r="WMN76" s="41"/>
      <c r="WMO76" s="41"/>
      <c r="WMP76" s="41"/>
      <c r="WMQ76" s="41"/>
      <c r="WOM76" s="39"/>
      <c r="WOP76" s="41"/>
      <c r="WOQ76" s="41"/>
      <c r="WOR76" s="41"/>
      <c r="WOS76" s="41"/>
      <c r="WOT76" s="41"/>
      <c r="WQP76" s="39"/>
      <c r="WQS76" s="41"/>
      <c r="WQT76" s="41"/>
      <c r="WQU76" s="41"/>
      <c r="WQV76" s="41"/>
      <c r="WQW76" s="41"/>
      <c r="WSS76" s="39"/>
      <c r="WSV76" s="41"/>
      <c r="WSW76" s="41"/>
      <c r="WSX76" s="41"/>
      <c r="WSY76" s="41"/>
      <c r="WSZ76" s="41"/>
      <c r="WUV76" s="39"/>
      <c r="WUY76" s="41"/>
      <c r="WUZ76" s="41"/>
      <c r="WVA76" s="41"/>
      <c r="WVB76" s="41"/>
      <c r="WVC76" s="41"/>
      <c r="WWY76" s="39"/>
      <c r="WXB76" s="41"/>
      <c r="WXC76" s="41"/>
      <c r="WXD76" s="41"/>
      <c r="WXE76" s="41"/>
      <c r="WXF76" s="41"/>
      <c r="WZB76" s="39"/>
      <c r="WZE76" s="41"/>
      <c r="WZF76" s="41"/>
      <c r="WZG76" s="41"/>
      <c r="WZH76" s="41"/>
      <c r="WZI76" s="41"/>
      <c r="XBE76" s="39"/>
      <c r="XBH76" s="41"/>
      <c r="XBI76" s="41"/>
      <c r="XBJ76" s="41"/>
      <c r="XBK76" s="41"/>
      <c r="XBL76" s="41"/>
      <c r="XDH76" s="39"/>
      <c r="XDK76" s="41"/>
      <c r="XDL76" s="41"/>
      <c r="XDM76" s="41"/>
      <c r="XDN76" s="41"/>
      <c r="XDO76" s="41"/>
    </row>
    <row r="78" spans="1:998 1046:2043 2091:3033 3081:4078 4126:6113 6161:7158 7206:8148 8196:9193 9241:10238 10286:11228 11276:12273 12321:13311 13314:14308 14356:15353 15401:16343" s="41" customFormat="1" ht="12.75" x14ac:dyDescent="0.25">
      <c r="A78" s="24" t="s">
        <v>1989</v>
      </c>
      <c r="B78" s="24" t="s">
        <v>1991</v>
      </c>
      <c r="C78" s="24" t="s">
        <v>1992</v>
      </c>
      <c r="D78" s="24" t="s">
        <v>1993</v>
      </c>
      <c r="E78" s="24" t="s">
        <v>1994</v>
      </c>
      <c r="F78" s="24" t="s">
        <v>1995</v>
      </c>
      <c r="G78" s="24" t="s">
        <v>1996</v>
      </c>
      <c r="H78" s="24" t="s">
        <v>1997</v>
      </c>
      <c r="I78" s="24" t="s">
        <v>1998</v>
      </c>
    </row>
    <row r="79" spans="1:998 1046:2043 2091:3033 3081:4078 4126:6113 6161:7158 7206:8148 8196:9193 9241:10238 10286:11228 11276:12273 12321:13311 13314:14308 14356:15353 15401:16343" x14ac:dyDescent="0.25">
      <c r="A79" s="23">
        <v>21</v>
      </c>
      <c r="B79" s="44" t="s">
        <v>1999</v>
      </c>
      <c r="C79" s="44" t="s">
        <v>1999</v>
      </c>
      <c r="D79" s="47" t="s">
        <v>2000</v>
      </c>
      <c r="E79" s="44" t="s">
        <v>1999</v>
      </c>
      <c r="F79" s="44" t="s">
        <v>1999</v>
      </c>
      <c r="G79" s="45"/>
      <c r="H79" s="45"/>
      <c r="I79" s="45"/>
      <c r="J79" s="43"/>
      <c r="K79" s="44" t="s">
        <v>1999</v>
      </c>
      <c r="L79" s="47" t="s">
        <v>2000</v>
      </c>
      <c r="M79" s="46" t="s">
        <v>2001</v>
      </c>
    </row>
    <row r="80" spans="1:998 1046:2043 2091:3033 3081:4078 4126:6113 6161:7158 7206:8148 8196:9193 9241:10238 10286:11228 11276:12273 12321:13311 13314:14308 14356:15353 15401:16343" x14ac:dyDescent="0.25">
      <c r="A80" s="45">
        <v>23</v>
      </c>
      <c r="B80" s="44" t="s">
        <v>1999</v>
      </c>
      <c r="C80" s="44" t="s">
        <v>1999</v>
      </c>
      <c r="D80" s="44" t="s">
        <v>1999</v>
      </c>
      <c r="E80" s="44" t="s">
        <v>1999</v>
      </c>
      <c r="F80" s="44" t="s">
        <v>1999</v>
      </c>
      <c r="G80" s="44" t="s">
        <v>1999</v>
      </c>
      <c r="H80" s="44" t="s">
        <v>1999</v>
      </c>
      <c r="I80" s="45"/>
      <c r="J80" s="43"/>
      <c r="K80" s="43"/>
    </row>
    <row r="81" spans="1:17" x14ac:dyDescent="0.25">
      <c r="A81" s="45">
        <v>25</v>
      </c>
      <c r="B81" s="44" t="s">
        <v>1999</v>
      </c>
      <c r="C81" s="48" t="s">
        <v>2000</v>
      </c>
      <c r="D81" s="49" t="s">
        <v>2001</v>
      </c>
      <c r="E81" s="44" t="s">
        <v>1999</v>
      </c>
      <c r="F81" s="44" t="s">
        <v>1999</v>
      </c>
      <c r="G81" s="48" t="s">
        <v>2000</v>
      </c>
      <c r="H81" s="44" t="s">
        <v>1999</v>
      </c>
      <c r="I81" s="44" t="s">
        <v>1999</v>
      </c>
      <c r="J81" s="43"/>
      <c r="K81" s="43"/>
    </row>
    <row r="82" spans="1:17" x14ac:dyDescent="0.25">
      <c r="A82" s="45">
        <v>28</v>
      </c>
      <c r="B82" s="50"/>
      <c r="C82" s="44" t="s">
        <v>1999</v>
      </c>
      <c r="D82" s="49" t="s">
        <v>2001</v>
      </c>
      <c r="E82" s="44" t="s">
        <v>1999</v>
      </c>
      <c r="F82" s="44" t="s">
        <v>1999</v>
      </c>
      <c r="G82" s="44" t="s">
        <v>1999</v>
      </c>
      <c r="H82" s="44" t="s">
        <v>1999</v>
      </c>
      <c r="I82" s="45"/>
      <c r="J82" s="43"/>
      <c r="K82" s="43"/>
    </row>
    <row r="83" spans="1:17" x14ac:dyDescent="0.25">
      <c r="A83" s="51" t="s">
        <v>2004</v>
      </c>
      <c r="B83" s="45"/>
      <c r="C83" s="45"/>
      <c r="D83" s="51" t="s">
        <v>2000</v>
      </c>
      <c r="E83" s="44" t="s">
        <v>1999</v>
      </c>
      <c r="F83" s="44" t="s">
        <v>1999</v>
      </c>
      <c r="G83" s="45"/>
      <c r="H83" s="44" t="s">
        <v>1999</v>
      </c>
      <c r="I83" s="45"/>
      <c r="J83" s="43"/>
      <c r="K83" s="43"/>
    </row>
    <row r="84" spans="1:17" x14ac:dyDescent="0.25">
      <c r="A84" s="45">
        <v>32</v>
      </c>
      <c r="B84" s="45"/>
      <c r="C84" s="45"/>
      <c r="D84" s="44" t="s">
        <v>1999</v>
      </c>
      <c r="E84" s="44" t="s">
        <v>1999</v>
      </c>
      <c r="F84" s="44" t="s">
        <v>1999</v>
      </c>
      <c r="G84" s="45"/>
      <c r="H84" s="44" t="s">
        <v>1999</v>
      </c>
      <c r="I84" s="48" t="s">
        <v>2000</v>
      </c>
      <c r="J84" s="43"/>
      <c r="K84" s="43"/>
    </row>
    <row r="85" spans="1:17" x14ac:dyDescent="0.25">
      <c r="A85" s="45">
        <v>34</v>
      </c>
      <c r="B85" s="45"/>
      <c r="C85" s="44" t="s">
        <v>1999</v>
      </c>
      <c r="D85" s="44" t="s">
        <v>1999</v>
      </c>
      <c r="E85" s="45"/>
      <c r="F85" s="45"/>
      <c r="G85" s="45"/>
      <c r="H85" s="45"/>
      <c r="I85" s="45"/>
      <c r="J85" s="43"/>
      <c r="K85" s="43"/>
    </row>
    <row r="86" spans="1:17" x14ac:dyDescent="0.25">
      <c r="A86" s="45">
        <v>38</v>
      </c>
      <c r="B86" s="45"/>
      <c r="C86" s="45"/>
      <c r="D86" s="44" t="s">
        <v>1999</v>
      </c>
      <c r="E86" s="45"/>
      <c r="F86" s="45"/>
      <c r="G86" s="45"/>
      <c r="H86" s="45"/>
      <c r="I86" s="45"/>
      <c r="J86" s="43"/>
      <c r="K86" s="43"/>
    </row>
    <row r="87" spans="1:17" x14ac:dyDescent="0.25">
      <c r="A87" s="45">
        <v>40</v>
      </c>
      <c r="B87" s="45"/>
      <c r="C87" s="45"/>
      <c r="D87" s="45"/>
      <c r="E87" s="44" t="s">
        <v>1999</v>
      </c>
      <c r="F87" s="45"/>
      <c r="G87" s="45"/>
      <c r="H87" s="45"/>
      <c r="I87" s="45"/>
      <c r="J87" s="43"/>
      <c r="K87" s="43"/>
    </row>
    <row r="88" spans="1:17" x14ac:dyDescent="0.2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</row>
    <row r="89" spans="1:17" x14ac:dyDescent="0.2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</row>
    <row r="90" spans="1:17" x14ac:dyDescent="0.2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</row>
  </sheetData>
  <sortState xmlns:xlrd2="http://schemas.microsoft.com/office/spreadsheetml/2017/richdata2" ref="A3:R76">
    <sortCondition ref="B3:B76"/>
  </sortState>
  <mergeCells count="1">
    <mergeCell ref="A1:D1"/>
  </mergeCells>
  <pageMargins left="0.25" right="0.25" top="0.75" bottom="0.75" header="0.3" footer="0.3"/>
  <pageSetup paperSize="3" scale="60" orientation="landscape" r:id="rId1"/>
  <colBreaks count="1" manualBreakCount="1">
    <brk id="18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3"/>
  <sheetViews>
    <sheetView zoomScaleNormal="100" zoomScaleSheetLayoutView="40" workbookViewId="0">
      <pane xSplit="1" topLeftCell="B1" activePane="topRight" state="frozen"/>
      <selection pane="topRight" activeCell="C11" sqref="C11"/>
    </sheetView>
  </sheetViews>
  <sheetFormatPr defaultRowHeight="15" x14ac:dyDescent="0.25"/>
  <cols>
    <col min="1" max="1" width="20.6640625" customWidth="1"/>
    <col min="2" max="4" width="16.109375" customWidth="1"/>
    <col min="5" max="7" width="9.109375" customWidth="1"/>
    <col min="8" max="8" width="11.88671875" customWidth="1"/>
  </cols>
  <sheetData>
    <row r="1" spans="1:55" ht="45" x14ac:dyDescent="0.25">
      <c r="A1" s="109" t="s">
        <v>2005</v>
      </c>
      <c r="B1" s="109"/>
      <c r="C1" s="109"/>
      <c r="D1" s="109"/>
      <c r="E1" s="109"/>
      <c r="F1" s="109"/>
      <c r="G1" s="109"/>
      <c r="H1" s="109"/>
      <c r="I1" s="29" t="s">
        <v>77</v>
      </c>
      <c r="J1" s="29" t="s">
        <v>78</v>
      </c>
      <c r="K1" s="29" t="s">
        <v>79</v>
      </c>
      <c r="L1" s="29" t="s">
        <v>80</v>
      </c>
      <c r="M1" s="29" t="s">
        <v>81</v>
      </c>
      <c r="N1" s="29" t="s">
        <v>82</v>
      </c>
      <c r="O1" s="29" t="s">
        <v>83</v>
      </c>
      <c r="P1" s="29" t="s">
        <v>84</v>
      </c>
      <c r="Q1" s="29" t="s">
        <v>85</v>
      </c>
      <c r="R1" s="29" t="s">
        <v>86</v>
      </c>
      <c r="S1" s="29" t="s">
        <v>87</v>
      </c>
      <c r="T1" s="29" t="s">
        <v>88</v>
      </c>
      <c r="U1" s="29" t="s">
        <v>89</v>
      </c>
      <c r="V1" s="29" t="s">
        <v>90</v>
      </c>
      <c r="W1" s="29" t="s">
        <v>91</v>
      </c>
      <c r="X1" s="29" t="s">
        <v>92</v>
      </c>
      <c r="Y1" s="29" t="s">
        <v>93</v>
      </c>
      <c r="Z1" s="29" t="s">
        <v>94</v>
      </c>
      <c r="AA1" s="29" t="s">
        <v>95</v>
      </c>
      <c r="AB1" s="29" t="s">
        <v>96</v>
      </c>
      <c r="AC1" s="29" t="s">
        <v>97</v>
      </c>
      <c r="AD1" s="29" t="s">
        <v>98</v>
      </c>
      <c r="AE1" s="29" t="s">
        <v>99</v>
      </c>
      <c r="AF1" s="29" t="s">
        <v>100</v>
      </c>
      <c r="AG1" s="29" t="s">
        <v>101</v>
      </c>
      <c r="AH1" s="29" t="s">
        <v>102</v>
      </c>
      <c r="AI1" s="29" t="s">
        <v>103</v>
      </c>
      <c r="AJ1" s="29" t="s">
        <v>104</v>
      </c>
      <c r="AK1" s="29" t="s">
        <v>105</v>
      </c>
      <c r="AL1" s="29" t="s">
        <v>106</v>
      </c>
      <c r="AM1" s="29" t="s">
        <v>107</v>
      </c>
      <c r="AN1" s="29" t="s">
        <v>108</v>
      </c>
      <c r="AO1" s="29" t="s">
        <v>109</v>
      </c>
      <c r="AP1" s="29" t="s">
        <v>110</v>
      </c>
      <c r="AQ1" s="29" t="s">
        <v>111</v>
      </c>
      <c r="AR1" s="29" t="s">
        <v>112</v>
      </c>
      <c r="AS1" s="29" t="s">
        <v>113</v>
      </c>
      <c r="AT1" s="29" t="s">
        <v>114</v>
      </c>
      <c r="AU1" s="29" t="s">
        <v>115</v>
      </c>
      <c r="AV1" s="29" t="s">
        <v>116</v>
      </c>
      <c r="AW1" s="29" t="s">
        <v>117</v>
      </c>
      <c r="AX1" s="29" t="s">
        <v>118</v>
      </c>
      <c r="AY1" s="29" t="s">
        <v>119</v>
      </c>
      <c r="AZ1" s="29" t="s">
        <v>120</v>
      </c>
      <c r="BA1" s="29" t="s">
        <v>121</v>
      </c>
      <c r="BB1" s="29" t="s">
        <v>122</v>
      </c>
      <c r="BC1" s="29" t="s">
        <v>123</v>
      </c>
    </row>
    <row r="2" spans="1:55" x14ac:dyDescent="0.25">
      <c r="A2" s="30" t="s">
        <v>76</v>
      </c>
      <c r="B2" s="30" t="s">
        <v>271</v>
      </c>
      <c r="C2" s="78" t="s">
        <v>2006</v>
      </c>
      <c r="D2" s="78" t="s">
        <v>2007</v>
      </c>
      <c r="E2" s="79" t="s">
        <v>2008</v>
      </c>
      <c r="F2" s="79" t="s">
        <v>2009</v>
      </c>
      <c r="G2" s="79" t="s">
        <v>2010</v>
      </c>
      <c r="H2" s="77" t="s">
        <v>2011</v>
      </c>
      <c r="I2" s="76" t="s">
        <v>274</v>
      </c>
      <c r="J2" s="75" t="s">
        <v>275</v>
      </c>
      <c r="K2" s="75" t="s">
        <v>276</v>
      </c>
      <c r="L2" s="75" t="s">
        <v>277</v>
      </c>
      <c r="M2" s="75" t="s">
        <v>278</v>
      </c>
      <c r="N2" s="75" t="s">
        <v>279</v>
      </c>
      <c r="O2" s="75" t="s">
        <v>280</v>
      </c>
      <c r="P2" s="75" t="s">
        <v>281</v>
      </c>
      <c r="Q2" s="75" t="s">
        <v>282</v>
      </c>
      <c r="R2" s="75" t="s">
        <v>283</v>
      </c>
      <c r="S2" s="75" t="s">
        <v>284</v>
      </c>
      <c r="T2" s="75" t="s">
        <v>285</v>
      </c>
      <c r="U2" s="75" t="s">
        <v>286</v>
      </c>
      <c r="V2" s="75" t="s">
        <v>287</v>
      </c>
      <c r="W2" s="75" t="s">
        <v>288</v>
      </c>
      <c r="X2" s="75" t="s">
        <v>289</v>
      </c>
      <c r="Y2" s="75" t="s">
        <v>290</v>
      </c>
      <c r="Z2" s="75" t="s">
        <v>291</v>
      </c>
      <c r="AA2" s="75" t="s">
        <v>292</v>
      </c>
      <c r="AB2" s="75" t="s">
        <v>293</v>
      </c>
      <c r="AC2" s="75" t="s">
        <v>294</v>
      </c>
      <c r="AD2" s="75" t="s">
        <v>295</v>
      </c>
      <c r="AE2" s="75" t="s">
        <v>296</v>
      </c>
      <c r="AF2" s="75" t="s">
        <v>297</v>
      </c>
      <c r="AG2" s="75" t="s">
        <v>298</v>
      </c>
      <c r="AH2" s="75" t="s">
        <v>299</v>
      </c>
      <c r="AI2" s="75" t="s">
        <v>300</v>
      </c>
      <c r="AJ2" s="75" t="s">
        <v>301</v>
      </c>
      <c r="AK2" s="75" t="s">
        <v>302</v>
      </c>
      <c r="AL2" s="75" t="s">
        <v>303</v>
      </c>
      <c r="AM2" s="75" t="s">
        <v>304</v>
      </c>
      <c r="AN2" s="75" t="s">
        <v>305</v>
      </c>
      <c r="AO2" s="75" t="s">
        <v>306</v>
      </c>
      <c r="AP2" s="75" t="s">
        <v>307</v>
      </c>
      <c r="AQ2" s="75" t="s">
        <v>308</v>
      </c>
      <c r="AR2" s="75" t="s">
        <v>309</v>
      </c>
      <c r="AS2" s="75" t="s">
        <v>310</v>
      </c>
      <c r="AT2" s="75" t="s">
        <v>311</v>
      </c>
      <c r="AU2" s="75" t="s">
        <v>312</v>
      </c>
      <c r="AV2" s="75" t="s">
        <v>313</v>
      </c>
      <c r="AW2" s="75" t="s">
        <v>314</v>
      </c>
      <c r="AX2" s="75" t="s">
        <v>315</v>
      </c>
      <c r="AY2" s="75" t="s">
        <v>316</v>
      </c>
      <c r="AZ2" s="75" t="s">
        <v>317</v>
      </c>
      <c r="BA2" s="75" t="s">
        <v>318</v>
      </c>
      <c r="BB2" s="75" t="s">
        <v>319</v>
      </c>
      <c r="BC2" s="75" t="s">
        <v>320</v>
      </c>
    </row>
    <row r="3" spans="1:55" x14ac:dyDescent="0.25">
      <c r="A3" s="22" t="s">
        <v>467</v>
      </c>
      <c r="B3" s="23">
        <v>35</v>
      </c>
      <c r="C3" s="23">
        <v>21</v>
      </c>
      <c r="D3" s="24">
        <v>22.333333333300001</v>
      </c>
      <c r="E3" s="24">
        <f>W3-X3</f>
        <v>28.265625</v>
      </c>
      <c r="F3" s="24">
        <f>E3/Y3</f>
        <v>0.32489224137931033</v>
      </c>
      <c r="G3" s="24">
        <f>12/Y3</f>
        <v>0.13793103448275862</v>
      </c>
      <c r="H3" s="24">
        <f>E3*G3</f>
        <v>3.8987068965517242</v>
      </c>
      <c r="I3" s="23" t="s">
        <v>469</v>
      </c>
      <c r="J3" s="23">
        <v>180</v>
      </c>
      <c r="K3" s="23">
        <f>C3*12</f>
        <v>252</v>
      </c>
      <c r="L3" s="23">
        <f>C3*12/2+7</f>
        <v>133</v>
      </c>
      <c r="M3" s="23">
        <f>L3-12</f>
        <v>121</v>
      </c>
      <c r="N3" s="23">
        <v>0</v>
      </c>
      <c r="O3" s="23">
        <v>0.75</v>
      </c>
      <c r="P3" s="23">
        <v>8</v>
      </c>
      <c r="Q3" s="23">
        <v>12</v>
      </c>
      <c r="R3" s="23">
        <f>360/Q3/2</f>
        <v>15</v>
      </c>
      <c r="S3" s="23">
        <f>Q3</f>
        <v>12</v>
      </c>
      <c r="T3" s="23">
        <f>Q3*2</f>
        <v>24</v>
      </c>
      <c r="U3" s="23" t="s">
        <v>470</v>
      </c>
      <c r="V3" s="23">
        <f>Q3</f>
        <v>12</v>
      </c>
      <c r="W3" s="23">
        <f>L3-7</f>
        <v>126</v>
      </c>
      <c r="X3" s="23">
        <v>97.734375</v>
      </c>
      <c r="Y3" s="23">
        <v>87</v>
      </c>
      <c r="Z3" s="23">
        <v>0.25</v>
      </c>
      <c r="AA3" s="23">
        <v>45</v>
      </c>
      <c r="AB3" s="23">
        <v>8</v>
      </c>
      <c r="AC3" s="23">
        <f>X3</f>
        <v>97.734375</v>
      </c>
      <c r="AD3" s="23">
        <v>70.4375</v>
      </c>
      <c r="AE3" s="23">
        <v>84</v>
      </c>
      <c r="AF3" s="23">
        <v>0.25</v>
      </c>
      <c r="AG3" s="23">
        <v>60</v>
      </c>
      <c r="AH3" s="23">
        <v>6</v>
      </c>
      <c r="AI3" s="23">
        <v>0</v>
      </c>
      <c r="AJ3" s="23">
        <f>AD3</f>
        <v>70.4375</v>
      </c>
      <c r="AK3" s="23">
        <v>44.9375</v>
      </c>
      <c r="AL3" s="23">
        <v>78.4375</v>
      </c>
      <c r="AM3" s="23">
        <v>0.3125</v>
      </c>
      <c r="AN3" s="23">
        <v>90</v>
      </c>
      <c r="AO3" s="23">
        <v>4</v>
      </c>
      <c r="AP3" s="23">
        <v>60</v>
      </c>
      <c r="AQ3" s="23">
        <v>44.9375</v>
      </c>
      <c r="AR3" s="23">
        <v>42</v>
      </c>
      <c r="AS3" s="23">
        <v>18.5625</v>
      </c>
      <c r="AT3" s="23">
        <v>0.3125</v>
      </c>
      <c r="AU3" s="23">
        <v>36</v>
      </c>
      <c r="AV3" s="23">
        <v>10</v>
      </c>
      <c r="AW3" s="23" t="s">
        <v>470</v>
      </c>
      <c r="AX3" s="23" t="s">
        <v>470</v>
      </c>
      <c r="AY3" s="23" t="s">
        <v>470</v>
      </c>
      <c r="AZ3" s="23" t="s">
        <v>470</v>
      </c>
      <c r="BA3" s="23" t="s">
        <v>470</v>
      </c>
      <c r="BB3" s="23" t="s">
        <v>470</v>
      </c>
      <c r="BC3" s="23" t="s">
        <v>470</v>
      </c>
    </row>
    <row r="4" spans="1:55" x14ac:dyDescent="0.25">
      <c r="A4" s="22" t="s">
        <v>471</v>
      </c>
      <c r="B4" s="23">
        <v>50</v>
      </c>
      <c r="C4" s="23">
        <v>21</v>
      </c>
      <c r="D4" s="24">
        <v>22.333333333300001</v>
      </c>
      <c r="E4" s="24">
        <f t="shared" ref="E4:E63" si="0">W4-X4</f>
        <v>28.265625</v>
      </c>
      <c r="F4" s="24">
        <f t="shared" ref="F4:F63" si="1">E4/Y4</f>
        <v>0.32489224137931033</v>
      </c>
      <c r="G4" s="24">
        <f t="shared" ref="G4:G63" si="2">12/Y4</f>
        <v>0.13793103448275862</v>
      </c>
      <c r="H4" s="24">
        <f t="shared" ref="H4:H63" si="3">E4*G4</f>
        <v>3.8987068965517242</v>
      </c>
      <c r="I4" s="23" t="s">
        <v>469</v>
      </c>
      <c r="J4" s="23">
        <v>180</v>
      </c>
      <c r="K4" s="23">
        <f>C4*12</f>
        <v>252</v>
      </c>
      <c r="L4" s="23">
        <f>C4*12/2+7</f>
        <v>133</v>
      </c>
      <c r="M4" s="23">
        <f>L4-12</f>
        <v>121</v>
      </c>
      <c r="N4" s="23">
        <v>45</v>
      </c>
      <c r="O4" s="23">
        <v>1</v>
      </c>
      <c r="P4" s="23">
        <v>8</v>
      </c>
      <c r="Q4" s="23">
        <v>8</v>
      </c>
      <c r="R4" s="23">
        <f t="shared" ref="R4:R63" si="4">360/Q4/2</f>
        <v>22.5</v>
      </c>
      <c r="S4" s="23">
        <f t="shared" ref="S4:S63" si="5">Q4</f>
        <v>8</v>
      </c>
      <c r="T4" s="23">
        <f t="shared" ref="T4:T63" si="6">Q4*2</f>
        <v>16</v>
      </c>
      <c r="U4" s="23" t="s">
        <v>470</v>
      </c>
      <c r="V4" s="23">
        <f t="shared" ref="V4:V63" si="7">Q4</f>
        <v>8</v>
      </c>
      <c r="W4" s="23">
        <f>L4-7</f>
        <v>126</v>
      </c>
      <c r="X4" s="23">
        <v>97.734375</v>
      </c>
      <c r="Y4" s="23">
        <v>87</v>
      </c>
      <c r="Z4" s="23">
        <v>0.25</v>
      </c>
      <c r="AA4" s="23">
        <v>45</v>
      </c>
      <c r="AB4" s="23">
        <v>8</v>
      </c>
      <c r="AC4" s="23">
        <v>97.734375</v>
      </c>
      <c r="AD4" s="23">
        <v>70.4375</v>
      </c>
      <c r="AE4" s="23">
        <v>84</v>
      </c>
      <c r="AF4" s="23">
        <v>0.25</v>
      </c>
      <c r="AG4" s="23">
        <v>60</v>
      </c>
      <c r="AH4" s="23">
        <v>6</v>
      </c>
      <c r="AI4" s="23">
        <v>0</v>
      </c>
      <c r="AJ4" s="23">
        <v>70.4375</v>
      </c>
      <c r="AK4" s="23">
        <v>44.9375</v>
      </c>
      <c r="AL4" s="23">
        <v>78.4375</v>
      </c>
      <c r="AM4" s="23">
        <v>0.25</v>
      </c>
      <c r="AN4" s="23">
        <v>90</v>
      </c>
      <c r="AO4" s="23">
        <v>4</v>
      </c>
      <c r="AP4" s="23">
        <v>60</v>
      </c>
      <c r="AQ4" s="23">
        <v>44.9375</v>
      </c>
      <c r="AR4" s="23">
        <v>42</v>
      </c>
      <c r="AS4" s="23">
        <v>18.5625</v>
      </c>
      <c r="AT4" s="23">
        <v>0.25</v>
      </c>
      <c r="AU4" s="23">
        <v>36</v>
      </c>
      <c r="AV4" s="23">
        <v>10</v>
      </c>
      <c r="AW4" s="23" t="s">
        <v>470</v>
      </c>
      <c r="AX4" s="23" t="s">
        <v>470</v>
      </c>
      <c r="AY4" s="23" t="s">
        <v>470</v>
      </c>
      <c r="AZ4" s="23" t="s">
        <v>470</v>
      </c>
      <c r="BA4" s="23" t="s">
        <v>470</v>
      </c>
      <c r="BB4" s="23" t="s">
        <v>470</v>
      </c>
      <c r="BC4" s="23" t="s">
        <v>470</v>
      </c>
    </row>
    <row r="5" spans="1:55" x14ac:dyDescent="0.25">
      <c r="A5" s="22" t="s">
        <v>472</v>
      </c>
      <c r="B5" s="23">
        <v>50</v>
      </c>
      <c r="C5" s="23">
        <v>21</v>
      </c>
      <c r="D5" s="24">
        <v>15.333333333300001</v>
      </c>
      <c r="E5" s="24">
        <f t="shared" si="0"/>
        <v>41.509799999999998</v>
      </c>
      <c r="F5" s="24">
        <f t="shared" si="1"/>
        <v>0.49416428571428572</v>
      </c>
      <c r="G5" s="24">
        <f t="shared" si="2"/>
        <v>0.14285714285714285</v>
      </c>
      <c r="H5" s="24">
        <f t="shared" si="3"/>
        <v>5.9299714285714282</v>
      </c>
      <c r="I5" s="23" t="s">
        <v>469</v>
      </c>
      <c r="J5" s="23">
        <v>180</v>
      </c>
      <c r="K5" s="23">
        <f t="shared" ref="K5:K55" si="8">C5*12</f>
        <v>252</v>
      </c>
      <c r="L5" s="23">
        <f>C5*12/2+7</f>
        <v>133</v>
      </c>
      <c r="M5" s="23">
        <f>L5-12</f>
        <v>121</v>
      </c>
      <c r="N5" s="23">
        <v>180</v>
      </c>
      <c r="O5" s="23">
        <v>1</v>
      </c>
      <c r="P5" s="23">
        <v>8</v>
      </c>
      <c r="Q5" s="23">
        <v>8</v>
      </c>
      <c r="R5" s="23">
        <f t="shared" si="4"/>
        <v>22.5</v>
      </c>
      <c r="S5" s="23">
        <f t="shared" si="5"/>
        <v>8</v>
      </c>
      <c r="T5" s="23">
        <f t="shared" si="6"/>
        <v>16</v>
      </c>
      <c r="U5" s="23"/>
      <c r="V5" s="23">
        <f t="shared" si="7"/>
        <v>8</v>
      </c>
      <c r="W5" s="23">
        <f>L5-7</f>
        <v>126</v>
      </c>
      <c r="X5" s="23">
        <v>84.490200000000002</v>
      </c>
      <c r="Y5" s="23">
        <v>84</v>
      </c>
      <c r="Z5" s="23">
        <v>0.25</v>
      </c>
      <c r="AA5" s="23"/>
      <c r="AB5" s="23">
        <v>8</v>
      </c>
      <c r="AC5" s="23">
        <f>X5</f>
        <v>84.490200000000002</v>
      </c>
      <c r="AD5" s="23">
        <v>48.209400000000002</v>
      </c>
      <c r="AE5" s="23">
        <v>73.4375</v>
      </c>
      <c r="AF5" s="23">
        <v>0.25</v>
      </c>
      <c r="AG5" s="23">
        <v>60</v>
      </c>
      <c r="AH5" s="23">
        <v>6</v>
      </c>
      <c r="AI5" s="23">
        <v>60</v>
      </c>
      <c r="AJ5" s="23">
        <f>AD5</f>
        <v>48.209400000000002</v>
      </c>
      <c r="AK5" s="23">
        <v>44.933750000000003</v>
      </c>
      <c r="AL5" s="23">
        <v>78.4375</v>
      </c>
      <c r="AM5" s="23">
        <v>0.25</v>
      </c>
      <c r="AN5" s="23">
        <v>36</v>
      </c>
      <c r="AO5" s="23">
        <v>10</v>
      </c>
      <c r="AP5" s="23">
        <v>60</v>
      </c>
      <c r="AQ5" s="23" t="s">
        <v>470</v>
      </c>
      <c r="AR5" s="23" t="s">
        <v>470</v>
      </c>
      <c r="AS5" s="23" t="s">
        <v>470</v>
      </c>
      <c r="AT5" s="23"/>
      <c r="AU5" s="23"/>
      <c r="AV5" s="23" t="s">
        <v>470</v>
      </c>
      <c r="AW5" s="23">
        <v>60</v>
      </c>
      <c r="AX5" s="23" t="s">
        <v>470</v>
      </c>
      <c r="AY5" s="23" t="s">
        <v>470</v>
      </c>
      <c r="AZ5" s="23" t="s">
        <v>470</v>
      </c>
      <c r="BA5" s="23" t="s">
        <v>470</v>
      </c>
      <c r="BB5" s="23"/>
      <c r="BC5" s="23" t="s">
        <v>470</v>
      </c>
    </row>
    <row r="6" spans="1:55" x14ac:dyDescent="0.25">
      <c r="A6" s="22" t="s">
        <v>474</v>
      </c>
      <c r="B6" s="23">
        <v>50</v>
      </c>
      <c r="C6" s="23">
        <v>23</v>
      </c>
      <c r="D6" s="24">
        <v>22.333333333300001</v>
      </c>
      <c r="E6" s="24">
        <f t="shared" si="0"/>
        <v>31.359375</v>
      </c>
      <c r="F6" s="24">
        <f t="shared" si="1"/>
        <v>0.37332589285714285</v>
      </c>
      <c r="G6" s="24">
        <f t="shared" si="2"/>
        <v>0.14285714285714285</v>
      </c>
      <c r="H6" s="24">
        <f t="shared" si="3"/>
        <v>4.4799107142857144</v>
      </c>
      <c r="I6" s="23" t="s">
        <v>469</v>
      </c>
      <c r="J6" s="23">
        <v>180</v>
      </c>
      <c r="K6" s="23">
        <f t="shared" si="8"/>
        <v>276</v>
      </c>
      <c r="L6" s="23">
        <f t="shared" ref="L6:L56" si="9">C6*12/2+7</f>
        <v>145</v>
      </c>
      <c r="M6" s="23">
        <f t="shared" ref="M6:M56" si="10">L6-12</f>
        <v>133</v>
      </c>
      <c r="N6" s="23">
        <v>45</v>
      </c>
      <c r="O6" s="23">
        <v>1</v>
      </c>
      <c r="P6" s="23">
        <v>8</v>
      </c>
      <c r="Q6" s="23">
        <v>12</v>
      </c>
      <c r="R6" s="23">
        <f t="shared" si="4"/>
        <v>15</v>
      </c>
      <c r="S6" s="23">
        <f t="shared" si="5"/>
        <v>12</v>
      </c>
      <c r="T6" s="23">
        <f t="shared" si="6"/>
        <v>24</v>
      </c>
      <c r="U6" s="23" t="s">
        <v>470</v>
      </c>
      <c r="V6" s="23">
        <f t="shared" si="7"/>
        <v>12</v>
      </c>
      <c r="W6" s="23">
        <f t="shared" ref="W6:W56" si="11">L6-7</f>
        <v>138</v>
      </c>
      <c r="X6" s="23">
        <v>106.640625</v>
      </c>
      <c r="Y6" s="23">
        <v>84</v>
      </c>
      <c r="Z6" s="23">
        <v>0.25</v>
      </c>
      <c r="AA6" s="23">
        <v>45</v>
      </c>
      <c r="AB6" s="23">
        <v>8</v>
      </c>
      <c r="AC6" s="23">
        <v>106.640625</v>
      </c>
      <c r="AD6" s="23">
        <v>75.28125</v>
      </c>
      <c r="AE6" s="23">
        <v>84</v>
      </c>
      <c r="AF6" s="23">
        <v>0.25</v>
      </c>
      <c r="AG6" s="23">
        <v>60</v>
      </c>
      <c r="AH6" s="23">
        <v>6</v>
      </c>
      <c r="AI6" s="23">
        <v>0</v>
      </c>
      <c r="AJ6" s="23">
        <v>75.28125</v>
      </c>
      <c r="AK6" s="23">
        <v>45.78125</v>
      </c>
      <c r="AL6" s="23">
        <v>79</v>
      </c>
      <c r="AM6" s="23">
        <v>0.3125</v>
      </c>
      <c r="AN6" s="23">
        <v>90</v>
      </c>
      <c r="AO6" s="23">
        <v>4</v>
      </c>
      <c r="AP6" s="23">
        <v>60</v>
      </c>
      <c r="AQ6" s="23">
        <v>45.78125</v>
      </c>
      <c r="AR6" s="23">
        <v>42</v>
      </c>
      <c r="AS6" s="23">
        <v>21</v>
      </c>
      <c r="AT6" s="23">
        <v>0.3125</v>
      </c>
      <c r="AU6" s="23">
        <v>36</v>
      </c>
      <c r="AV6" s="23">
        <v>10</v>
      </c>
      <c r="AW6" s="23" t="s">
        <v>470</v>
      </c>
      <c r="AX6" s="23" t="s">
        <v>470</v>
      </c>
      <c r="AY6" s="23" t="s">
        <v>470</v>
      </c>
      <c r="AZ6" s="23" t="s">
        <v>470</v>
      </c>
      <c r="BA6" s="23" t="s">
        <v>470</v>
      </c>
      <c r="BB6" s="23" t="s">
        <v>470</v>
      </c>
      <c r="BC6" s="23" t="s">
        <v>470</v>
      </c>
    </row>
    <row r="7" spans="1:55" x14ac:dyDescent="0.25">
      <c r="A7" s="22" t="s">
        <v>475</v>
      </c>
      <c r="B7" s="23">
        <v>75</v>
      </c>
      <c r="C7" s="23">
        <v>21</v>
      </c>
      <c r="D7" s="24">
        <v>22.333333333300001</v>
      </c>
      <c r="E7" s="24">
        <f t="shared" si="0"/>
        <v>28.265625</v>
      </c>
      <c r="F7" s="24">
        <f t="shared" si="1"/>
        <v>0.3364955357142857</v>
      </c>
      <c r="G7" s="24">
        <f t="shared" si="2"/>
        <v>0.14285714285714285</v>
      </c>
      <c r="H7" s="24">
        <f t="shared" si="3"/>
        <v>4.0379464285714279</v>
      </c>
      <c r="I7" s="23" t="s">
        <v>469</v>
      </c>
      <c r="J7" s="23">
        <v>180</v>
      </c>
      <c r="K7" s="23">
        <f>C7*12</f>
        <v>252</v>
      </c>
      <c r="L7" s="23">
        <f>C7*12/2+7</f>
        <v>133</v>
      </c>
      <c r="M7" s="23">
        <f>L7-12</f>
        <v>121</v>
      </c>
      <c r="N7" s="23">
        <v>45</v>
      </c>
      <c r="O7" s="23">
        <v>1</v>
      </c>
      <c r="P7" s="23">
        <v>8</v>
      </c>
      <c r="Q7" s="23">
        <v>8</v>
      </c>
      <c r="R7" s="23">
        <f t="shared" si="4"/>
        <v>22.5</v>
      </c>
      <c r="S7" s="23">
        <f t="shared" si="5"/>
        <v>8</v>
      </c>
      <c r="T7" s="23">
        <f t="shared" si="6"/>
        <v>16</v>
      </c>
      <c r="U7" s="23" t="s">
        <v>470</v>
      </c>
      <c r="V7" s="23">
        <f t="shared" si="7"/>
        <v>8</v>
      </c>
      <c r="W7" s="23">
        <f t="shared" si="11"/>
        <v>126</v>
      </c>
      <c r="X7" s="23">
        <v>97.734375</v>
      </c>
      <c r="Y7" s="23">
        <v>84</v>
      </c>
      <c r="Z7" s="23">
        <v>0.3125</v>
      </c>
      <c r="AA7" s="23">
        <v>45</v>
      </c>
      <c r="AB7" s="23">
        <v>8</v>
      </c>
      <c r="AC7" s="23">
        <v>97.734375</v>
      </c>
      <c r="AD7" s="23">
        <v>70.4375</v>
      </c>
      <c r="AE7" s="23">
        <v>84</v>
      </c>
      <c r="AF7" s="23">
        <v>0.3125</v>
      </c>
      <c r="AG7" s="23">
        <v>60</v>
      </c>
      <c r="AH7" s="23">
        <v>6</v>
      </c>
      <c r="AI7" s="23">
        <v>0</v>
      </c>
      <c r="AJ7" s="23">
        <v>70.4375</v>
      </c>
      <c r="AK7" s="23">
        <v>44.9375</v>
      </c>
      <c r="AL7" s="23">
        <v>78.4375</v>
      </c>
      <c r="AM7" s="23">
        <v>0.375</v>
      </c>
      <c r="AN7" s="23">
        <v>90</v>
      </c>
      <c r="AO7" s="23">
        <v>4</v>
      </c>
      <c r="AP7" s="23"/>
      <c r="AQ7" s="23">
        <v>44.9375</v>
      </c>
      <c r="AR7" s="23">
        <v>42</v>
      </c>
      <c r="AS7" s="23">
        <v>18.5625</v>
      </c>
      <c r="AT7" s="23">
        <v>0.5</v>
      </c>
      <c r="AU7" s="23">
        <v>36</v>
      </c>
      <c r="AV7" s="23">
        <v>10</v>
      </c>
      <c r="AW7" s="23" t="s">
        <v>470</v>
      </c>
      <c r="AX7" s="23" t="s">
        <v>470</v>
      </c>
      <c r="AY7" s="23" t="s">
        <v>470</v>
      </c>
      <c r="AZ7" s="23" t="s">
        <v>470</v>
      </c>
      <c r="BA7" s="23" t="s">
        <v>470</v>
      </c>
      <c r="BB7" s="23" t="s">
        <v>470</v>
      </c>
      <c r="BC7" s="23" t="s">
        <v>470</v>
      </c>
    </row>
    <row r="8" spans="1:55" x14ac:dyDescent="0.25">
      <c r="A8" s="22" t="s">
        <v>477</v>
      </c>
      <c r="B8" s="23">
        <v>75</v>
      </c>
      <c r="C8" s="23">
        <v>28</v>
      </c>
      <c r="D8" s="24">
        <v>25</v>
      </c>
      <c r="E8" s="24">
        <f t="shared" si="0"/>
        <v>36.823299999999989</v>
      </c>
      <c r="F8" s="24">
        <f t="shared" si="1"/>
        <v>0.43837261904761893</v>
      </c>
      <c r="G8" s="24">
        <f t="shared" si="2"/>
        <v>0.14285714285714285</v>
      </c>
      <c r="H8" s="24">
        <f t="shared" si="3"/>
        <v>5.2604714285714271</v>
      </c>
      <c r="I8" s="23" t="s">
        <v>469</v>
      </c>
      <c r="J8" s="23">
        <v>180</v>
      </c>
      <c r="K8" s="23">
        <f>C8*12</f>
        <v>336</v>
      </c>
      <c r="L8" s="23">
        <f>C8*12/2+7</f>
        <v>175</v>
      </c>
      <c r="M8" s="23">
        <f>L8-12</f>
        <v>163</v>
      </c>
      <c r="N8" s="23">
        <v>40</v>
      </c>
      <c r="O8" s="23">
        <v>0.875</v>
      </c>
      <c r="P8" s="23">
        <v>9</v>
      </c>
      <c r="Q8" s="23">
        <v>12</v>
      </c>
      <c r="R8" s="23">
        <f t="shared" si="4"/>
        <v>15</v>
      </c>
      <c r="S8" s="23">
        <f t="shared" si="5"/>
        <v>12</v>
      </c>
      <c r="T8" s="23">
        <f t="shared" si="6"/>
        <v>24</v>
      </c>
      <c r="U8" s="23" t="s">
        <v>470</v>
      </c>
      <c r="V8" s="23">
        <f t="shared" si="7"/>
        <v>12</v>
      </c>
      <c r="W8" s="23">
        <f t="shared" si="11"/>
        <v>168</v>
      </c>
      <c r="X8" s="23">
        <v>131.17670000000001</v>
      </c>
      <c r="Y8" s="23">
        <v>84</v>
      </c>
      <c r="Z8" s="23">
        <v>0.3125</v>
      </c>
      <c r="AA8" s="23">
        <v>40</v>
      </c>
      <c r="AB8" s="23">
        <v>9</v>
      </c>
      <c r="AC8" s="23">
        <v>131.17670000000001</v>
      </c>
      <c r="AD8" s="23">
        <v>94.353300000000004</v>
      </c>
      <c r="AE8" s="23">
        <v>84</v>
      </c>
      <c r="AF8" s="23">
        <v>0.3125</v>
      </c>
      <c r="AG8" s="23">
        <v>45</v>
      </c>
      <c r="AH8" s="23">
        <v>8</v>
      </c>
      <c r="AI8" s="23">
        <v>0</v>
      </c>
      <c r="AJ8" s="23">
        <v>94.353300000000004</v>
      </c>
      <c r="AK8" s="23">
        <v>57.53</v>
      </c>
      <c r="AL8" s="23">
        <v>84</v>
      </c>
      <c r="AM8" s="23">
        <v>0.375</v>
      </c>
      <c r="AN8" s="23">
        <v>60</v>
      </c>
      <c r="AO8" s="23">
        <v>6</v>
      </c>
      <c r="AP8" s="23">
        <v>0</v>
      </c>
      <c r="AQ8" s="23">
        <v>57.53</v>
      </c>
      <c r="AR8" s="23">
        <v>47.048200000000001</v>
      </c>
      <c r="AS8" s="23">
        <v>23.9375</v>
      </c>
      <c r="AT8" s="23">
        <v>0.5</v>
      </c>
      <c r="AU8" s="23">
        <v>90</v>
      </c>
      <c r="AV8" s="23">
        <v>4</v>
      </c>
      <c r="AW8" s="23"/>
      <c r="AX8" s="23">
        <v>47.048200000000001</v>
      </c>
      <c r="AY8" s="23">
        <v>42</v>
      </c>
      <c r="AZ8" s="23">
        <v>24.0625</v>
      </c>
      <c r="BA8" s="23">
        <v>0.5</v>
      </c>
      <c r="BB8" s="23">
        <v>36</v>
      </c>
      <c r="BC8" s="23">
        <v>10</v>
      </c>
    </row>
    <row r="9" spans="1:55" x14ac:dyDescent="0.25">
      <c r="A9" s="22" t="s">
        <v>2012</v>
      </c>
      <c r="B9" s="23">
        <v>100</v>
      </c>
      <c r="C9" s="23">
        <v>21</v>
      </c>
      <c r="D9" s="24">
        <v>22.333333333300001</v>
      </c>
      <c r="E9" s="24">
        <f t="shared" si="0"/>
        <v>28.271199999999993</v>
      </c>
      <c r="F9" s="24">
        <f t="shared" si="1"/>
        <v>0.32495632183908041</v>
      </c>
      <c r="G9" s="24">
        <f t="shared" si="2"/>
        <v>0.13793103448275862</v>
      </c>
      <c r="H9" s="24">
        <f t="shared" si="3"/>
        <v>3.8994758620689645</v>
      </c>
      <c r="I9" s="23" t="s">
        <v>469</v>
      </c>
      <c r="J9" s="23">
        <v>180</v>
      </c>
      <c r="K9" s="23">
        <f>C9*12</f>
        <v>252</v>
      </c>
      <c r="L9" s="23">
        <f>C9*12/2+7</f>
        <v>133</v>
      </c>
      <c r="M9" s="23">
        <f>L9-12</f>
        <v>121</v>
      </c>
      <c r="N9" s="23">
        <v>0</v>
      </c>
      <c r="O9" s="23">
        <v>0.75</v>
      </c>
      <c r="P9" s="23">
        <v>8</v>
      </c>
      <c r="Q9" s="23">
        <v>12</v>
      </c>
      <c r="R9" s="23">
        <f t="shared" si="4"/>
        <v>15</v>
      </c>
      <c r="S9" s="23">
        <f t="shared" si="5"/>
        <v>12</v>
      </c>
      <c r="T9" s="23">
        <f t="shared" si="6"/>
        <v>24</v>
      </c>
      <c r="U9" s="23" t="s">
        <v>470</v>
      </c>
      <c r="V9" s="23">
        <f t="shared" si="7"/>
        <v>12</v>
      </c>
      <c r="W9" s="23">
        <f t="shared" si="11"/>
        <v>126</v>
      </c>
      <c r="X9" s="23">
        <v>97.728800000000007</v>
      </c>
      <c r="Y9" s="23">
        <v>87</v>
      </c>
      <c r="Z9" s="23">
        <v>0.3125</v>
      </c>
      <c r="AA9" s="23">
        <v>45</v>
      </c>
      <c r="AB9" s="23">
        <v>8</v>
      </c>
      <c r="AC9" s="23">
        <v>97.728800000000007</v>
      </c>
      <c r="AD9" s="23">
        <v>70.432400000000001</v>
      </c>
      <c r="AE9" s="23">
        <v>84</v>
      </c>
      <c r="AF9" s="23">
        <v>0.375</v>
      </c>
      <c r="AG9" s="23">
        <v>60</v>
      </c>
      <c r="AH9" s="23">
        <v>6</v>
      </c>
      <c r="AI9" s="23">
        <v>0</v>
      </c>
      <c r="AJ9" s="23">
        <v>70.432400000000001</v>
      </c>
      <c r="AK9" s="23">
        <v>44.937199999999997</v>
      </c>
      <c r="AL9" s="23">
        <v>78.4375</v>
      </c>
      <c r="AM9" s="23">
        <v>0.5</v>
      </c>
      <c r="AN9" s="23">
        <v>90</v>
      </c>
      <c r="AO9" s="23">
        <v>4</v>
      </c>
      <c r="AP9" s="23"/>
      <c r="AQ9" s="23">
        <v>44.937199999999997</v>
      </c>
      <c r="AR9" s="23">
        <v>42</v>
      </c>
      <c r="AS9" s="23">
        <v>18.5625</v>
      </c>
      <c r="AT9" s="23">
        <v>0.5</v>
      </c>
      <c r="AU9" s="23">
        <v>36</v>
      </c>
      <c r="AV9" s="23">
        <v>10</v>
      </c>
      <c r="AW9" s="23"/>
      <c r="AX9" s="23"/>
      <c r="AY9" s="23"/>
      <c r="AZ9" s="23"/>
      <c r="BA9" s="23"/>
      <c r="BB9" s="23"/>
      <c r="BC9" s="23"/>
    </row>
    <row r="10" spans="1:55" x14ac:dyDescent="0.25">
      <c r="A10" s="22" t="s">
        <v>481</v>
      </c>
      <c r="B10" s="23">
        <v>100</v>
      </c>
      <c r="C10" s="23">
        <v>23</v>
      </c>
      <c r="D10" s="24">
        <v>22.333333333300001</v>
      </c>
      <c r="E10" s="24">
        <f t="shared" si="0"/>
        <v>31.359375</v>
      </c>
      <c r="F10" s="24">
        <f t="shared" si="1"/>
        <v>0.37332589285714285</v>
      </c>
      <c r="G10" s="24">
        <f t="shared" si="2"/>
        <v>0.14285714285714285</v>
      </c>
      <c r="H10" s="24">
        <f t="shared" si="3"/>
        <v>4.4799107142857144</v>
      </c>
      <c r="I10" s="23" t="s">
        <v>469</v>
      </c>
      <c r="J10" s="23">
        <v>180</v>
      </c>
      <c r="K10" s="23">
        <f t="shared" si="8"/>
        <v>276</v>
      </c>
      <c r="L10" s="23">
        <f t="shared" si="9"/>
        <v>145</v>
      </c>
      <c r="M10" s="23">
        <f t="shared" si="10"/>
        <v>133</v>
      </c>
      <c r="N10" s="23">
        <v>0</v>
      </c>
      <c r="O10" s="23">
        <v>0.8125</v>
      </c>
      <c r="P10" s="23">
        <v>8</v>
      </c>
      <c r="Q10" s="23">
        <v>12</v>
      </c>
      <c r="R10" s="23">
        <f t="shared" si="4"/>
        <v>15</v>
      </c>
      <c r="S10" s="23">
        <f t="shared" si="5"/>
        <v>12</v>
      </c>
      <c r="T10" s="23">
        <f t="shared" si="6"/>
        <v>24</v>
      </c>
      <c r="U10" s="23" t="s">
        <v>470</v>
      </c>
      <c r="V10" s="23">
        <f t="shared" si="7"/>
        <v>12</v>
      </c>
      <c r="W10" s="23">
        <f t="shared" si="11"/>
        <v>138</v>
      </c>
      <c r="X10" s="23">
        <v>106.640625</v>
      </c>
      <c r="Y10" s="23">
        <v>84</v>
      </c>
      <c r="Z10" s="23">
        <v>0.3125</v>
      </c>
      <c r="AA10" s="23">
        <v>45</v>
      </c>
      <c r="AB10" s="23">
        <v>8</v>
      </c>
      <c r="AC10" s="23">
        <v>106.640625</v>
      </c>
      <c r="AD10" s="23">
        <v>75.28125</v>
      </c>
      <c r="AE10" s="23">
        <v>84</v>
      </c>
      <c r="AF10" s="23">
        <v>0.3125</v>
      </c>
      <c r="AG10" s="23">
        <v>60</v>
      </c>
      <c r="AH10" s="23">
        <v>6</v>
      </c>
      <c r="AI10" s="23">
        <v>0</v>
      </c>
      <c r="AJ10" s="23">
        <v>75.28125</v>
      </c>
      <c r="AK10" s="23">
        <v>45.78125</v>
      </c>
      <c r="AL10" s="23">
        <v>79</v>
      </c>
      <c r="AM10" s="23">
        <v>0.5</v>
      </c>
      <c r="AN10" s="23">
        <v>90</v>
      </c>
      <c r="AO10" s="23">
        <v>4</v>
      </c>
      <c r="AP10" s="23"/>
      <c r="AQ10" s="23">
        <v>45.78125</v>
      </c>
      <c r="AR10" s="23">
        <v>42</v>
      </c>
      <c r="AS10" s="23">
        <v>21</v>
      </c>
      <c r="AT10" s="23">
        <v>0.5</v>
      </c>
      <c r="AU10" s="23">
        <v>36</v>
      </c>
      <c r="AV10" s="23">
        <v>10</v>
      </c>
      <c r="AW10" s="23"/>
      <c r="AX10" s="23"/>
      <c r="AY10" s="23"/>
      <c r="AZ10" s="23"/>
      <c r="BA10" s="23"/>
      <c r="BB10" s="23"/>
      <c r="BC10" s="23"/>
    </row>
    <row r="11" spans="1:55" x14ac:dyDescent="0.25">
      <c r="A11" s="22" t="s">
        <v>483</v>
      </c>
      <c r="B11" s="23">
        <v>100</v>
      </c>
      <c r="C11" s="23">
        <v>25</v>
      </c>
      <c r="D11" s="24">
        <v>25</v>
      </c>
      <c r="E11" s="24">
        <f t="shared" si="0"/>
        <v>31.375</v>
      </c>
      <c r="F11" s="24">
        <f t="shared" si="1"/>
        <v>0.37351190476190477</v>
      </c>
      <c r="G11" s="24">
        <f t="shared" si="2"/>
        <v>0.14285714285714285</v>
      </c>
      <c r="H11" s="24">
        <f t="shared" si="3"/>
        <v>4.4821428571428568</v>
      </c>
      <c r="I11" s="23" t="s">
        <v>469</v>
      </c>
      <c r="J11" s="23">
        <v>180</v>
      </c>
      <c r="K11" s="23">
        <f t="shared" si="8"/>
        <v>300</v>
      </c>
      <c r="L11" s="23">
        <f t="shared" si="9"/>
        <v>157</v>
      </c>
      <c r="M11" s="23">
        <f t="shared" si="10"/>
        <v>145</v>
      </c>
      <c r="N11" s="23">
        <v>0</v>
      </c>
      <c r="O11" s="23">
        <v>0.875</v>
      </c>
      <c r="P11" s="23">
        <v>9</v>
      </c>
      <c r="Q11" s="23">
        <v>16</v>
      </c>
      <c r="R11" s="23">
        <f t="shared" si="4"/>
        <v>11.25</v>
      </c>
      <c r="S11" s="23">
        <f t="shared" si="5"/>
        <v>16</v>
      </c>
      <c r="T11" s="23">
        <f t="shared" si="6"/>
        <v>32</v>
      </c>
      <c r="U11" s="23" t="s">
        <v>470</v>
      </c>
      <c r="V11" s="23">
        <f t="shared" si="7"/>
        <v>16</v>
      </c>
      <c r="W11" s="23">
        <f t="shared" si="11"/>
        <v>150</v>
      </c>
      <c r="X11" s="23">
        <v>118.625</v>
      </c>
      <c r="Y11" s="23">
        <v>84</v>
      </c>
      <c r="Z11" s="23">
        <v>0.375</v>
      </c>
      <c r="AA11" s="23">
        <v>40</v>
      </c>
      <c r="AB11" s="23">
        <v>9</v>
      </c>
      <c r="AC11" s="23">
        <v>118.625</v>
      </c>
      <c r="AD11" s="23">
        <v>87.25</v>
      </c>
      <c r="AE11" s="23">
        <v>84</v>
      </c>
      <c r="AF11" s="23">
        <v>0.375</v>
      </c>
      <c r="AG11" s="23">
        <v>60</v>
      </c>
      <c r="AH11" s="23">
        <v>6</v>
      </c>
      <c r="AI11" s="23">
        <v>0</v>
      </c>
      <c r="AJ11" s="23">
        <v>87.25</v>
      </c>
      <c r="AK11" s="23">
        <v>55.875</v>
      </c>
      <c r="AL11" s="23">
        <v>84</v>
      </c>
      <c r="AM11" s="23">
        <v>0.4375</v>
      </c>
      <c r="AN11" s="23">
        <v>60</v>
      </c>
      <c r="AO11" s="23">
        <v>6</v>
      </c>
      <c r="AP11" s="23">
        <v>0</v>
      </c>
      <c r="AQ11" s="23">
        <v>55.875</v>
      </c>
      <c r="AR11" s="23">
        <v>45.78125</v>
      </c>
      <c r="AS11" s="23">
        <v>27</v>
      </c>
      <c r="AT11" s="23">
        <v>0.5</v>
      </c>
      <c r="AU11" s="23">
        <v>90</v>
      </c>
      <c r="AV11" s="23">
        <v>4</v>
      </c>
      <c r="AW11" s="23"/>
      <c r="AX11" s="23">
        <v>45.78125</v>
      </c>
      <c r="AY11" s="23">
        <v>42</v>
      </c>
      <c r="AZ11" s="23">
        <v>21</v>
      </c>
      <c r="BA11" s="23">
        <v>0.5</v>
      </c>
      <c r="BB11" s="23">
        <v>36</v>
      </c>
      <c r="BC11" s="23">
        <v>10</v>
      </c>
    </row>
    <row r="12" spans="1:55" x14ac:dyDescent="0.25">
      <c r="A12" s="22" t="s">
        <v>484</v>
      </c>
      <c r="B12" s="23">
        <v>100</v>
      </c>
      <c r="C12" s="23">
        <v>28</v>
      </c>
      <c r="D12" s="24">
        <v>25</v>
      </c>
      <c r="E12" s="24">
        <f t="shared" si="0"/>
        <v>36.823299999999989</v>
      </c>
      <c r="F12" s="24">
        <f t="shared" si="1"/>
        <v>0.43837261904761893</v>
      </c>
      <c r="G12" s="24">
        <f t="shared" si="2"/>
        <v>0.14285714285714285</v>
      </c>
      <c r="H12" s="24">
        <f t="shared" si="3"/>
        <v>5.2604714285714271</v>
      </c>
      <c r="I12" s="23" t="s">
        <v>469</v>
      </c>
      <c r="J12" s="23">
        <v>180</v>
      </c>
      <c r="K12" s="23">
        <f t="shared" si="8"/>
        <v>336</v>
      </c>
      <c r="L12" s="23">
        <f t="shared" si="9"/>
        <v>175</v>
      </c>
      <c r="M12" s="23">
        <f t="shared" si="10"/>
        <v>163</v>
      </c>
      <c r="N12" s="23">
        <v>0</v>
      </c>
      <c r="O12" s="23">
        <v>0.6875</v>
      </c>
      <c r="P12" s="23">
        <v>9</v>
      </c>
      <c r="Q12" s="23">
        <v>16</v>
      </c>
      <c r="R12" s="23">
        <f t="shared" si="4"/>
        <v>11.25</v>
      </c>
      <c r="S12" s="23">
        <f t="shared" si="5"/>
        <v>16</v>
      </c>
      <c r="T12" s="23">
        <f t="shared" si="6"/>
        <v>32</v>
      </c>
      <c r="U12" s="23" t="s">
        <v>470</v>
      </c>
      <c r="V12" s="23">
        <f t="shared" si="7"/>
        <v>16</v>
      </c>
      <c r="W12" s="23">
        <f t="shared" si="11"/>
        <v>168</v>
      </c>
      <c r="X12" s="23">
        <v>131.17670000000001</v>
      </c>
      <c r="Y12" s="23">
        <v>84</v>
      </c>
      <c r="Z12" s="23">
        <v>0.3125</v>
      </c>
      <c r="AA12" s="23">
        <v>40</v>
      </c>
      <c r="AB12" s="23">
        <v>9</v>
      </c>
      <c r="AC12" s="23">
        <v>131.17670000000001</v>
      </c>
      <c r="AD12" s="23">
        <v>94.353300000000004</v>
      </c>
      <c r="AE12" s="23">
        <v>84</v>
      </c>
      <c r="AF12" s="23">
        <v>0.3125</v>
      </c>
      <c r="AG12" s="23">
        <v>45</v>
      </c>
      <c r="AH12" s="23">
        <v>8</v>
      </c>
      <c r="AI12" s="23">
        <v>0</v>
      </c>
      <c r="AJ12" s="23">
        <v>94.353300000000004</v>
      </c>
      <c r="AK12" s="23">
        <v>57.53</v>
      </c>
      <c r="AL12" s="23">
        <v>84</v>
      </c>
      <c r="AM12" s="23">
        <v>0.375</v>
      </c>
      <c r="AN12" s="23">
        <v>60</v>
      </c>
      <c r="AO12" s="23">
        <v>6</v>
      </c>
      <c r="AP12" s="23">
        <v>0</v>
      </c>
      <c r="AQ12" s="23">
        <v>57.53</v>
      </c>
      <c r="AR12" s="23">
        <v>47.048200000000001</v>
      </c>
      <c r="AS12" s="23">
        <v>23.9375</v>
      </c>
      <c r="AT12" s="23">
        <v>0.4375</v>
      </c>
      <c r="AU12" s="23">
        <v>90</v>
      </c>
      <c r="AV12" s="23">
        <v>4</v>
      </c>
      <c r="AW12" s="23"/>
      <c r="AX12" s="23">
        <v>47.048200000000001</v>
      </c>
      <c r="AY12" s="23">
        <v>42</v>
      </c>
      <c r="AZ12" s="23">
        <v>24.0625</v>
      </c>
      <c r="BA12" s="23">
        <v>0.4375</v>
      </c>
      <c r="BB12" s="23">
        <v>36</v>
      </c>
      <c r="BC12" s="23">
        <v>10</v>
      </c>
    </row>
    <row r="13" spans="1:55" x14ac:dyDescent="0.25">
      <c r="A13" s="22" t="s">
        <v>485</v>
      </c>
      <c r="B13" s="23">
        <v>125</v>
      </c>
      <c r="C13" s="23">
        <v>21</v>
      </c>
      <c r="D13" s="24">
        <v>22.333333333300001</v>
      </c>
      <c r="E13" s="24">
        <f t="shared" si="0"/>
        <v>26.183899999999994</v>
      </c>
      <c r="F13" s="24">
        <f t="shared" si="1"/>
        <v>0.30096436781609187</v>
      </c>
      <c r="G13" s="24">
        <f t="shared" si="2"/>
        <v>0.13793103448275862</v>
      </c>
      <c r="H13" s="24">
        <f t="shared" si="3"/>
        <v>3.6115724137931027</v>
      </c>
      <c r="I13" s="23" t="s">
        <v>469</v>
      </c>
      <c r="J13" s="23">
        <v>180</v>
      </c>
      <c r="K13" s="23">
        <f>C13*12</f>
        <v>252</v>
      </c>
      <c r="L13" s="23">
        <f>C13*12/2+7</f>
        <v>133</v>
      </c>
      <c r="M13" s="23">
        <f>L13-12</f>
        <v>121</v>
      </c>
      <c r="N13" s="23">
        <v>45</v>
      </c>
      <c r="O13" s="23">
        <v>0.9375</v>
      </c>
      <c r="P13" s="23">
        <v>8</v>
      </c>
      <c r="Q13" s="23">
        <v>16</v>
      </c>
      <c r="R13" s="23">
        <f t="shared" si="4"/>
        <v>11.25</v>
      </c>
      <c r="S13" s="23">
        <f t="shared" si="5"/>
        <v>16</v>
      </c>
      <c r="T13" s="23">
        <f t="shared" si="6"/>
        <v>32</v>
      </c>
      <c r="U13" s="23" t="s">
        <v>470</v>
      </c>
      <c r="V13" s="23">
        <f t="shared" si="7"/>
        <v>16</v>
      </c>
      <c r="W13" s="23">
        <f t="shared" si="11"/>
        <v>126</v>
      </c>
      <c r="X13" s="23">
        <v>99.816100000000006</v>
      </c>
      <c r="Y13" s="23">
        <v>87</v>
      </c>
      <c r="Z13" s="23">
        <v>0.3125</v>
      </c>
      <c r="AA13" s="23">
        <v>45</v>
      </c>
      <c r="AB13" s="23">
        <v>8</v>
      </c>
      <c r="AC13" s="23">
        <v>99.816100000000006</v>
      </c>
      <c r="AD13" s="23">
        <v>74.5351</v>
      </c>
      <c r="AE13" s="23">
        <v>84</v>
      </c>
      <c r="AF13" s="23">
        <v>0.3125</v>
      </c>
      <c r="AG13" s="23">
        <v>60</v>
      </c>
      <c r="AH13" s="23">
        <v>6</v>
      </c>
      <c r="AI13" s="23">
        <v>0</v>
      </c>
      <c r="AJ13" s="23">
        <v>74.5351</v>
      </c>
      <c r="AK13" s="23">
        <v>50.545699999999997</v>
      </c>
      <c r="AL13" s="23">
        <v>79.6875</v>
      </c>
      <c r="AM13" s="23">
        <v>0.375</v>
      </c>
      <c r="AN13" s="23">
        <v>90</v>
      </c>
      <c r="AO13" s="23">
        <v>4</v>
      </c>
      <c r="AP13" s="23">
        <v>60</v>
      </c>
      <c r="AQ13" s="23">
        <v>50.545699999999997</v>
      </c>
      <c r="AR13" s="23">
        <v>48</v>
      </c>
      <c r="AS13" s="23">
        <v>17.3125</v>
      </c>
      <c r="AT13" s="23">
        <v>0.4375</v>
      </c>
      <c r="AU13" s="23">
        <v>36</v>
      </c>
      <c r="AV13" s="23">
        <v>10</v>
      </c>
      <c r="AW13" s="23" t="s">
        <v>470</v>
      </c>
      <c r="AX13" s="23" t="s">
        <v>470</v>
      </c>
      <c r="AY13" s="23" t="s">
        <v>470</v>
      </c>
      <c r="AZ13" s="23" t="s">
        <v>470</v>
      </c>
      <c r="BA13" s="23" t="s">
        <v>470</v>
      </c>
      <c r="BB13" s="23" t="s">
        <v>470</v>
      </c>
      <c r="BC13" s="23" t="s">
        <v>470</v>
      </c>
    </row>
    <row r="14" spans="1:55" s="36" customFormat="1" x14ac:dyDescent="0.25">
      <c r="A14" s="4" t="s">
        <v>487</v>
      </c>
      <c r="B14" s="5">
        <v>125</v>
      </c>
      <c r="C14" s="5">
        <v>23</v>
      </c>
      <c r="D14" s="6">
        <v>22.333333333300001</v>
      </c>
      <c r="E14" s="6">
        <f t="shared" si="0"/>
        <v>30.369</v>
      </c>
      <c r="F14" s="6">
        <f t="shared" si="1"/>
        <v>0.34906896551724137</v>
      </c>
      <c r="G14" s="6">
        <f t="shared" si="2"/>
        <v>0.13793103448275862</v>
      </c>
      <c r="H14" s="6">
        <f t="shared" si="3"/>
        <v>4.1888275862068962</v>
      </c>
      <c r="I14" s="5" t="s">
        <v>469</v>
      </c>
      <c r="J14" s="5">
        <v>180</v>
      </c>
      <c r="K14" s="5">
        <f t="shared" si="8"/>
        <v>276</v>
      </c>
      <c r="L14" s="5">
        <f t="shared" si="9"/>
        <v>145</v>
      </c>
      <c r="M14" s="5">
        <f t="shared" si="10"/>
        <v>133</v>
      </c>
      <c r="N14" s="5">
        <v>45</v>
      </c>
      <c r="O14" s="5">
        <v>0.9375</v>
      </c>
      <c r="P14" s="5">
        <v>8</v>
      </c>
      <c r="Q14" s="5">
        <v>16</v>
      </c>
      <c r="R14" s="23">
        <f t="shared" si="4"/>
        <v>11.25</v>
      </c>
      <c r="S14" s="23">
        <f t="shared" si="5"/>
        <v>16</v>
      </c>
      <c r="T14" s="23">
        <f t="shared" si="6"/>
        <v>32</v>
      </c>
      <c r="U14" s="5" t="s">
        <v>470</v>
      </c>
      <c r="V14" s="23">
        <f t="shared" si="7"/>
        <v>16</v>
      </c>
      <c r="W14" s="5">
        <f t="shared" si="11"/>
        <v>138</v>
      </c>
      <c r="X14" s="5">
        <v>107.631</v>
      </c>
      <c r="Y14" s="5">
        <v>87</v>
      </c>
      <c r="Z14" s="5">
        <v>0.375</v>
      </c>
      <c r="AA14" s="5">
        <v>45</v>
      </c>
      <c r="AB14" s="5">
        <v>8</v>
      </c>
      <c r="AC14" s="5">
        <v>107.631</v>
      </c>
      <c r="AD14" s="5">
        <v>78.309200000000004</v>
      </c>
      <c r="AE14" s="5">
        <v>84</v>
      </c>
      <c r="AF14" s="5">
        <v>0.375</v>
      </c>
      <c r="AG14" s="5">
        <v>60</v>
      </c>
      <c r="AH14" s="5">
        <v>6</v>
      </c>
      <c r="AI14" s="5">
        <v>0</v>
      </c>
      <c r="AJ14" s="5">
        <v>78.309200000000004</v>
      </c>
      <c r="AK14" s="5">
        <v>51.34375</v>
      </c>
      <c r="AL14" s="5">
        <v>77.25</v>
      </c>
      <c r="AM14" s="5">
        <v>0.5</v>
      </c>
      <c r="AN14" s="5">
        <v>90</v>
      </c>
      <c r="AO14" s="5">
        <v>4</v>
      </c>
      <c r="AP14" s="5">
        <v>60</v>
      </c>
      <c r="AQ14" s="5">
        <v>51.34375</v>
      </c>
      <c r="AR14" s="5">
        <v>48</v>
      </c>
      <c r="AS14" s="5">
        <v>19.75</v>
      </c>
      <c r="AT14" s="5">
        <v>0.5</v>
      </c>
      <c r="AU14" s="5">
        <v>36</v>
      </c>
      <c r="AV14" s="5">
        <v>10</v>
      </c>
      <c r="AW14" s="5" t="s">
        <v>470</v>
      </c>
      <c r="AX14" s="5" t="s">
        <v>470</v>
      </c>
      <c r="AY14" s="5" t="s">
        <v>470</v>
      </c>
      <c r="AZ14" s="5" t="s">
        <v>470</v>
      </c>
      <c r="BA14" s="5" t="s">
        <v>470</v>
      </c>
      <c r="BB14" s="5" t="s">
        <v>470</v>
      </c>
      <c r="BC14" s="5" t="s">
        <v>470</v>
      </c>
    </row>
    <row r="15" spans="1:55" x14ac:dyDescent="0.25">
      <c r="A15" s="22" t="s">
        <v>488</v>
      </c>
      <c r="B15" s="23">
        <v>125</v>
      </c>
      <c r="C15" s="23">
        <v>28</v>
      </c>
      <c r="D15" s="24">
        <v>25</v>
      </c>
      <c r="E15" s="24">
        <f t="shared" si="0"/>
        <v>34.999200000000002</v>
      </c>
      <c r="F15" s="24">
        <f t="shared" si="1"/>
        <v>0.41665714285714289</v>
      </c>
      <c r="G15" s="24">
        <f t="shared" si="2"/>
        <v>0.14285714285714285</v>
      </c>
      <c r="H15" s="24">
        <f t="shared" si="3"/>
        <v>4.999885714285714</v>
      </c>
      <c r="I15" s="23" t="s">
        <v>469</v>
      </c>
      <c r="J15" s="23">
        <v>180</v>
      </c>
      <c r="K15" s="23">
        <f t="shared" si="8"/>
        <v>336</v>
      </c>
      <c r="L15" s="23">
        <f t="shared" si="9"/>
        <v>175</v>
      </c>
      <c r="M15" s="23">
        <f t="shared" si="10"/>
        <v>163</v>
      </c>
      <c r="N15" s="23">
        <v>40</v>
      </c>
      <c r="O15" s="23">
        <v>0.875</v>
      </c>
      <c r="P15" s="23">
        <v>9</v>
      </c>
      <c r="Q15" s="23">
        <v>20</v>
      </c>
      <c r="R15" s="23">
        <f t="shared" si="4"/>
        <v>9</v>
      </c>
      <c r="S15" s="23">
        <f t="shared" si="5"/>
        <v>20</v>
      </c>
      <c r="T15" s="23">
        <f t="shared" si="6"/>
        <v>40</v>
      </c>
      <c r="U15" s="23" t="s">
        <v>470</v>
      </c>
      <c r="V15" s="23">
        <f t="shared" si="7"/>
        <v>20</v>
      </c>
      <c r="W15" s="23">
        <f t="shared" si="11"/>
        <v>168</v>
      </c>
      <c r="X15" s="23">
        <v>133.0008</v>
      </c>
      <c r="Y15" s="23">
        <v>84</v>
      </c>
      <c r="Z15" s="23">
        <v>0.4375</v>
      </c>
      <c r="AA15" s="23">
        <v>40</v>
      </c>
      <c r="AB15" s="23">
        <v>9</v>
      </c>
      <c r="AC15" s="23">
        <v>133.0008</v>
      </c>
      <c r="AD15" s="23">
        <v>98.001599999999996</v>
      </c>
      <c r="AE15" s="23">
        <v>84</v>
      </c>
      <c r="AF15" s="23">
        <v>0.4375</v>
      </c>
      <c r="AG15" s="23">
        <v>45</v>
      </c>
      <c r="AH15" s="23">
        <v>8</v>
      </c>
      <c r="AI15" s="23">
        <v>0</v>
      </c>
      <c r="AJ15" s="23">
        <v>98.001599999999996</v>
      </c>
      <c r="AK15" s="23">
        <v>63.002499999999998</v>
      </c>
      <c r="AL15" s="23">
        <v>84</v>
      </c>
      <c r="AM15" s="23">
        <v>0.5625</v>
      </c>
      <c r="AN15" s="23">
        <v>60</v>
      </c>
      <c r="AO15" s="23">
        <v>6</v>
      </c>
      <c r="AP15" s="23">
        <v>0</v>
      </c>
      <c r="AQ15" s="23">
        <v>63.002499999999998</v>
      </c>
      <c r="AR15" s="23">
        <v>52.615400000000001</v>
      </c>
      <c r="AS15" s="23">
        <v>24.9375</v>
      </c>
      <c r="AT15" s="23">
        <v>0.6875</v>
      </c>
      <c r="AU15" s="23">
        <v>90</v>
      </c>
      <c r="AV15" s="23">
        <v>4</v>
      </c>
      <c r="AW15" s="23">
        <v>60</v>
      </c>
      <c r="AX15" s="23">
        <v>52.615400000000001</v>
      </c>
      <c r="AY15" s="23">
        <v>48</v>
      </c>
      <c r="AZ15" s="23">
        <v>23.0625</v>
      </c>
      <c r="BA15" s="23">
        <v>0.6875</v>
      </c>
      <c r="BB15" s="23">
        <v>36</v>
      </c>
      <c r="BC15" s="23">
        <v>10</v>
      </c>
    </row>
    <row r="16" spans="1:55" x14ac:dyDescent="0.25">
      <c r="A16" s="22" t="s">
        <v>489</v>
      </c>
      <c r="B16" s="23">
        <v>150</v>
      </c>
      <c r="C16" s="23">
        <v>21</v>
      </c>
      <c r="D16" s="24">
        <v>22.333333333300001</v>
      </c>
      <c r="E16" s="24">
        <f t="shared" si="0"/>
        <v>26.183899999999994</v>
      </c>
      <c r="F16" s="24">
        <f t="shared" si="1"/>
        <v>0.30096436781609187</v>
      </c>
      <c r="G16" s="24">
        <f t="shared" si="2"/>
        <v>0.13793103448275862</v>
      </c>
      <c r="H16" s="24">
        <f t="shared" si="3"/>
        <v>3.6115724137931027</v>
      </c>
      <c r="I16" s="23" t="s">
        <v>469</v>
      </c>
      <c r="J16" s="23">
        <v>180</v>
      </c>
      <c r="K16" s="23">
        <f>C16*12</f>
        <v>252</v>
      </c>
      <c r="L16" s="23">
        <f>C16*12/2+7</f>
        <v>133</v>
      </c>
      <c r="M16" s="23">
        <f>L16-12</f>
        <v>121</v>
      </c>
      <c r="N16" s="23">
        <v>45</v>
      </c>
      <c r="O16" s="23">
        <v>1</v>
      </c>
      <c r="P16" s="23">
        <v>8</v>
      </c>
      <c r="Q16" s="23">
        <v>12</v>
      </c>
      <c r="R16" s="23">
        <f t="shared" si="4"/>
        <v>15</v>
      </c>
      <c r="S16" s="23">
        <f t="shared" si="5"/>
        <v>12</v>
      </c>
      <c r="T16" s="23">
        <f t="shared" si="6"/>
        <v>24</v>
      </c>
      <c r="U16" s="23" t="s">
        <v>470</v>
      </c>
      <c r="V16" s="23">
        <f t="shared" si="7"/>
        <v>12</v>
      </c>
      <c r="W16" s="23">
        <f t="shared" si="11"/>
        <v>126</v>
      </c>
      <c r="X16" s="23">
        <v>99.816100000000006</v>
      </c>
      <c r="Y16" s="23">
        <v>87</v>
      </c>
      <c r="Z16" s="23">
        <v>0.375</v>
      </c>
      <c r="AA16" s="23">
        <v>45</v>
      </c>
      <c r="AB16" s="23">
        <v>8</v>
      </c>
      <c r="AC16" s="23">
        <v>99.816100000000006</v>
      </c>
      <c r="AD16" s="23">
        <v>74.5351</v>
      </c>
      <c r="AE16" s="23">
        <v>84</v>
      </c>
      <c r="AF16" s="23">
        <v>0.375</v>
      </c>
      <c r="AG16" s="23">
        <v>60</v>
      </c>
      <c r="AH16" s="23">
        <v>6</v>
      </c>
      <c r="AI16" s="23">
        <v>0</v>
      </c>
      <c r="AJ16" s="23">
        <v>74.5351</v>
      </c>
      <c r="AK16" s="23">
        <v>50.545699999999997</v>
      </c>
      <c r="AL16" s="23">
        <v>79.6875</v>
      </c>
      <c r="AM16" s="23">
        <v>0.5</v>
      </c>
      <c r="AN16" s="23">
        <v>90</v>
      </c>
      <c r="AO16" s="23">
        <v>4</v>
      </c>
      <c r="AP16" s="23"/>
      <c r="AQ16" s="23">
        <v>50.545699999999997</v>
      </c>
      <c r="AR16" s="23">
        <v>48</v>
      </c>
      <c r="AS16" s="23">
        <v>19.75</v>
      </c>
      <c r="AT16" s="23">
        <v>0.5</v>
      </c>
      <c r="AU16" s="23">
        <v>36</v>
      </c>
      <c r="AV16" s="23">
        <v>10</v>
      </c>
      <c r="AW16" s="23" t="s">
        <v>470</v>
      </c>
      <c r="AX16" s="23" t="s">
        <v>470</v>
      </c>
      <c r="AY16" s="23" t="s">
        <v>470</v>
      </c>
      <c r="AZ16" s="23" t="s">
        <v>470</v>
      </c>
      <c r="BA16" s="23" t="s">
        <v>470</v>
      </c>
      <c r="BB16" s="23" t="s">
        <v>470</v>
      </c>
      <c r="BC16" s="23" t="s">
        <v>470</v>
      </c>
    </row>
    <row r="17" spans="1:55" x14ac:dyDescent="0.25">
      <c r="A17" s="22" t="s">
        <v>490</v>
      </c>
      <c r="B17" s="23">
        <v>150</v>
      </c>
      <c r="C17" s="23">
        <v>23</v>
      </c>
      <c r="D17" s="24">
        <v>22.333333333300001</v>
      </c>
      <c r="E17" s="24">
        <f t="shared" si="0"/>
        <v>30.369</v>
      </c>
      <c r="F17" s="24">
        <f t="shared" si="1"/>
        <v>0.34906896551724137</v>
      </c>
      <c r="G17" s="24">
        <f t="shared" si="2"/>
        <v>0.13793103448275862</v>
      </c>
      <c r="H17" s="24">
        <f t="shared" si="3"/>
        <v>4.1888275862068962</v>
      </c>
      <c r="I17" s="23" t="s">
        <v>469</v>
      </c>
      <c r="J17" s="23">
        <v>180</v>
      </c>
      <c r="K17" s="23">
        <f t="shared" si="8"/>
        <v>276</v>
      </c>
      <c r="L17" s="23">
        <f t="shared" si="9"/>
        <v>145</v>
      </c>
      <c r="M17" s="23">
        <f t="shared" si="10"/>
        <v>133</v>
      </c>
      <c r="N17" s="23">
        <v>45</v>
      </c>
      <c r="O17" s="23">
        <v>1</v>
      </c>
      <c r="P17" s="23">
        <v>8</v>
      </c>
      <c r="Q17" s="23">
        <v>12</v>
      </c>
      <c r="R17" s="23">
        <f t="shared" si="4"/>
        <v>15</v>
      </c>
      <c r="S17" s="23">
        <f t="shared" si="5"/>
        <v>12</v>
      </c>
      <c r="T17" s="23">
        <f t="shared" si="6"/>
        <v>24</v>
      </c>
      <c r="U17" s="23" t="s">
        <v>470</v>
      </c>
      <c r="V17" s="23">
        <f t="shared" si="7"/>
        <v>12</v>
      </c>
      <c r="W17" s="23">
        <f t="shared" si="11"/>
        <v>138</v>
      </c>
      <c r="X17" s="23">
        <v>107.631</v>
      </c>
      <c r="Y17" s="23">
        <v>87</v>
      </c>
      <c r="Z17" s="23">
        <v>0.4375</v>
      </c>
      <c r="AA17" s="23">
        <v>45</v>
      </c>
      <c r="AB17" s="23">
        <v>8</v>
      </c>
      <c r="AC17" s="23">
        <v>107.631</v>
      </c>
      <c r="AD17" s="23">
        <v>78.309200000000004</v>
      </c>
      <c r="AE17" s="23">
        <v>84</v>
      </c>
      <c r="AF17" s="23">
        <v>0.4375</v>
      </c>
      <c r="AG17" s="23">
        <v>60</v>
      </c>
      <c r="AH17" s="23">
        <v>6</v>
      </c>
      <c r="AI17" s="23">
        <v>0</v>
      </c>
      <c r="AJ17" s="23">
        <v>78.309200000000004</v>
      </c>
      <c r="AK17" s="23">
        <v>51.34375</v>
      </c>
      <c r="AL17" s="23">
        <v>77.25</v>
      </c>
      <c r="AM17" s="23">
        <v>0.5</v>
      </c>
      <c r="AN17" s="23">
        <v>90</v>
      </c>
      <c r="AO17" s="23">
        <v>4</v>
      </c>
      <c r="AP17" s="23"/>
      <c r="AQ17" s="23">
        <v>51.34375</v>
      </c>
      <c r="AR17" s="23">
        <v>48</v>
      </c>
      <c r="AS17" s="23">
        <v>19.75</v>
      </c>
      <c r="AT17" s="23">
        <v>0.5625</v>
      </c>
      <c r="AU17" s="23">
        <v>36</v>
      </c>
      <c r="AV17" s="23">
        <v>10</v>
      </c>
      <c r="AW17" s="23" t="s">
        <v>470</v>
      </c>
      <c r="AX17" s="23" t="s">
        <v>470</v>
      </c>
      <c r="AY17" s="23" t="s">
        <v>470</v>
      </c>
      <c r="AZ17" s="23" t="s">
        <v>470</v>
      </c>
      <c r="BA17" s="23" t="s">
        <v>470</v>
      </c>
      <c r="BB17" s="23" t="s">
        <v>470</v>
      </c>
      <c r="BC17" s="23" t="s">
        <v>470</v>
      </c>
    </row>
    <row r="18" spans="1:55" x14ac:dyDescent="0.25">
      <c r="A18" s="22" t="s">
        <v>491</v>
      </c>
      <c r="B18" s="23">
        <v>150</v>
      </c>
      <c r="C18" s="23">
        <v>25</v>
      </c>
      <c r="D18" s="24">
        <v>25</v>
      </c>
      <c r="E18" s="24">
        <f t="shared" si="0"/>
        <v>29.570599999999999</v>
      </c>
      <c r="F18" s="24">
        <f t="shared" si="1"/>
        <v>0.35203095238095239</v>
      </c>
      <c r="G18" s="24">
        <f t="shared" si="2"/>
        <v>0.14285714285714285</v>
      </c>
      <c r="H18" s="24">
        <f t="shared" si="3"/>
        <v>4.2243714285714278</v>
      </c>
      <c r="I18" s="23" t="s">
        <v>469</v>
      </c>
      <c r="J18" s="23">
        <v>180</v>
      </c>
      <c r="K18" s="23">
        <f t="shared" si="8"/>
        <v>300</v>
      </c>
      <c r="L18" s="23">
        <f t="shared" si="9"/>
        <v>157</v>
      </c>
      <c r="M18" s="23">
        <f t="shared" si="10"/>
        <v>145</v>
      </c>
      <c r="N18" s="23">
        <v>40</v>
      </c>
      <c r="O18" s="23">
        <v>1</v>
      </c>
      <c r="P18" s="23">
        <v>9</v>
      </c>
      <c r="Q18" s="23">
        <v>20</v>
      </c>
      <c r="R18" s="23">
        <f t="shared" si="4"/>
        <v>9</v>
      </c>
      <c r="S18" s="23">
        <f t="shared" si="5"/>
        <v>20</v>
      </c>
      <c r="T18" s="23">
        <f t="shared" si="6"/>
        <v>40</v>
      </c>
      <c r="U18" s="23" t="s">
        <v>470</v>
      </c>
      <c r="V18" s="23">
        <f t="shared" si="7"/>
        <v>20</v>
      </c>
      <c r="W18" s="23">
        <f t="shared" si="11"/>
        <v>150</v>
      </c>
      <c r="X18" s="23">
        <v>120.4294</v>
      </c>
      <c r="Y18" s="23">
        <v>84</v>
      </c>
      <c r="Z18" s="23">
        <v>0.4375</v>
      </c>
      <c r="AA18" s="23">
        <v>40</v>
      </c>
      <c r="AB18" s="23">
        <v>9</v>
      </c>
      <c r="AC18" s="23">
        <v>120.4294</v>
      </c>
      <c r="AD18" s="23">
        <v>90.858800000000002</v>
      </c>
      <c r="AE18" s="23">
        <v>84</v>
      </c>
      <c r="AF18" s="23">
        <v>0.4375</v>
      </c>
      <c r="AG18" s="23">
        <v>60</v>
      </c>
      <c r="AH18" s="23">
        <v>6</v>
      </c>
      <c r="AI18" s="23">
        <v>0</v>
      </c>
      <c r="AJ18" s="23">
        <v>90.858800000000002</v>
      </c>
      <c r="AK18" s="23">
        <v>61.2883</v>
      </c>
      <c r="AL18" s="23">
        <v>84</v>
      </c>
      <c r="AM18" s="23">
        <v>0.5625</v>
      </c>
      <c r="AN18" s="23">
        <v>60</v>
      </c>
      <c r="AO18" s="23">
        <v>6</v>
      </c>
      <c r="AP18" s="23">
        <v>0</v>
      </c>
      <c r="AQ18" s="23">
        <v>61.2883</v>
      </c>
      <c r="AR18" s="23">
        <v>51.40625</v>
      </c>
      <c r="AS18" s="23">
        <v>28.0625</v>
      </c>
      <c r="AT18" s="23">
        <v>0.625</v>
      </c>
      <c r="AU18" s="23">
        <v>90</v>
      </c>
      <c r="AV18" s="23">
        <v>4</v>
      </c>
      <c r="AW18" s="23">
        <v>60</v>
      </c>
      <c r="AX18" s="23">
        <v>51.40625</v>
      </c>
      <c r="AY18" s="23">
        <v>48</v>
      </c>
      <c r="AZ18" s="23">
        <v>19.9375</v>
      </c>
      <c r="BA18" s="23">
        <v>0.625</v>
      </c>
      <c r="BB18" s="23">
        <v>36</v>
      </c>
      <c r="BC18" s="23">
        <v>10</v>
      </c>
    </row>
    <row r="19" spans="1:55" x14ac:dyDescent="0.25">
      <c r="A19" s="22" t="s">
        <v>493</v>
      </c>
      <c r="B19" s="23">
        <v>150</v>
      </c>
      <c r="C19" s="23">
        <v>28</v>
      </c>
      <c r="D19" s="24">
        <v>25</v>
      </c>
      <c r="E19" s="24">
        <f t="shared" si="0"/>
        <v>34.999200000000002</v>
      </c>
      <c r="F19" s="24">
        <f t="shared" si="1"/>
        <v>0.41665714285714289</v>
      </c>
      <c r="G19" s="24">
        <f t="shared" si="2"/>
        <v>0.14285714285714285</v>
      </c>
      <c r="H19" s="24">
        <f t="shared" si="3"/>
        <v>4.999885714285714</v>
      </c>
      <c r="I19" s="23" t="s">
        <v>469</v>
      </c>
      <c r="J19" s="23">
        <v>180</v>
      </c>
      <c r="K19" s="23">
        <f t="shared" si="8"/>
        <v>336</v>
      </c>
      <c r="L19" s="23">
        <f t="shared" si="9"/>
        <v>175</v>
      </c>
      <c r="M19" s="23">
        <f t="shared" si="10"/>
        <v>163</v>
      </c>
      <c r="N19" s="23">
        <v>40</v>
      </c>
      <c r="O19" s="23">
        <v>1</v>
      </c>
      <c r="P19" s="23">
        <v>9</v>
      </c>
      <c r="Q19" s="23">
        <v>12</v>
      </c>
      <c r="R19" s="23">
        <f t="shared" si="4"/>
        <v>15</v>
      </c>
      <c r="S19" s="23">
        <f t="shared" si="5"/>
        <v>12</v>
      </c>
      <c r="T19" s="23">
        <f t="shared" si="6"/>
        <v>24</v>
      </c>
      <c r="U19" s="23" t="s">
        <v>470</v>
      </c>
      <c r="V19" s="23">
        <f t="shared" si="7"/>
        <v>12</v>
      </c>
      <c r="W19" s="23">
        <f t="shared" si="11"/>
        <v>168</v>
      </c>
      <c r="X19" s="23">
        <v>133.0008</v>
      </c>
      <c r="Y19" s="23">
        <v>84</v>
      </c>
      <c r="Z19" s="23">
        <v>0.375</v>
      </c>
      <c r="AA19" s="23">
        <v>40</v>
      </c>
      <c r="AB19" s="23">
        <v>9</v>
      </c>
      <c r="AC19" s="23">
        <v>133.0008</v>
      </c>
      <c r="AD19" s="23">
        <v>98.001599999999996</v>
      </c>
      <c r="AE19" s="23">
        <v>84</v>
      </c>
      <c r="AF19" s="23">
        <v>0.375</v>
      </c>
      <c r="AG19" s="23">
        <v>45</v>
      </c>
      <c r="AH19" s="23">
        <v>8</v>
      </c>
      <c r="AI19" s="23">
        <v>0</v>
      </c>
      <c r="AJ19" s="23">
        <v>98.001599999999996</v>
      </c>
      <c r="AK19" s="23">
        <v>63.002499999999998</v>
      </c>
      <c r="AL19" s="23">
        <v>84</v>
      </c>
      <c r="AM19" s="23">
        <v>0.5</v>
      </c>
      <c r="AN19" s="23">
        <v>60</v>
      </c>
      <c r="AO19" s="23">
        <v>6</v>
      </c>
      <c r="AP19" s="23">
        <v>0</v>
      </c>
      <c r="AQ19" s="23">
        <v>63.002499999999998</v>
      </c>
      <c r="AR19" s="23">
        <v>52.615400000000001</v>
      </c>
      <c r="AS19" s="23">
        <v>24.9375</v>
      </c>
      <c r="AT19" s="23">
        <v>0.5625</v>
      </c>
      <c r="AU19" s="23">
        <v>90</v>
      </c>
      <c r="AV19" s="23">
        <v>4</v>
      </c>
      <c r="AW19" s="23"/>
      <c r="AX19" s="23">
        <v>52.615400000000001</v>
      </c>
      <c r="AY19" s="23">
        <v>48</v>
      </c>
      <c r="AZ19" s="23">
        <v>23.0625</v>
      </c>
      <c r="BA19" s="23">
        <v>0.5625</v>
      </c>
      <c r="BB19" s="23">
        <v>36</v>
      </c>
      <c r="BC19" s="23">
        <v>10</v>
      </c>
    </row>
    <row r="20" spans="1:55" x14ac:dyDescent="0.25">
      <c r="A20" s="22" t="s">
        <v>494</v>
      </c>
      <c r="B20" s="23">
        <v>200</v>
      </c>
      <c r="C20" s="23">
        <v>21</v>
      </c>
      <c r="D20" s="24">
        <v>22.333333333300001</v>
      </c>
      <c r="E20" s="24">
        <f t="shared" si="0"/>
        <v>26.1875</v>
      </c>
      <c r="F20" s="24">
        <f t="shared" si="1"/>
        <v>0.3010057471264368</v>
      </c>
      <c r="G20" s="24">
        <f t="shared" si="2"/>
        <v>0.13793103448275862</v>
      </c>
      <c r="H20" s="24">
        <f t="shared" si="3"/>
        <v>3.6120689655172415</v>
      </c>
      <c r="I20" s="23" t="s">
        <v>469</v>
      </c>
      <c r="J20" s="23">
        <v>180</v>
      </c>
      <c r="K20" s="23">
        <f t="shared" si="8"/>
        <v>252</v>
      </c>
      <c r="L20" s="23">
        <f t="shared" si="9"/>
        <v>133</v>
      </c>
      <c r="M20" s="23">
        <f t="shared" si="10"/>
        <v>121</v>
      </c>
      <c r="N20" s="23">
        <v>45</v>
      </c>
      <c r="O20" s="23">
        <v>0.875</v>
      </c>
      <c r="P20" s="23">
        <v>8</v>
      </c>
      <c r="Q20" s="23">
        <v>12</v>
      </c>
      <c r="R20" s="23">
        <f t="shared" si="4"/>
        <v>15</v>
      </c>
      <c r="S20" s="23">
        <f t="shared" si="5"/>
        <v>12</v>
      </c>
      <c r="T20" s="23">
        <f t="shared" si="6"/>
        <v>24</v>
      </c>
      <c r="U20" s="23" t="s">
        <v>470</v>
      </c>
      <c r="V20" s="23">
        <f t="shared" si="7"/>
        <v>12</v>
      </c>
      <c r="W20" s="23">
        <f t="shared" si="11"/>
        <v>126</v>
      </c>
      <c r="X20" s="23">
        <v>99.8125</v>
      </c>
      <c r="Y20" s="23">
        <v>87</v>
      </c>
      <c r="Z20" s="23">
        <v>0.375</v>
      </c>
      <c r="AA20" s="23">
        <v>45</v>
      </c>
      <c r="AB20" s="23">
        <v>8</v>
      </c>
      <c r="AC20" s="23">
        <v>99.8125</v>
      </c>
      <c r="AD20" s="23">
        <v>74.515600000000006</v>
      </c>
      <c r="AE20" s="23">
        <v>84</v>
      </c>
      <c r="AF20" s="23">
        <v>0.4375</v>
      </c>
      <c r="AG20" s="23">
        <v>60</v>
      </c>
      <c r="AH20" s="23">
        <v>6</v>
      </c>
      <c r="AI20" s="23">
        <v>0</v>
      </c>
      <c r="AJ20" s="23">
        <v>74.515600000000006</v>
      </c>
      <c r="AK20" s="23">
        <v>50.53125</v>
      </c>
      <c r="AL20" s="23">
        <v>79.6875</v>
      </c>
      <c r="AM20" s="23">
        <v>0.5625</v>
      </c>
      <c r="AN20" s="23">
        <v>90</v>
      </c>
      <c r="AO20" s="23">
        <v>4</v>
      </c>
      <c r="AP20" s="23"/>
      <c r="AQ20" s="23">
        <v>50.53125</v>
      </c>
      <c r="AR20" s="23">
        <v>48</v>
      </c>
      <c r="AS20" s="23">
        <v>17.3125</v>
      </c>
      <c r="AT20" s="23">
        <v>0.5625</v>
      </c>
      <c r="AU20" s="23">
        <v>36</v>
      </c>
      <c r="AV20" s="23">
        <v>10</v>
      </c>
      <c r="AW20" s="23" t="s">
        <v>470</v>
      </c>
      <c r="AX20" s="23" t="s">
        <v>470</v>
      </c>
      <c r="AY20" s="23" t="s">
        <v>470</v>
      </c>
      <c r="AZ20" s="23" t="s">
        <v>470</v>
      </c>
      <c r="BA20" s="23" t="s">
        <v>470</v>
      </c>
      <c r="BB20" s="23" t="s">
        <v>470</v>
      </c>
      <c r="BC20" s="23" t="s">
        <v>470</v>
      </c>
    </row>
    <row r="21" spans="1:55" x14ac:dyDescent="0.25">
      <c r="A21" s="22" t="s">
        <v>498</v>
      </c>
      <c r="B21" s="23">
        <v>200</v>
      </c>
      <c r="C21" s="23">
        <v>25</v>
      </c>
      <c r="D21" s="24">
        <v>25</v>
      </c>
      <c r="E21" s="24">
        <f t="shared" si="0"/>
        <v>29.570599999999999</v>
      </c>
      <c r="F21" s="24">
        <f t="shared" si="1"/>
        <v>0.35203095238095239</v>
      </c>
      <c r="G21" s="24">
        <f t="shared" si="2"/>
        <v>0.14285714285714285</v>
      </c>
      <c r="H21" s="24">
        <f t="shared" si="3"/>
        <v>4.2243714285714278</v>
      </c>
      <c r="I21" s="23" t="s">
        <v>469</v>
      </c>
      <c r="J21" s="23">
        <v>180</v>
      </c>
      <c r="K21" s="23">
        <f t="shared" si="8"/>
        <v>300</v>
      </c>
      <c r="L21" s="23">
        <f t="shared" si="9"/>
        <v>157</v>
      </c>
      <c r="M21" s="23">
        <f t="shared" si="10"/>
        <v>145</v>
      </c>
      <c r="N21" s="23">
        <v>40</v>
      </c>
      <c r="O21" s="23">
        <v>1.125</v>
      </c>
      <c r="P21" s="23">
        <v>9</v>
      </c>
      <c r="Q21" s="23">
        <v>20</v>
      </c>
      <c r="R21" s="23">
        <f t="shared" si="4"/>
        <v>9</v>
      </c>
      <c r="S21" s="23">
        <f t="shared" si="5"/>
        <v>20</v>
      </c>
      <c r="T21" s="23">
        <f t="shared" si="6"/>
        <v>40</v>
      </c>
      <c r="U21" s="23" t="s">
        <v>470</v>
      </c>
      <c r="V21" s="23">
        <f t="shared" si="7"/>
        <v>20</v>
      </c>
      <c r="W21" s="23">
        <f t="shared" si="11"/>
        <v>150</v>
      </c>
      <c r="X21" s="23">
        <v>120.4294</v>
      </c>
      <c r="Y21" s="23">
        <v>84</v>
      </c>
      <c r="Z21" s="23">
        <v>0.5</v>
      </c>
      <c r="AA21" s="23">
        <v>40</v>
      </c>
      <c r="AB21" s="23">
        <v>9</v>
      </c>
      <c r="AC21" s="23">
        <v>120.4294</v>
      </c>
      <c r="AD21" s="23">
        <v>90.858800000000002</v>
      </c>
      <c r="AE21" s="23">
        <v>84</v>
      </c>
      <c r="AF21" s="23">
        <v>0.5625</v>
      </c>
      <c r="AG21" s="23">
        <v>60</v>
      </c>
      <c r="AH21" s="23">
        <v>6</v>
      </c>
      <c r="AI21" s="23">
        <v>0</v>
      </c>
      <c r="AJ21" s="23">
        <v>90.858800000000002</v>
      </c>
      <c r="AK21" s="23">
        <v>61.2883</v>
      </c>
      <c r="AL21" s="23">
        <v>84</v>
      </c>
      <c r="AM21" s="23">
        <v>0.75</v>
      </c>
      <c r="AN21" s="23">
        <v>60</v>
      </c>
      <c r="AO21" s="23">
        <v>6</v>
      </c>
      <c r="AP21" s="23">
        <v>0</v>
      </c>
      <c r="AQ21" s="23">
        <v>61.2883</v>
      </c>
      <c r="AR21" s="23">
        <v>51.40625</v>
      </c>
      <c r="AS21" s="23">
        <v>28.0625</v>
      </c>
      <c r="AT21" s="23">
        <v>0.875</v>
      </c>
      <c r="AU21" s="23">
        <v>90</v>
      </c>
      <c r="AV21" s="23">
        <v>4</v>
      </c>
      <c r="AW21" s="23">
        <v>60</v>
      </c>
      <c r="AX21" s="23">
        <v>51.40625</v>
      </c>
      <c r="AY21" s="23">
        <v>48</v>
      </c>
      <c r="AZ21" s="23">
        <v>19.9375</v>
      </c>
      <c r="BA21" s="23">
        <v>0.875</v>
      </c>
      <c r="BB21" s="23">
        <v>36</v>
      </c>
      <c r="BC21" s="23">
        <v>10</v>
      </c>
    </row>
    <row r="22" spans="1:55" x14ac:dyDescent="0.25">
      <c r="A22" s="22" t="s">
        <v>499</v>
      </c>
      <c r="B22" s="23">
        <v>200</v>
      </c>
      <c r="C22" s="23">
        <v>28</v>
      </c>
      <c r="D22" s="24">
        <v>25</v>
      </c>
      <c r="E22" s="24">
        <f t="shared" si="0"/>
        <v>34.999200000000002</v>
      </c>
      <c r="F22" s="24">
        <f t="shared" si="1"/>
        <v>0.41665714285714289</v>
      </c>
      <c r="G22" s="24">
        <f t="shared" si="2"/>
        <v>0.14285714285714285</v>
      </c>
      <c r="H22" s="24">
        <f t="shared" si="3"/>
        <v>4.999885714285714</v>
      </c>
      <c r="I22" s="23" t="s">
        <v>469</v>
      </c>
      <c r="J22" s="23">
        <v>180</v>
      </c>
      <c r="K22" s="23">
        <f t="shared" si="8"/>
        <v>336</v>
      </c>
      <c r="L22" s="23">
        <f t="shared" si="9"/>
        <v>175</v>
      </c>
      <c r="M22" s="23">
        <f t="shared" si="10"/>
        <v>163</v>
      </c>
      <c r="N22" s="23">
        <v>40</v>
      </c>
      <c r="O22" s="23">
        <v>1</v>
      </c>
      <c r="P22" s="23">
        <v>9</v>
      </c>
      <c r="Q22" s="23">
        <v>28</v>
      </c>
      <c r="R22" s="23">
        <f t="shared" si="4"/>
        <v>6.4285714285714288</v>
      </c>
      <c r="S22" s="23">
        <f t="shared" si="5"/>
        <v>28</v>
      </c>
      <c r="T22" s="23">
        <f t="shared" si="6"/>
        <v>56</v>
      </c>
      <c r="U22" s="23" t="s">
        <v>470</v>
      </c>
      <c r="V22" s="23">
        <f t="shared" si="7"/>
        <v>28</v>
      </c>
      <c r="W22" s="23">
        <f t="shared" si="11"/>
        <v>168</v>
      </c>
      <c r="X22" s="23">
        <v>133.0008</v>
      </c>
      <c r="Y22" s="23">
        <v>84</v>
      </c>
      <c r="Z22" s="23">
        <v>0.4375</v>
      </c>
      <c r="AA22" s="23">
        <v>40</v>
      </c>
      <c r="AB22" s="23">
        <v>9</v>
      </c>
      <c r="AC22" s="23">
        <v>133.0008</v>
      </c>
      <c r="AD22" s="23">
        <v>98.000159999999994</v>
      </c>
      <c r="AE22" s="23">
        <v>84</v>
      </c>
      <c r="AF22" s="23">
        <v>0.4375</v>
      </c>
      <c r="AG22" s="23">
        <v>45</v>
      </c>
      <c r="AH22" s="23">
        <v>8</v>
      </c>
      <c r="AI22" s="23">
        <v>0</v>
      </c>
      <c r="AJ22" s="23">
        <v>98.001599999999996</v>
      </c>
      <c r="AK22" s="23">
        <v>63.002499999999998</v>
      </c>
      <c r="AL22" s="23">
        <v>84</v>
      </c>
      <c r="AM22" s="23">
        <v>0.5625</v>
      </c>
      <c r="AN22" s="23">
        <v>60</v>
      </c>
      <c r="AO22" s="23">
        <v>6</v>
      </c>
      <c r="AP22" s="23">
        <v>0</v>
      </c>
      <c r="AQ22" s="23">
        <v>63.002499999999998</v>
      </c>
      <c r="AR22" s="23">
        <v>52.615400000000001</v>
      </c>
      <c r="AS22" s="23">
        <v>24.9375</v>
      </c>
      <c r="AT22" s="23">
        <v>0.6875</v>
      </c>
      <c r="AU22" s="23">
        <v>90</v>
      </c>
      <c r="AV22" s="23">
        <v>4</v>
      </c>
      <c r="AW22" s="23"/>
      <c r="AX22" s="23">
        <v>52.615400000000001</v>
      </c>
      <c r="AY22" s="23">
        <v>48</v>
      </c>
      <c r="AZ22" s="23">
        <v>23.0625</v>
      </c>
      <c r="BA22" s="23">
        <v>0.6875</v>
      </c>
      <c r="BB22" s="23">
        <v>36</v>
      </c>
      <c r="BC22" s="23">
        <v>10</v>
      </c>
    </row>
    <row r="23" spans="1:55" x14ac:dyDescent="0.25">
      <c r="A23" s="22" t="s">
        <v>500</v>
      </c>
      <c r="B23" s="23">
        <v>200</v>
      </c>
      <c r="C23" s="23">
        <v>30</v>
      </c>
      <c r="D23" s="24">
        <v>30</v>
      </c>
      <c r="E23" s="24">
        <f t="shared" si="0"/>
        <v>31.767300000000006</v>
      </c>
      <c r="F23" s="24">
        <f t="shared" si="1"/>
        <v>0.37818214285714291</v>
      </c>
      <c r="G23" s="24">
        <f t="shared" si="2"/>
        <v>0.14285714285714285</v>
      </c>
      <c r="H23" s="24">
        <f t="shared" si="3"/>
        <v>4.5381857142857145</v>
      </c>
      <c r="I23" s="23" t="s">
        <v>469</v>
      </c>
      <c r="J23" s="23">
        <v>180</v>
      </c>
      <c r="K23" s="23">
        <f t="shared" si="8"/>
        <v>360</v>
      </c>
      <c r="L23" s="23">
        <f t="shared" si="9"/>
        <v>187</v>
      </c>
      <c r="M23" s="23">
        <f t="shared" si="10"/>
        <v>175</v>
      </c>
      <c r="N23" s="23">
        <v>40</v>
      </c>
      <c r="O23" s="23">
        <v>1.125</v>
      </c>
      <c r="P23" s="23">
        <v>9</v>
      </c>
      <c r="Q23" s="23">
        <v>16</v>
      </c>
      <c r="R23" s="23">
        <f t="shared" si="4"/>
        <v>11.25</v>
      </c>
      <c r="S23" s="23">
        <f t="shared" si="5"/>
        <v>16</v>
      </c>
      <c r="T23" s="23">
        <f t="shared" si="6"/>
        <v>32</v>
      </c>
      <c r="U23" s="23"/>
      <c r="V23" s="23">
        <f t="shared" si="7"/>
        <v>16</v>
      </c>
      <c r="W23" s="23">
        <f t="shared" si="11"/>
        <v>180</v>
      </c>
      <c r="X23" s="23">
        <v>148.23269999999999</v>
      </c>
      <c r="Y23" s="23">
        <v>84</v>
      </c>
      <c r="Z23" s="23">
        <v>0.4375</v>
      </c>
      <c r="AA23" s="23">
        <v>40</v>
      </c>
      <c r="AB23" s="23">
        <v>9</v>
      </c>
      <c r="AC23" s="23">
        <v>148.23269999999999</v>
      </c>
      <c r="AD23" s="23">
        <v>116.46550000000001</v>
      </c>
      <c r="AE23" s="23">
        <v>84</v>
      </c>
      <c r="AF23" s="23">
        <v>0.4375</v>
      </c>
      <c r="AG23" s="23">
        <v>45</v>
      </c>
      <c r="AH23" s="23">
        <v>8</v>
      </c>
      <c r="AI23" s="23">
        <v>0</v>
      </c>
      <c r="AJ23" s="23">
        <v>116.46550000000001</v>
      </c>
      <c r="AK23" s="23">
        <v>84.6982</v>
      </c>
      <c r="AL23" s="23">
        <v>84</v>
      </c>
      <c r="AM23" s="23">
        <v>0.5</v>
      </c>
      <c r="AN23" s="23">
        <v>60</v>
      </c>
      <c r="AO23" s="23">
        <v>6</v>
      </c>
      <c r="AP23" s="23">
        <v>0</v>
      </c>
      <c r="AQ23" s="23">
        <v>84.6982</v>
      </c>
      <c r="AR23" s="23">
        <v>51.890900000000002</v>
      </c>
      <c r="AS23" s="23">
        <v>86.75</v>
      </c>
      <c r="AT23" s="23">
        <v>0.625</v>
      </c>
      <c r="AU23" s="23">
        <v>60</v>
      </c>
      <c r="AV23" s="23">
        <v>6</v>
      </c>
      <c r="AW23" s="23"/>
      <c r="AX23" s="23">
        <v>51.890900000000002</v>
      </c>
      <c r="AY23" s="23">
        <v>48</v>
      </c>
      <c r="AZ23" s="23">
        <v>21.25</v>
      </c>
      <c r="BA23" s="23">
        <v>0.625</v>
      </c>
      <c r="BB23" s="23">
        <v>36</v>
      </c>
      <c r="BC23" s="23">
        <v>10</v>
      </c>
    </row>
    <row r="24" spans="1:55" x14ac:dyDescent="0.25">
      <c r="A24" s="22" t="s">
        <v>501</v>
      </c>
      <c r="B24" s="23">
        <v>200</v>
      </c>
      <c r="C24" s="23">
        <v>32</v>
      </c>
      <c r="D24" s="24">
        <v>30</v>
      </c>
      <c r="E24" s="24">
        <f t="shared" si="0"/>
        <v>34.750699999999995</v>
      </c>
      <c r="F24" s="24">
        <f t="shared" si="1"/>
        <v>0.41369880952380944</v>
      </c>
      <c r="G24" s="24">
        <f t="shared" si="2"/>
        <v>0.14285714285714285</v>
      </c>
      <c r="H24" s="24">
        <f t="shared" si="3"/>
        <v>4.9643857142857133</v>
      </c>
      <c r="I24" s="23" t="s">
        <v>469</v>
      </c>
      <c r="J24" s="23">
        <v>180</v>
      </c>
      <c r="K24" s="23">
        <f t="shared" si="8"/>
        <v>384</v>
      </c>
      <c r="L24" s="23">
        <f t="shared" si="9"/>
        <v>199</v>
      </c>
      <c r="M24" s="23">
        <f t="shared" si="10"/>
        <v>187</v>
      </c>
      <c r="N24" s="23">
        <v>30</v>
      </c>
      <c r="O24" s="23">
        <v>1</v>
      </c>
      <c r="P24" s="23">
        <v>12</v>
      </c>
      <c r="Q24" s="23">
        <v>12</v>
      </c>
      <c r="R24" s="23">
        <f t="shared" si="4"/>
        <v>15</v>
      </c>
      <c r="S24" s="23">
        <f t="shared" si="5"/>
        <v>12</v>
      </c>
      <c r="T24" s="23">
        <f t="shared" si="6"/>
        <v>24</v>
      </c>
      <c r="U24" s="23" t="s">
        <v>470</v>
      </c>
      <c r="V24" s="23">
        <f t="shared" si="7"/>
        <v>12</v>
      </c>
      <c r="W24" s="23">
        <f t="shared" si="11"/>
        <v>192</v>
      </c>
      <c r="X24" s="23">
        <v>157.24930000000001</v>
      </c>
      <c r="Y24" s="23">
        <v>84</v>
      </c>
      <c r="Z24" s="23">
        <v>0.5</v>
      </c>
      <c r="AA24" s="23">
        <v>30</v>
      </c>
      <c r="AB24" s="23">
        <v>12</v>
      </c>
      <c r="AC24" s="23">
        <v>157.24930000000001</v>
      </c>
      <c r="AD24" s="23">
        <v>122.49850000000001</v>
      </c>
      <c r="AE24" s="23">
        <v>84</v>
      </c>
      <c r="AF24" s="23">
        <v>0.5</v>
      </c>
      <c r="AG24" s="23">
        <v>40</v>
      </c>
      <c r="AH24" s="23">
        <v>9</v>
      </c>
      <c r="AI24" s="23">
        <v>0</v>
      </c>
      <c r="AJ24" s="23">
        <v>122.49850000000001</v>
      </c>
      <c r="AK24" s="23">
        <v>87.747799999999998</v>
      </c>
      <c r="AL24" s="23">
        <v>84</v>
      </c>
      <c r="AM24" s="23">
        <v>0.5</v>
      </c>
      <c r="AN24" s="23">
        <v>45</v>
      </c>
      <c r="AO24" s="23">
        <v>8</v>
      </c>
      <c r="AP24" s="23">
        <v>0</v>
      </c>
      <c r="AQ24" s="23">
        <v>87.747799999999998</v>
      </c>
      <c r="AR24" s="23">
        <v>52.557200000000002</v>
      </c>
      <c r="AS24" s="23">
        <v>85.0625</v>
      </c>
      <c r="AT24" s="23">
        <v>0.625</v>
      </c>
      <c r="AU24" s="23">
        <v>60</v>
      </c>
      <c r="AV24" s="23">
        <v>6</v>
      </c>
      <c r="AW24" s="23"/>
      <c r="AX24" s="23">
        <v>52.557200000000002</v>
      </c>
      <c r="AY24" s="23">
        <v>48</v>
      </c>
      <c r="AZ24" s="23">
        <v>22.9375</v>
      </c>
      <c r="BA24" s="23">
        <v>0.75</v>
      </c>
      <c r="BB24" s="23">
        <v>36</v>
      </c>
      <c r="BC24" s="23">
        <v>10</v>
      </c>
    </row>
    <row r="25" spans="1:55" x14ac:dyDescent="0.25">
      <c r="A25" s="22" t="s">
        <v>502</v>
      </c>
      <c r="B25" s="23">
        <v>250</v>
      </c>
      <c r="C25" s="23">
        <v>23</v>
      </c>
      <c r="D25" s="24">
        <v>22.333333333300001</v>
      </c>
      <c r="E25" s="24">
        <f t="shared" si="0"/>
        <v>27.296875</v>
      </c>
      <c r="F25" s="24">
        <f t="shared" si="1"/>
        <v>0.32496279761904762</v>
      </c>
      <c r="G25" s="24">
        <f t="shared" si="2"/>
        <v>0.14285714285714285</v>
      </c>
      <c r="H25" s="24">
        <f t="shared" si="3"/>
        <v>3.8995535714285712</v>
      </c>
      <c r="I25" s="23" t="s">
        <v>469</v>
      </c>
      <c r="J25" s="23">
        <v>180</v>
      </c>
      <c r="K25" s="23">
        <f t="shared" si="8"/>
        <v>276</v>
      </c>
      <c r="L25" s="23">
        <f t="shared" si="9"/>
        <v>145</v>
      </c>
      <c r="M25" s="23">
        <f t="shared" si="10"/>
        <v>133</v>
      </c>
      <c r="N25" s="23">
        <v>45</v>
      </c>
      <c r="O25" s="23">
        <v>1.125</v>
      </c>
      <c r="P25" s="23">
        <v>8</v>
      </c>
      <c r="Q25" s="23">
        <v>16</v>
      </c>
      <c r="R25" s="23">
        <f t="shared" si="4"/>
        <v>11.25</v>
      </c>
      <c r="S25" s="23">
        <f t="shared" si="5"/>
        <v>16</v>
      </c>
      <c r="T25" s="23">
        <f t="shared" si="6"/>
        <v>32</v>
      </c>
      <c r="U25" s="23" t="s">
        <v>470</v>
      </c>
      <c r="V25" s="23">
        <f t="shared" si="7"/>
        <v>16</v>
      </c>
      <c r="W25" s="23">
        <v>138</v>
      </c>
      <c r="X25" s="23">
        <v>110.703125</v>
      </c>
      <c r="Y25" s="23">
        <v>84</v>
      </c>
      <c r="Z25" s="23">
        <v>0.4375</v>
      </c>
      <c r="AA25" s="23">
        <v>45</v>
      </c>
      <c r="AB25" s="23">
        <v>8</v>
      </c>
      <c r="AC25" s="23">
        <v>110.703125</v>
      </c>
      <c r="AD25" s="23">
        <v>83.40625</v>
      </c>
      <c r="AE25" s="23">
        <v>84</v>
      </c>
      <c r="AF25" s="23">
        <v>0.5</v>
      </c>
      <c r="AG25" s="23">
        <v>36</v>
      </c>
      <c r="AH25" s="23">
        <v>6</v>
      </c>
      <c r="AI25" s="23">
        <v>0</v>
      </c>
      <c r="AJ25" s="23">
        <v>83.40625</v>
      </c>
      <c r="AK25" s="23">
        <v>56.9375</v>
      </c>
      <c r="AL25" s="23">
        <v>81.4375</v>
      </c>
      <c r="AM25" s="23">
        <v>0.625</v>
      </c>
      <c r="AN25" s="23">
        <v>90</v>
      </c>
      <c r="AO25" s="23">
        <v>4</v>
      </c>
      <c r="AP25" s="23">
        <v>60</v>
      </c>
      <c r="AQ25" s="23">
        <v>56.9375</v>
      </c>
      <c r="AR25" s="23">
        <v>54</v>
      </c>
      <c r="AS25" s="23">
        <v>18.5625</v>
      </c>
      <c r="AT25" s="23">
        <v>0.625</v>
      </c>
      <c r="AU25" s="23">
        <v>36</v>
      </c>
      <c r="AV25" s="23">
        <v>10</v>
      </c>
      <c r="AW25" s="23"/>
      <c r="AX25" s="23"/>
      <c r="AY25" s="23"/>
      <c r="AZ25" s="23"/>
      <c r="BA25" s="23"/>
      <c r="BB25" s="23"/>
      <c r="BC25" s="23"/>
    </row>
    <row r="26" spans="1:55" x14ac:dyDescent="0.25">
      <c r="A26" s="22" t="s">
        <v>503</v>
      </c>
      <c r="B26" s="23">
        <v>250</v>
      </c>
      <c r="C26" s="23">
        <v>25</v>
      </c>
      <c r="D26" s="24">
        <v>25</v>
      </c>
      <c r="E26" s="24">
        <f t="shared" si="0"/>
        <v>27.774500000000003</v>
      </c>
      <c r="F26" s="24">
        <f t="shared" si="1"/>
        <v>0.33064880952380954</v>
      </c>
      <c r="G26" s="24">
        <f t="shared" si="2"/>
        <v>0.14285714285714285</v>
      </c>
      <c r="H26" s="24">
        <f t="shared" si="3"/>
        <v>3.9677857142857147</v>
      </c>
      <c r="I26" s="23" t="s">
        <v>469</v>
      </c>
      <c r="J26" s="23">
        <v>180</v>
      </c>
      <c r="K26" s="23">
        <f t="shared" si="8"/>
        <v>300</v>
      </c>
      <c r="L26" s="23">
        <f t="shared" si="9"/>
        <v>157</v>
      </c>
      <c r="M26" s="23">
        <f t="shared" si="10"/>
        <v>145</v>
      </c>
      <c r="N26" s="23">
        <v>40</v>
      </c>
      <c r="O26" s="23">
        <v>1</v>
      </c>
      <c r="P26" s="23">
        <v>9</v>
      </c>
      <c r="Q26" s="23">
        <v>12</v>
      </c>
      <c r="R26" s="23">
        <f t="shared" si="4"/>
        <v>15</v>
      </c>
      <c r="S26" s="23">
        <f t="shared" si="5"/>
        <v>12</v>
      </c>
      <c r="T26" s="23">
        <f t="shared" si="6"/>
        <v>24</v>
      </c>
      <c r="U26" s="23" t="s">
        <v>470</v>
      </c>
      <c r="V26" s="23">
        <f t="shared" si="7"/>
        <v>12</v>
      </c>
      <c r="W26" s="23">
        <f t="shared" si="11"/>
        <v>150</v>
      </c>
      <c r="X26" s="23">
        <v>122.2255</v>
      </c>
      <c r="Y26" s="23">
        <v>84</v>
      </c>
      <c r="Z26" s="23">
        <v>0.5</v>
      </c>
      <c r="AA26" s="23">
        <v>40</v>
      </c>
      <c r="AB26" s="23">
        <v>9</v>
      </c>
      <c r="AC26" s="23">
        <v>122.2255</v>
      </c>
      <c r="AD26" s="23">
        <v>94.450900000000004</v>
      </c>
      <c r="AE26" s="23">
        <v>84</v>
      </c>
      <c r="AF26" s="23">
        <v>0.5</v>
      </c>
      <c r="AG26" s="23">
        <v>60</v>
      </c>
      <c r="AH26" s="23">
        <v>6</v>
      </c>
      <c r="AI26" s="23">
        <v>0</v>
      </c>
      <c r="AJ26" s="23">
        <v>94.450900000000004</v>
      </c>
      <c r="AK26" s="23">
        <v>66.675399999999996</v>
      </c>
      <c r="AL26" s="23">
        <v>84</v>
      </c>
      <c r="AM26" s="23">
        <v>0.5</v>
      </c>
      <c r="AN26" s="23">
        <v>90</v>
      </c>
      <c r="AO26" s="23">
        <v>4</v>
      </c>
      <c r="AP26" s="23">
        <v>0</v>
      </c>
      <c r="AQ26" s="23">
        <v>66.676400000000001</v>
      </c>
      <c r="AR26" s="23">
        <v>57.033299999999997</v>
      </c>
      <c r="AS26" s="23">
        <v>29.1875</v>
      </c>
      <c r="AT26" s="23">
        <v>0.5</v>
      </c>
      <c r="AU26" s="23">
        <v>90</v>
      </c>
      <c r="AV26" s="23">
        <v>4</v>
      </c>
      <c r="AW26" s="23">
        <v>54</v>
      </c>
      <c r="AX26" s="23">
        <v>57.033299999999997</v>
      </c>
      <c r="AY26" s="23">
        <v>54</v>
      </c>
      <c r="AZ26" s="23">
        <v>18.8125</v>
      </c>
      <c r="BA26" s="23">
        <v>0.5625</v>
      </c>
      <c r="BB26" s="23">
        <v>36</v>
      </c>
      <c r="BC26" s="23">
        <v>10</v>
      </c>
    </row>
    <row r="27" spans="1:55" x14ac:dyDescent="0.25">
      <c r="A27" s="22" t="s">
        <v>505</v>
      </c>
      <c r="B27" s="23">
        <v>250</v>
      </c>
      <c r="C27" s="23">
        <v>28</v>
      </c>
      <c r="D27" s="24">
        <v>25</v>
      </c>
      <c r="E27" s="24">
        <f t="shared" si="0"/>
        <v>33.182649999999995</v>
      </c>
      <c r="F27" s="24">
        <f t="shared" si="1"/>
        <v>0.39503154761904757</v>
      </c>
      <c r="G27" s="24">
        <f t="shared" si="2"/>
        <v>0.14285714285714285</v>
      </c>
      <c r="H27" s="24">
        <f t="shared" si="3"/>
        <v>4.7403785714285709</v>
      </c>
      <c r="I27" s="23" t="s">
        <v>469</v>
      </c>
      <c r="J27" s="23">
        <v>180</v>
      </c>
      <c r="K27" s="23">
        <f t="shared" si="8"/>
        <v>336</v>
      </c>
      <c r="L27" s="23">
        <f t="shared" si="9"/>
        <v>175</v>
      </c>
      <c r="M27" s="23">
        <f t="shared" si="10"/>
        <v>163</v>
      </c>
      <c r="N27" s="23">
        <v>40</v>
      </c>
      <c r="O27" s="23">
        <v>1.125</v>
      </c>
      <c r="P27" s="23">
        <v>9</v>
      </c>
      <c r="Q27" s="23">
        <v>16</v>
      </c>
      <c r="R27" s="23">
        <f t="shared" si="4"/>
        <v>11.25</v>
      </c>
      <c r="S27" s="23">
        <f t="shared" si="5"/>
        <v>16</v>
      </c>
      <c r="T27" s="23">
        <f t="shared" si="6"/>
        <v>32</v>
      </c>
      <c r="U27" s="23" t="s">
        <v>470</v>
      </c>
      <c r="V27" s="23">
        <f t="shared" si="7"/>
        <v>16</v>
      </c>
      <c r="W27" s="23">
        <f t="shared" si="11"/>
        <v>168</v>
      </c>
      <c r="X27" s="23">
        <v>134.81735</v>
      </c>
      <c r="Y27" s="23">
        <v>84</v>
      </c>
      <c r="Z27" s="23">
        <v>0.4375</v>
      </c>
      <c r="AA27" s="23">
        <v>40</v>
      </c>
      <c r="AB27" s="23">
        <v>9</v>
      </c>
      <c r="AC27" s="23">
        <v>134.81735</v>
      </c>
      <c r="AD27" s="23">
        <v>101.6347</v>
      </c>
      <c r="AE27" s="23">
        <v>84</v>
      </c>
      <c r="AF27" s="23">
        <v>0.5</v>
      </c>
      <c r="AG27" s="23">
        <v>45</v>
      </c>
      <c r="AH27" s="23">
        <v>8</v>
      </c>
      <c r="AI27" s="23">
        <v>0</v>
      </c>
      <c r="AJ27" s="23">
        <v>101.6347</v>
      </c>
      <c r="AK27" s="23">
        <v>68.45205</v>
      </c>
      <c r="AL27" s="23">
        <v>84</v>
      </c>
      <c r="AM27" s="23">
        <v>0.5625</v>
      </c>
      <c r="AN27" s="23">
        <v>60</v>
      </c>
      <c r="AO27" s="23">
        <v>6</v>
      </c>
      <c r="AP27" s="23">
        <v>0</v>
      </c>
      <c r="AQ27" s="23">
        <v>68.45205</v>
      </c>
      <c r="AR27" s="23">
        <v>58.205950000000001</v>
      </c>
      <c r="AS27" s="23">
        <v>25.9375</v>
      </c>
      <c r="AT27" s="23">
        <v>0.6825</v>
      </c>
      <c r="AU27" s="23">
        <v>90</v>
      </c>
      <c r="AV27" s="23">
        <v>4</v>
      </c>
      <c r="AW27" s="23">
        <v>54</v>
      </c>
      <c r="AX27" s="23">
        <v>58.205950000000001</v>
      </c>
      <c r="AY27" s="23">
        <v>54</v>
      </c>
      <c r="AZ27" s="23">
        <v>22.0625</v>
      </c>
      <c r="BA27" s="23">
        <v>0.6875</v>
      </c>
      <c r="BB27" s="23">
        <v>36</v>
      </c>
      <c r="BC27" s="23">
        <v>10</v>
      </c>
    </row>
    <row r="28" spans="1:55" x14ac:dyDescent="0.25">
      <c r="A28" s="22" t="s">
        <v>506</v>
      </c>
      <c r="B28" s="23">
        <v>250</v>
      </c>
      <c r="C28" s="23">
        <v>30</v>
      </c>
      <c r="D28" s="24">
        <v>25</v>
      </c>
      <c r="E28" s="24">
        <f t="shared" si="0"/>
        <v>36.816599999999994</v>
      </c>
      <c r="F28" s="24">
        <f t="shared" si="1"/>
        <v>0.4382928571428571</v>
      </c>
      <c r="G28" s="24">
        <f t="shared" si="2"/>
        <v>0.14285714285714285</v>
      </c>
      <c r="H28" s="24">
        <f t="shared" si="3"/>
        <v>5.2595142857142845</v>
      </c>
      <c r="I28" s="23" t="s">
        <v>469</v>
      </c>
      <c r="J28" s="23">
        <v>180</v>
      </c>
      <c r="K28" s="23">
        <f t="shared" si="8"/>
        <v>360</v>
      </c>
      <c r="L28" s="23">
        <f t="shared" si="9"/>
        <v>187</v>
      </c>
      <c r="M28" s="23">
        <f t="shared" si="10"/>
        <v>175</v>
      </c>
      <c r="N28" s="23">
        <v>30</v>
      </c>
      <c r="O28" s="23">
        <v>1.0625</v>
      </c>
      <c r="P28" s="23">
        <v>12</v>
      </c>
      <c r="Q28" s="23">
        <v>20</v>
      </c>
      <c r="R28" s="23">
        <f t="shared" si="4"/>
        <v>9</v>
      </c>
      <c r="S28" s="23">
        <f t="shared" si="5"/>
        <v>20</v>
      </c>
      <c r="T28" s="23">
        <f t="shared" si="6"/>
        <v>40</v>
      </c>
      <c r="U28" s="23" t="s">
        <v>470</v>
      </c>
      <c r="V28" s="23">
        <f t="shared" si="7"/>
        <v>20</v>
      </c>
      <c r="W28" s="23">
        <f t="shared" si="11"/>
        <v>180</v>
      </c>
      <c r="X28" s="23">
        <v>143.18340000000001</v>
      </c>
      <c r="Y28" s="23">
        <v>84</v>
      </c>
      <c r="Z28" s="23">
        <v>0.5</v>
      </c>
      <c r="AA28" s="23">
        <v>30</v>
      </c>
      <c r="AB28" s="23">
        <v>12</v>
      </c>
      <c r="AC28" s="23">
        <v>143.18340000000001</v>
      </c>
      <c r="AD28" s="23">
        <v>106.3668</v>
      </c>
      <c r="AE28" s="23">
        <v>84</v>
      </c>
      <c r="AF28" s="23">
        <v>0.5</v>
      </c>
      <c r="AG28" s="23">
        <v>36</v>
      </c>
      <c r="AH28" s="23">
        <v>10</v>
      </c>
      <c r="AI28" s="23">
        <v>0</v>
      </c>
      <c r="AJ28" s="23">
        <v>106.3668</v>
      </c>
      <c r="AK28" s="23">
        <v>69.550200000000004</v>
      </c>
      <c r="AL28" s="23">
        <v>84</v>
      </c>
      <c r="AM28" s="23">
        <v>0.625</v>
      </c>
      <c r="AN28" s="23">
        <v>45</v>
      </c>
      <c r="AO28" s="23">
        <v>8</v>
      </c>
      <c r="AP28" s="23">
        <v>0</v>
      </c>
      <c r="AQ28" s="23">
        <v>69.550200000000004</v>
      </c>
      <c r="AR28" s="23">
        <v>59.048200000000001</v>
      </c>
      <c r="AS28" s="23">
        <v>23.910599999999999</v>
      </c>
      <c r="AT28" s="23">
        <v>0.75</v>
      </c>
      <c r="AU28" s="23">
        <v>60</v>
      </c>
      <c r="AV28" s="23">
        <v>6</v>
      </c>
      <c r="AW28" s="23">
        <v>54</v>
      </c>
      <c r="AX28" s="23">
        <v>59.048499999999997</v>
      </c>
      <c r="AY28" s="23">
        <v>54</v>
      </c>
      <c r="AZ28" s="23">
        <v>24.089400000000001</v>
      </c>
      <c r="BA28" s="23">
        <v>0.75</v>
      </c>
      <c r="BB28" s="23">
        <v>36</v>
      </c>
      <c r="BC28" s="23">
        <v>10</v>
      </c>
    </row>
    <row r="29" spans="1:55" x14ac:dyDescent="0.25">
      <c r="A29" s="22" t="s">
        <v>507</v>
      </c>
      <c r="B29" s="23">
        <v>250</v>
      </c>
      <c r="C29" s="23">
        <v>30</v>
      </c>
      <c r="D29" s="24">
        <v>30</v>
      </c>
      <c r="E29" s="24">
        <f t="shared" si="0"/>
        <v>30.281900000000007</v>
      </c>
      <c r="F29" s="24">
        <f t="shared" si="1"/>
        <v>0.36049880952380964</v>
      </c>
      <c r="G29" s="24">
        <f t="shared" si="2"/>
        <v>0.14285714285714285</v>
      </c>
      <c r="H29" s="24">
        <f t="shared" si="3"/>
        <v>4.3259857142857152</v>
      </c>
      <c r="I29" s="23" t="s">
        <v>469</v>
      </c>
      <c r="J29" s="23">
        <v>180</v>
      </c>
      <c r="K29" s="23">
        <f t="shared" si="8"/>
        <v>360</v>
      </c>
      <c r="L29" s="23">
        <f t="shared" si="9"/>
        <v>187</v>
      </c>
      <c r="M29" s="23">
        <f t="shared" si="10"/>
        <v>175</v>
      </c>
      <c r="N29" s="23">
        <v>30</v>
      </c>
      <c r="O29" s="23">
        <v>1.125</v>
      </c>
      <c r="P29" s="23">
        <v>12</v>
      </c>
      <c r="Q29" s="23">
        <v>26</v>
      </c>
      <c r="R29" s="23">
        <f t="shared" si="4"/>
        <v>6.9230769230769234</v>
      </c>
      <c r="S29" s="23">
        <f t="shared" si="5"/>
        <v>26</v>
      </c>
      <c r="T29" s="23">
        <f t="shared" si="6"/>
        <v>52</v>
      </c>
      <c r="U29" s="23" t="s">
        <v>470</v>
      </c>
      <c r="V29" s="23">
        <f t="shared" si="7"/>
        <v>26</v>
      </c>
      <c r="W29" s="23">
        <f t="shared" si="11"/>
        <v>180</v>
      </c>
      <c r="X29" s="23">
        <v>149.71809999999999</v>
      </c>
      <c r="Y29" s="23">
        <v>84</v>
      </c>
      <c r="Z29" s="23">
        <v>0.5</v>
      </c>
      <c r="AA29" s="23">
        <v>30</v>
      </c>
      <c r="AB29" s="23">
        <v>12</v>
      </c>
      <c r="AC29" s="23">
        <v>149.71809999999999</v>
      </c>
      <c r="AD29" s="23">
        <v>119.4361</v>
      </c>
      <c r="AE29" s="23">
        <v>84</v>
      </c>
      <c r="AF29" s="23">
        <v>0.5</v>
      </c>
      <c r="AG29" s="23">
        <v>36</v>
      </c>
      <c r="AH29" s="23">
        <v>10</v>
      </c>
      <c r="AI29" s="23">
        <v>0</v>
      </c>
      <c r="AJ29" s="23">
        <v>119.4361</v>
      </c>
      <c r="AK29" s="23">
        <v>89.154200000000003</v>
      </c>
      <c r="AL29" s="23">
        <v>84</v>
      </c>
      <c r="AM29" s="23">
        <v>0.625</v>
      </c>
      <c r="AN29" s="23">
        <v>45</v>
      </c>
      <c r="AO29" s="23">
        <v>8</v>
      </c>
      <c r="AP29" s="23">
        <v>0</v>
      </c>
      <c r="AQ29" s="23">
        <v>89.154200000000003</v>
      </c>
      <c r="AR29" s="23">
        <v>57.555700000000002</v>
      </c>
      <c r="AS29" s="23">
        <v>87.625</v>
      </c>
      <c r="AT29" s="23">
        <v>0.75</v>
      </c>
      <c r="AU29" s="23">
        <v>60</v>
      </c>
      <c r="AV29" s="23">
        <v>6</v>
      </c>
      <c r="AW29" s="23">
        <v>54</v>
      </c>
      <c r="AX29" s="23">
        <v>57.555700000000002</v>
      </c>
      <c r="AY29" s="23">
        <v>54</v>
      </c>
      <c r="AZ29" s="23">
        <v>20.375</v>
      </c>
      <c r="BA29" s="23">
        <v>0.9375</v>
      </c>
      <c r="BB29" s="23">
        <v>36</v>
      </c>
      <c r="BC29" s="23">
        <v>10</v>
      </c>
    </row>
    <row r="30" spans="1:55" x14ac:dyDescent="0.25">
      <c r="A30" s="22" t="s">
        <v>508</v>
      </c>
      <c r="B30" s="23">
        <v>250</v>
      </c>
      <c r="C30" s="23">
        <v>32</v>
      </c>
      <c r="D30" s="24">
        <v>25</v>
      </c>
      <c r="E30" s="24">
        <f t="shared" si="0"/>
        <v>40.489900000000006</v>
      </c>
      <c r="F30" s="24">
        <f t="shared" si="1"/>
        <v>0.48202261904761912</v>
      </c>
      <c r="G30" s="24">
        <f t="shared" si="2"/>
        <v>0.14285714285714285</v>
      </c>
      <c r="H30" s="24">
        <f t="shared" si="3"/>
        <v>5.7842714285714294</v>
      </c>
      <c r="I30" s="23" t="s">
        <v>469</v>
      </c>
      <c r="J30" s="23">
        <v>180</v>
      </c>
      <c r="K30" s="23">
        <f t="shared" si="8"/>
        <v>384</v>
      </c>
      <c r="L30" s="23">
        <f t="shared" si="9"/>
        <v>199</v>
      </c>
      <c r="M30" s="23">
        <f t="shared" si="10"/>
        <v>187</v>
      </c>
      <c r="N30" s="23">
        <v>30</v>
      </c>
      <c r="O30" s="23">
        <v>1.0625</v>
      </c>
      <c r="P30" s="23">
        <v>12</v>
      </c>
      <c r="Q30" s="23">
        <v>16</v>
      </c>
      <c r="R30" s="23">
        <f t="shared" si="4"/>
        <v>11.25</v>
      </c>
      <c r="S30" s="23">
        <f t="shared" si="5"/>
        <v>16</v>
      </c>
      <c r="T30" s="23">
        <f t="shared" si="6"/>
        <v>32</v>
      </c>
      <c r="U30" s="23" t="s">
        <v>470</v>
      </c>
      <c r="V30" s="23">
        <f t="shared" si="7"/>
        <v>16</v>
      </c>
      <c r="W30" s="23">
        <f t="shared" si="11"/>
        <v>192</v>
      </c>
      <c r="X30" s="23">
        <v>151.51009999999999</v>
      </c>
      <c r="Y30" s="23">
        <v>84</v>
      </c>
      <c r="Z30" s="23">
        <v>0.5</v>
      </c>
      <c r="AA30" s="23">
        <v>30</v>
      </c>
      <c r="AB30" s="23">
        <v>12</v>
      </c>
      <c r="AC30" s="23">
        <v>151.51009999999999</v>
      </c>
      <c r="AD30" s="23">
        <v>111.02030000000001</v>
      </c>
      <c r="AE30" s="23">
        <v>84</v>
      </c>
      <c r="AF30" s="23">
        <v>0.5</v>
      </c>
      <c r="AG30" s="23">
        <v>40</v>
      </c>
      <c r="AH30" s="23">
        <v>9</v>
      </c>
      <c r="AI30" s="23">
        <v>0</v>
      </c>
      <c r="AJ30" s="23">
        <v>111.02030000000001</v>
      </c>
      <c r="AK30" s="23">
        <v>70.5304</v>
      </c>
      <c r="AL30" s="23">
        <v>84</v>
      </c>
      <c r="AM30" s="23">
        <v>0.625</v>
      </c>
      <c r="AN30" s="23">
        <v>45</v>
      </c>
      <c r="AO30" s="23">
        <v>8</v>
      </c>
      <c r="AP30" s="23">
        <v>0</v>
      </c>
      <c r="AQ30" s="23">
        <v>70.5304</v>
      </c>
      <c r="AR30" s="23">
        <v>59.951300000000003</v>
      </c>
      <c r="AS30" s="23">
        <v>21.9375</v>
      </c>
      <c r="AT30" s="23">
        <v>0.75</v>
      </c>
      <c r="AU30" s="23">
        <v>90</v>
      </c>
      <c r="AV30" s="23">
        <v>4</v>
      </c>
      <c r="AW30" s="23">
        <v>54</v>
      </c>
      <c r="AX30" s="23">
        <v>59.951300000000003</v>
      </c>
      <c r="AY30" s="23">
        <v>54</v>
      </c>
      <c r="AZ30" s="23">
        <v>26.0625</v>
      </c>
      <c r="BA30" s="23">
        <v>0.75</v>
      </c>
      <c r="BB30" s="23">
        <v>36</v>
      </c>
      <c r="BC30" s="23">
        <v>10</v>
      </c>
    </row>
    <row r="31" spans="1:55" x14ac:dyDescent="0.25">
      <c r="A31" s="22" t="s">
        <v>509</v>
      </c>
      <c r="B31" s="23">
        <v>250</v>
      </c>
      <c r="C31" s="23">
        <v>34</v>
      </c>
      <c r="D31" s="24">
        <v>30</v>
      </c>
      <c r="E31" s="24">
        <f t="shared" si="0"/>
        <v>36.247899999999987</v>
      </c>
      <c r="F31" s="24">
        <f t="shared" si="1"/>
        <v>0.4315226190476189</v>
      </c>
      <c r="G31" s="24">
        <f t="shared" si="2"/>
        <v>0.14285714285714285</v>
      </c>
      <c r="H31" s="24">
        <f t="shared" si="3"/>
        <v>5.1782714285714269</v>
      </c>
      <c r="I31" s="23" t="s">
        <v>469</v>
      </c>
      <c r="J31" s="23">
        <v>180</v>
      </c>
      <c r="K31" s="23">
        <f t="shared" si="8"/>
        <v>408</v>
      </c>
      <c r="L31" s="23">
        <f t="shared" si="9"/>
        <v>211</v>
      </c>
      <c r="M31" s="23">
        <f t="shared" si="10"/>
        <v>199</v>
      </c>
      <c r="N31" s="23">
        <v>30</v>
      </c>
      <c r="O31" s="23">
        <v>1</v>
      </c>
      <c r="P31" s="23">
        <v>12</v>
      </c>
      <c r="Q31" s="23">
        <v>16</v>
      </c>
      <c r="R31" s="23">
        <f t="shared" si="4"/>
        <v>11.25</v>
      </c>
      <c r="S31" s="23">
        <f t="shared" si="5"/>
        <v>16</v>
      </c>
      <c r="T31" s="23">
        <f t="shared" si="6"/>
        <v>32</v>
      </c>
      <c r="U31" s="23" t="s">
        <v>470</v>
      </c>
      <c r="V31" s="23">
        <f t="shared" si="7"/>
        <v>16</v>
      </c>
      <c r="W31" s="23">
        <f t="shared" si="11"/>
        <v>204</v>
      </c>
      <c r="X31" s="23">
        <v>167.75210000000001</v>
      </c>
      <c r="Y31" s="23">
        <v>84</v>
      </c>
      <c r="Z31" s="23">
        <v>0.5</v>
      </c>
      <c r="AA31" s="23">
        <v>30</v>
      </c>
      <c r="AB31" s="23">
        <v>12</v>
      </c>
      <c r="AC31" s="23">
        <v>167.75210000000001</v>
      </c>
      <c r="AD31" s="23">
        <v>131.5043</v>
      </c>
      <c r="AE31" s="23">
        <v>84</v>
      </c>
      <c r="AF31" s="23">
        <v>0.5</v>
      </c>
      <c r="AG31" s="23">
        <v>36</v>
      </c>
      <c r="AH31" s="23">
        <v>10</v>
      </c>
      <c r="AI31" s="23">
        <v>0</v>
      </c>
      <c r="AJ31" s="23">
        <v>131.5043</v>
      </c>
      <c r="AK31" s="23">
        <v>95.256399999999999</v>
      </c>
      <c r="AL31" s="23">
        <v>84</v>
      </c>
      <c r="AM31" s="23">
        <v>0.5</v>
      </c>
      <c r="AN31" s="23">
        <v>45</v>
      </c>
      <c r="AO31" s="23">
        <v>8</v>
      </c>
      <c r="AP31" s="23">
        <v>0</v>
      </c>
      <c r="AQ31" s="23">
        <v>95.256399999999999</v>
      </c>
      <c r="AR31" s="23">
        <v>58.910299999999999</v>
      </c>
      <c r="AS31" s="23">
        <v>84.25</v>
      </c>
      <c r="AT31" s="23">
        <v>0.6875</v>
      </c>
      <c r="AU31" s="23">
        <v>60</v>
      </c>
      <c r="AV31" s="23">
        <v>6</v>
      </c>
      <c r="AW31" s="23">
        <v>60</v>
      </c>
      <c r="AX31" s="23">
        <v>58.910299999999999</v>
      </c>
      <c r="AY31" s="23">
        <v>54</v>
      </c>
      <c r="AZ31" s="23">
        <v>23.75</v>
      </c>
      <c r="BA31" s="23">
        <v>0.75</v>
      </c>
      <c r="BB31" s="23">
        <v>36</v>
      </c>
      <c r="BC31" s="23">
        <v>10</v>
      </c>
    </row>
    <row r="32" spans="1:55" x14ac:dyDescent="0.25">
      <c r="A32" s="22" t="s">
        <v>510</v>
      </c>
      <c r="B32" s="23">
        <v>250</v>
      </c>
      <c r="C32" s="23">
        <v>40</v>
      </c>
      <c r="D32" s="24">
        <v>30</v>
      </c>
      <c r="E32" s="24">
        <f t="shared" si="0"/>
        <v>45.306600000000003</v>
      </c>
      <c r="F32" s="24">
        <f t="shared" si="1"/>
        <v>0.53936428571428574</v>
      </c>
      <c r="G32" s="24">
        <f t="shared" si="2"/>
        <v>0.14285714285714285</v>
      </c>
      <c r="H32" s="24">
        <f t="shared" si="3"/>
        <v>6.4723714285714289</v>
      </c>
      <c r="I32" s="23" t="s">
        <v>469</v>
      </c>
      <c r="J32" s="23">
        <v>180</v>
      </c>
      <c r="K32" s="23">
        <f t="shared" si="8"/>
        <v>480</v>
      </c>
      <c r="L32" s="23">
        <f t="shared" si="9"/>
        <v>247</v>
      </c>
      <c r="M32" s="23">
        <f t="shared" si="10"/>
        <v>235</v>
      </c>
      <c r="N32" s="23">
        <v>25.714285714285701</v>
      </c>
      <c r="O32" s="23">
        <v>1</v>
      </c>
      <c r="P32" s="23">
        <v>14</v>
      </c>
      <c r="Q32" s="23">
        <v>16</v>
      </c>
      <c r="R32" s="23">
        <f t="shared" si="4"/>
        <v>11.25</v>
      </c>
      <c r="S32" s="23">
        <f t="shared" si="5"/>
        <v>16</v>
      </c>
      <c r="T32" s="23">
        <f t="shared" si="6"/>
        <v>32</v>
      </c>
      <c r="U32" s="23" t="s">
        <v>470</v>
      </c>
      <c r="V32" s="23">
        <f t="shared" si="7"/>
        <v>16</v>
      </c>
      <c r="W32" s="23">
        <f t="shared" si="11"/>
        <v>240</v>
      </c>
      <c r="X32" s="23">
        <v>194.6934</v>
      </c>
      <c r="Y32" s="23">
        <v>84</v>
      </c>
      <c r="Z32" s="23">
        <v>0.5</v>
      </c>
      <c r="AA32" s="23">
        <v>25.714285714285701</v>
      </c>
      <c r="AB32" s="23">
        <v>14</v>
      </c>
      <c r="AC32" s="23">
        <v>194.6934</v>
      </c>
      <c r="AD32" s="23">
        <v>149.3869</v>
      </c>
      <c r="AE32" s="23">
        <v>84</v>
      </c>
      <c r="AF32" s="23">
        <v>0.5</v>
      </c>
      <c r="AG32" s="23">
        <v>30</v>
      </c>
      <c r="AH32" s="23">
        <v>12</v>
      </c>
      <c r="AI32" s="23">
        <v>0</v>
      </c>
      <c r="AJ32" s="23">
        <v>149.3869</v>
      </c>
      <c r="AK32" s="23">
        <v>104.08029999999999</v>
      </c>
      <c r="AL32" s="23">
        <v>84</v>
      </c>
      <c r="AM32" s="23">
        <v>0.5</v>
      </c>
      <c r="AN32" s="23">
        <v>36</v>
      </c>
      <c r="AO32" s="23">
        <v>10</v>
      </c>
      <c r="AP32" s="23">
        <v>0</v>
      </c>
      <c r="AQ32" s="23">
        <v>104.08029999999999</v>
      </c>
      <c r="AR32" s="23">
        <v>61.191600000000001</v>
      </c>
      <c r="AS32" s="23">
        <v>79.5</v>
      </c>
      <c r="AT32" s="23">
        <v>0.5</v>
      </c>
      <c r="AU32" s="23">
        <v>60</v>
      </c>
      <c r="AV32" s="23">
        <v>6</v>
      </c>
      <c r="AW32" s="23">
        <v>60</v>
      </c>
      <c r="AX32" s="23">
        <v>61.191600000000001</v>
      </c>
      <c r="AY32" s="23">
        <v>54</v>
      </c>
      <c r="AZ32" s="23">
        <v>28.5</v>
      </c>
      <c r="BA32" s="23">
        <v>0.5625</v>
      </c>
      <c r="BB32" s="23">
        <v>36</v>
      </c>
      <c r="BC32" s="23">
        <v>10</v>
      </c>
    </row>
    <row r="33" spans="1:55" x14ac:dyDescent="0.25">
      <c r="A33" s="22" t="s">
        <v>511</v>
      </c>
      <c r="B33" s="23">
        <v>300</v>
      </c>
      <c r="C33" s="23">
        <v>21</v>
      </c>
      <c r="D33" s="24">
        <v>22.333333333300001</v>
      </c>
      <c r="E33" s="24">
        <f t="shared" si="0"/>
        <v>24.107100000000003</v>
      </c>
      <c r="F33" s="24">
        <f t="shared" si="1"/>
        <v>0.27709310344827587</v>
      </c>
      <c r="G33" s="24">
        <f t="shared" si="2"/>
        <v>0.13793103448275862</v>
      </c>
      <c r="H33" s="24">
        <f t="shared" si="3"/>
        <v>3.3251172413793109</v>
      </c>
      <c r="I33" s="23" t="s">
        <v>469</v>
      </c>
      <c r="J33" s="23">
        <v>180</v>
      </c>
      <c r="K33" s="23">
        <f t="shared" si="8"/>
        <v>252</v>
      </c>
      <c r="L33" s="23">
        <f t="shared" si="9"/>
        <v>133</v>
      </c>
      <c r="M33" s="23">
        <f t="shared" si="10"/>
        <v>121</v>
      </c>
      <c r="N33" s="23">
        <v>45</v>
      </c>
      <c r="O33" s="23">
        <v>1.4375</v>
      </c>
      <c r="P33" s="23">
        <v>8</v>
      </c>
      <c r="Q33" s="23">
        <v>16</v>
      </c>
      <c r="R33" s="23">
        <f t="shared" si="4"/>
        <v>11.25</v>
      </c>
      <c r="S33" s="23">
        <f t="shared" si="5"/>
        <v>16</v>
      </c>
      <c r="T33" s="23">
        <f t="shared" si="6"/>
        <v>32</v>
      </c>
      <c r="U33" s="23" t="s">
        <v>470</v>
      </c>
      <c r="V33" s="23">
        <f t="shared" si="7"/>
        <v>16</v>
      </c>
      <c r="W33" s="23">
        <f t="shared" si="11"/>
        <v>126</v>
      </c>
      <c r="X33" s="23">
        <v>101.8929</v>
      </c>
      <c r="Y33" s="23">
        <v>87</v>
      </c>
      <c r="Z33" s="23">
        <v>0.5625</v>
      </c>
      <c r="AA33" s="23">
        <v>45</v>
      </c>
      <c r="AB33" s="23">
        <v>8</v>
      </c>
      <c r="AC33" s="23">
        <v>101.8929</v>
      </c>
      <c r="AD33" s="23">
        <v>78.617199999999997</v>
      </c>
      <c r="AE33" s="23">
        <v>84</v>
      </c>
      <c r="AF33" s="23">
        <v>0.625</v>
      </c>
      <c r="AG33" s="23">
        <v>60</v>
      </c>
      <c r="AH33" s="23">
        <v>6</v>
      </c>
      <c r="AI33" s="23">
        <v>0</v>
      </c>
      <c r="AJ33" s="23">
        <v>78.617199999999997</v>
      </c>
      <c r="AK33" s="23">
        <v>56.178699999999999</v>
      </c>
      <c r="AL33" s="23">
        <v>81</v>
      </c>
      <c r="AM33" s="23">
        <v>0.6875</v>
      </c>
      <c r="AN33" s="23">
        <v>90</v>
      </c>
      <c r="AO33" s="23">
        <v>4</v>
      </c>
      <c r="AP33" s="23"/>
      <c r="AQ33" s="23">
        <v>56.178699999999999</v>
      </c>
      <c r="AR33" s="23">
        <v>54</v>
      </c>
      <c r="AS33" s="23">
        <v>16</v>
      </c>
      <c r="AT33" s="23">
        <v>0.75</v>
      </c>
      <c r="AU33" s="23">
        <v>36</v>
      </c>
      <c r="AV33" s="23">
        <v>10</v>
      </c>
      <c r="AW33" s="23" t="s">
        <v>470</v>
      </c>
      <c r="AX33" s="23" t="s">
        <v>470</v>
      </c>
      <c r="AY33" s="23" t="s">
        <v>470</v>
      </c>
      <c r="AZ33" s="23" t="s">
        <v>470</v>
      </c>
      <c r="BA33" s="23" t="s">
        <v>470</v>
      </c>
      <c r="BB33" s="23" t="s">
        <v>470</v>
      </c>
      <c r="BC33" s="23" t="s">
        <v>470</v>
      </c>
    </row>
    <row r="34" spans="1:55" x14ac:dyDescent="0.25">
      <c r="A34" s="22" t="s">
        <v>513</v>
      </c>
      <c r="B34" s="23">
        <v>300</v>
      </c>
      <c r="C34" s="23">
        <v>23</v>
      </c>
      <c r="D34" s="24">
        <v>22.333333333300001</v>
      </c>
      <c r="E34" s="24">
        <f t="shared" si="0"/>
        <v>27.296875</v>
      </c>
      <c r="F34" s="24">
        <f t="shared" si="1"/>
        <v>0.32496279761904762</v>
      </c>
      <c r="G34" s="24">
        <f t="shared" si="2"/>
        <v>0.14285714285714285</v>
      </c>
      <c r="H34" s="24">
        <f t="shared" si="3"/>
        <v>3.8995535714285712</v>
      </c>
      <c r="I34" s="23" t="s">
        <v>469</v>
      </c>
      <c r="J34" s="23">
        <v>180</v>
      </c>
      <c r="K34" s="23">
        <f t="shared" si="8"/>
        <v>276</v>
      </c>
      <c r="L34" s="23">
        <f t="shared" si="9"/>
        <v>145</v>
      </c>
      <c r="M34" s="23">
        <f t="shared" si="10"/>
        <v>133</v>
      </c>
      <c r="N34" s="23">
        <v>45</v>
      </c>
      <c r="O34" s="23">
        <v>1.125</v>
      </c>
      <c r="P34" s="23">
        <v>8</v>
      </c>
      <c r="Q34" s="23">
        <v>16</v>
      </c>
      <c r="R34" s="23">
        <f t="shared" si="4"/>
        <v>11.25</v>
      </c>
      <c r="S34" s="23">
        <f t="shared" si="5"/>
        <v>16</v>
      </c>
      <c r="T34" s="23">
        <f t="shared" si="6"/>
        <v>32</v>
      </c>
      <c r="U34" s="23"/>
      <c r="V34" s="23">
        <f t="shared" si="7"/>
        <v>16</v>
      </c>
      <c r="W34" s="23">
        <f t="shared" si="11"/>
        <v>138</v>
      </c>
      <c r="X34" s="23">
        <v>110.703125</v>
      </c>
      <c r="Y34" s="23">
        <v>84</v>
      </c>
      <c r="Z34" s="23">
        <v>0.4375</v>
      </c>
      <c r="AA34" s="23">
        <v>45</v>
      </c>
      <c r="AB34" s="23">
        <v>8</v>
      </c>
      <c r="AC34" s="23">
        <v>110.703125</v>
      </c>
      <c r="AD34" s="23">
        <v>83.40625</v>
      </c>
      <c r="AE34" s="23">
        <v>84</v>
      </c>
      <c r="AF34" s="23">
        <v>0.5</v>
      </c>
      <c r="AG34" s="23">
        <v>60</v>
      </c>
      <c r="AH34" s="23">
        <v>6</v>
      </c>
      <c r="AI34" s="23">
        <v>0</v>
      </c>
      <c r="AJ34" s="23">
        <v>83.40625</v>
      </c>
      <c r="AK34" s="23">
        <v>56.9375</v>
      </c>
      <c r="AL34" s="23">
        <v>81.4375</v>
      </c>
      <c r="AM34" s="23">
        <v>0.625</v>
      </c>
      <c r="AN34" s="23">
        <v>90</v>
      </c>
      <c r="AO34" s="23">
        <v>4</v>
      </c>
      <c r="AP34" s="23"/>
      <c r="AQ34" s="23">
        <v>56.9375</v>
      </c>
      <c r="AR34" s="23">
        <v>54</v>
      </c>
      <c r="AS34" s="23">
        <v>18.5625</v>
      </c>
      <c r="AT34" s="23">
        <v>0.625</v>
      </c>
      <c r="AU34" s="23">
        <v>36</v>
      </c>
      <c r="AV34" s="23">
        <v>10</v>
      </c>
      <c r="AW34" s="23" t="s">
        <v>470</v>
      </c>
      <c r="AX34" s="23" t="s">
        <v>470</v>
      </c>
      <c r="AY34" s="23" t="s">
        <v>470</v>
      </c>
      <c r="AZ34" s="23" t="s">
        <v>470</v>
      </c>
      <c r="BA34" s="23" t="s">
        <v>470</v>
      </c>
      <c r="BB34" s="23" t="s">
        <v>470</v>
      </c>
      <c r="BC34" s="23" t="s">
        <v>470</v>
      </c>
    </row>
    <row r="35" spans="1:55" x14ac:dyDescent="0.25">
      <c r="A35" s="22" t="s">
        <v>514</v>
      </c>
      <c r="B35" s="23">
        <v>300</v>
      </c>
      <c r="C35" s="23">
        <v>25</v>
      </c>
      <c r="D35" s="24">
        <v>25</v>
      </c>
      <c r="E35" s="24">
        <f t="shared" si="0"/>
        <v>27.774500000000003</v>
      </c>
      <c r="F35" s="24">
        <f t="shared" si="1"/>
        <v>0.33064880952380954</v>
      </c>
      <c r="G35" s="24">
        <f t="shared" si="2"/>
        <v>0.14285714285714285</v>
      </c>
      <c r="H35" s="24">
        <f t="shared" si="3"/>
        <v>3.9677857142857147</v>
      </c>
      <c r="I35" s="23" t="s">
        <v>469</v>
      </c>
      <c r="J35" s="23">
        <v>180</v>
      </c>
      <c r="K35" s="23">
        <f t="shared" si="8"/>
        <v>300</v>
      </c>
      <c r="L35" s="23">
        <f t="shared" si="9"/>
        <v>157</v>
      </c>
      <c r="M35" s="23">
        <f t="shared" si="10"/>
        <v>145</v>
      </c>
      <c r="N35" s="23">
        <v>40</v>
      </c>
      <c r="O35" s="23">
        <v>1.25</v>
      </c>
      <c r="P35" s="23">
        <v>9</v>
      </c>
      <c r="Q35" s="23">
        <v>20</v>
      </c>
      <c r="R35" s="23">
        <f t="shared" si="4"/>
        <v>9</v>
      </c>
      <c r="S35" s="23">
        <f t="shared" si="5"/>
        <v>20</v>
      </c>
      <c r="T35" s="23">
        <f t="shared" si="6"/>
        <v>40</v>
      </c>
      <c r="U35" s="23" t="s">
        <v>470</v>
      </c>
      <c r="V35" s="23">
        <f t="shared" si="7"/>
        <v>20</v>
      </c>
      <c r="W35" s="23">
        <f t="shared" si="11"/>
        <v>150</v>
      </c>
      <c r="X35" s="23">
        <v>122.2255</v>
      </c>
      <c r="Y35" s="23">
        <v>84</v>
      </c>
      <c r="Z35" s="23">
        <v>0.5</v>
      </c>
      <c r="AA35" s="23">
        <v>40</v>
      </c>
      <c r="AB35" s="23">
        <v>9</v>
      </c>
      <c r="AC35" s="23">
        <v>122.2255</v>
      </c>
      <c r="AD35" s="23">
        <v>94.450900000000004</v>
      </c>
      <c r="AE35" s="23">
        <v>84</v>
      </c>
      <c r="AF35" s="23">
        <v>0.5625</v>
      </c>
      <c r="AG35" s="23">
        <v>60</v>
      </c>
      <c r="AH35" s="23">
        <v>6</v>
      </c>
      <c r="AI35" s="23">
        <v>0</v>
      </c>
      <c r="AJ35" s="23">
        <v>94.450900000000004</v>
      </c>
      <c r="AK35" s="23">
        <v>66.676400000000001</v>
      </c>
      <c r="AL35" s="23">
        <v>84</v>
      </c>
      <c r="AM35" s="23">
        <v>0.6875</v>
      </c>
      <c r="AN35" s="23">
        <v>90</v>
      </c>
      <c r="AO35" s="23">
        <v>4</v>
      </c>
      <c r="AP35" s="23">
        <v>0</v>
      </c>
      <c r="AQ35" s="23">
        <v>66.676400000000001</v>
      </c>
      <c r="AR35" s="23">
        <v>57.033299999999997</v>
      </c>
      <c r="AS35" s="23">
        <v>29.1875</v>
      </c>
      <c r="AT35" s="23">
        <v>0.8125</v>
      </c>
      <c r="AU35" s="23">
        <v>90</v>
      </c>
      <c r="AV35" s="23">
        <v>4</v>
      </c>
      <c r="AW35" s="23">
        <v>60</v>
      </c>
      <c r="AX35" s="23">
        <v>57.033299999999997</v>
      </c>
      <c r="AY35" s="23">
        <v>54</v>
      </c>
      <c r="AZ35" s="23">
        <v>18.8125</v>
      </c>
      <c r="BA35" s="23">
        <v>0.8125</v>
      </c>
      <c r="BB35" s="23">
        <v>36</v>
      </c>
      <c r="BC35" s="23">
        <v>10</v>
      </c>
    </row>
    <row r="36" spans="1:55" x14ac:dyDescent="0.25">
      <c r="A36" s="22" t="s">
        <v>516</v>
      </c>
      <c r="B36" s="23">
        <v>300</v>
      </c>
      <c r="C36" s="23">
        <v>28</v>
      </c>
      <c r="D36" s="24">
        <v>25</v>
      </c>
      <c r="E36" s="24">
        <f t="shared" si="0"/>
        <v>33.182649999999995</v>
      </c>
      <c r="F36" s="24">
        <f t="shared" si="1"/>
        <v>0.39503154761904757</v>
      </c>
      <c r="G36" s="24">
        <f t="shared" si="2"/>
        <v>0.14285714285714285</v>
      </c>
      <c r="H36" s="24">
        <f t="shared" si="3"/>
        <v>4.7403785714285709</v>
      </c>
      <c r="I36" s="23" t="s">
        <v>469</v>
      </c>
      <c r="J36" s="23">
        <v>180</v>
      </c>
      <c r="K36" s="23">
        <f t="shared" si="8"/>
        <v>336</v>
      </c>
      <c r="L36" s="23">
        <f t="shared" si="9"/>
        <v>175</v>
      </c>
      <c r="M36" s="23">
        <f t="shared" si="10"/>
        <v>163</v>
      </c>
      <c r="N36" s="23">
        <v>40</v>
      </c>
      <c r="O36" s="23">
        <v>1.1875</v>
      </c>
      <c r="P36" s="23">
        <v>9</v>
      </c>
      <c r="Q36" s="23">
        <v>16</v>
      </c>
      <c r="R36" s="23">
        <f t="shared" si="4"/>
        <v>11.25</v>
      </c>
      <c r="S36" s="23">
        <f t="shared" si="5"/>
        <v>16</v>
      </c>
      <c r="T36" s="23">
        <f t="shared" si="6"/>
        <v>32</v>
      </c>
      <c r="U36" s="23" t="s">
        <v>470</v>
      </c>
      <c r="V36" s="23">
        <f t="shared" si="7"/>
        <v>16</v>
      </c>
      <c r="W36" s="23">
        <f t="shared" si="11"/>
        <v>168</v>
      </c>
      <c r="X36" s="23">
        <v>134.81735</v>
      </c>
      <c r="Y36" s="23">
        <v>84</v>
      </c>
      <c r="Z36" s="23">
        <v>0.5</v>
      </c>
      <c r="AA36" s="23">
        <v>40</v>
      </c>
      <c r="AB36" s="23">
        <v>9</v>
      </c>
      <c r="AC36" s="23">
        <v>134.81735</v>
      </c>
      <c r="AD36" s="23">
        <v>101.6347</v>
      </c>
      <c r="AE36" s="23">
        <v>84</v>
      </c>
      <c r="AF36" s="23">
        <v>0.5</v>
      </c>
      <c r="AG36" s="23">
        <v>45</v>
      </c>
      <c r="AH36" s="23">
        <v>8</v>
      </c>
      <c r="AI36" s="23">
        <v>0</v>
      </c>
      <c r="AJ36" s="23">
        <v>101.6347</v>
      </c>
      <c r="AK36" s="23">
        <v>68.45205</v>
      </c>
      <c r="AL36" s="23">
        <v>84</v>
      </c>
      <c r="AM36" s="23">
        <v>0.625</v>
      </c>
      <c r="AN36" s="23">
        <v>60</v>
      </c>
      <c r="AO36" s="23">
        <v>6</v>
      </c>
      <c r="AP36" s="23">
        <v>0</v>
      </c>
      <c r="AQ36" s="23">
        <v>68.45205</v>
      </c>
      <c r="AR36" s="23">
        <v>58.205950000000001</v>
      </c>
      <c r="AS36" s="23">
        <v>25.9375</v>
      </c>
      <c r="AT36" s="23">
        <v>0.6875</v>
      </c>
      <c r="AU36" s="23">
        <v>90</v>
      </c>
      <c r="AV36" s="23">
        <v>4</v>
      </c>
      <c r="AW36" s="23"/>
      <c r="AX36" s="23">
        <v>58.205950000000001</v>
      </c>
      <c r="AY36" s="23">
        <v>54</v>
      </c>
      <c r="AZ36" s="23">
        <v>22.0625</v>
      </c>
      <c r="BA36" s="23">
        <v>0.6875</v>
      </c>
      <c r="BB36" s="23">
        <v>36</v>
      </c>
      <c r="BC36" s="23">
        <v>10</v>
      </c>
    </row>
    <row r="37" spans="1:55" x14ac:dyDescent="0.25">
      <c r="A37" s="22" t="s">
        <v>517</v>
      </c>
      <c r="B37" s="23">
        <v>300</v>
      </c>
      <c r="C37" s="23">
        <v>30</v>
      </c>
      <c r="D37" s="24">
        <v>30</v>
      </c>
      <c r="E37" s="24">
        <f t="shared" si="0"/>
        <v>30.281599999999997</v>
      </c>
      <c r="F37" s="24">
        <f t="shared" si="1"/>
        <v>0.36049523809523809</v>
      </c>
      <c r="G37" s="24">
        <f t="shared" si="2"/>
        <v>0.14285714285714285</v>
      </c>
      <c r="H37" s="24">
        <f t="shared" si="3"/>
        <v>4.3259428571428566</v>
      </c>
      <c r="I37" s="23" t="s">
        <v>469</v>
      </c>
      <c r="J37" s="23">
        <v>180</v>
      </c>
      <c r="K37" s="23">
        <f t="shared" si="8"/>
        <v>360</v>
      </c>
      <c r="L37" s="23">
        <f t="shared" si="9"/>
        <v>187</v>
      </c>
      <c r="M37" s="23">
        <f t="shared" si="10"/>
        <v>175</v>
      </c>
      <c r="N37" s="23">
        <v>30</v>
      </c>
      <c r="O37" s="23">
        <v>1.1875</v>
      </c>
      <c r="P37" s="23">
        <v>12</v>
      </c>
      <c r="Q37" s="23">
        <v>24</v>
      </c>
      <c r="R37" s="23">
        <f t="shared" si="4"/>
        <v>7.5</v>
      </c>
      <c r="S37" s="23">
        <f t="shared" si="5"/>
        <v>24</v>
      </c>
      <c r="T37" s="23">
        <f t="shared" si="6"/>
        <v>48</v>
      </c>
      <c r="U37" s="23" t="s">
        <v>470</v>
      </c>
      <c r="V37" s="23">
        <f t="shared" si="7"/>
        <v>24</v>
      </c>
      <c r="W37" s="23">
        <f t="shared" si="11"/>
        <v>180</v>
      </c>
      <c r="X37" s="23">
        <v>149.7184</v>
      </c>
      <c r="Y37" s="23">
        <v>84</v>
      </c>
      <c r="Z37" s="23">
        <v>0.5</v>
      </c>
      <c r="AA37" s="23">
        <v>30</v>
      </c>
      <c r="AB37" s="23">
        <v>12</v>
      </c>
      <c r="AC37" s="23">
        <v>149.7184</v>
      </c>
      <c r="AD37" s="23">
        <v>119.4367</v>
      </c>
      <c r="AE37" s="23">
        <v>84</v>
      </c>
      <c r="AF37" s="23">
        <v>0.5</v>
      </c>
      <c r="AG37" s="23">
        <v>36</v>
      </c>
      <c r="AH37" s="23">
        <v>10</v>
      </c>
      <c r="AI37" s="23">
        <v>0</v>
      </c>
      <c r="AJ37" s="23">
        <v>119.4367</v>
      </c>
      <c r="AK37" s="23">
        <v>89.155100000000004</v>
      </c>
      <c r="AL37" s="23">
        <v>84</v>
      </c>
      <c r="AM37" s="23">
        <v>0.5</v>
      </c>
      <c r="AN37" s="23">
        <v>45</v>
      </c>
      <c r="AO37" s="23">
        <v>8</v>
      </c>
      <c r="AP37" s="23">
        <v>0</v>
      </c>
      <c r="AQ37" s="23">
        <v>89.155100000000004</v>
      </c>
      <c r="AR37" s="23">
        <v>57.566699999999997</v>
      </c>
      <c r="AS37" s="23">
        <v>87.625</v>
      </c>
      <c r="AT37" s="23">
        <v>0.625</v>
      </c>
      <c r="AU37" s="23">
        <v>60</v>
      </c>
      <c r="AV37" s="23">
        <v>6</v>
      </c>
      <c r="AW37" s="23"/>
      <c r="AX37" s="23">
        <v>57.566699999999997</v>
      </c>
      <c r="AY37" s="23">
        <v>54</v>
      </c>
      <c r="AZ37" s="23">
        <v>20.375</v>
      </c>
      <c r="BA37" s="23">
        <v>0.6875</v>
      </c>
      <c r="BB37" s="23">
        <v>36</v>
      </c>
      <c r="BC37" s="23">
        <v>10</v>
      </c>
    </row>
    <row r="38" spans="1:55" x14ac:dyDescent="0.25">
      <c r="A38" s="22" t="s">
        <v>518</v>
      </c>
      <c r="B38" s="23">
        <v>300</v>
      </c>
      <c r="C38" s="23">
        <v>32</v>
      </c>
      <c r="D38" s="24">
        <v>25</v>
      </c>
      <c r="E38" s="24">
        <f t="shared" si="0"/>
        <v>40.489299999999986</v>
      </c>
      <c r="F38" s="24">
        <f t="shared" si="1"/>
        <v>0.48201547619047602</v>
      </c>
      <c r="G38" s="24">
        <f t="shared" si="2"/>
        <v>0.14285714285714285</v>
      </c>
      <c r="H38" s="24">
        <f t="shared" si="3"/>
        <v>5.7841857142857123</v>
      </c>
      <c r="I38" s="23" t="s">
        <v>469</v>
      </c>
      <c r="J38" s="23">
        <v>180</v>
      </c>
      <c r="K38" s="23">
        <f t="shared" si="8"/>
        <v>384</v>
      </c>
      <c r="L38" s="23">
        <f t="shared" si="9"/>
        <v>199</v>
      </c>
      <c r="M38" s="23">
        <f t="shared" si="10"/>
        <v>187</v>
      </c>
      <c r="N38" s="23">
        <v>30</v>
      </c>
      <c r="O38" s="23">
        <v>2</v>
      </c>
      <c r="P38" s="23">
        <v>12</v>
      </c>
      <c r="Q38" s="23">
        <v>24</v>
      </c>
      <c r="R38" s="23">
        <f t="shared" si="4"/>
        <v>7.5</v>
      </c>
      <c r="S38" s="23">
        <f t="shared" si="5"/>
        <v>24</v>
      </c>
      <c r="T38" s="23">
        <f t="shared" si="6"/>
        <v>48</v>
      </c>
      <c r="U38" s="23" t="s">
        <v>470</v>
      </c>
      <c r="V38" s="23">
        <f t="shared" si="7"/>
        <v>24</v>
      </c>
      <c r="W38" s="23">
        <f t="shared" si="11"/>
        <v>192</v>
      </c>
      <c r="X38" s="23">
        <v>151.51070000000001</v>
      </c>
      <c r="Y38" s="23">
        <v>84</v>
      </c>
      <c r="Z38" s="23">
        <v>0.5</v>
      </c>
      <c r="AA38" s="23">
        <v>30</v>
      </c>
      <c r="AB38" s="23">
        <v>12</v>
      </c>
      <c r="AC38" s="23">
        <v>151.51070000000001</v>
      </c>
      <c r="AD38" s="23">
        <v>111.0215</v>
      </c>
      <c r="AE38" s="23">
        <v>84</v>
      </c>
      <c r="AF38" s="23">
        <v>0.5</v>
      </c>
      <c r="AG38" s="23">
        <v>40</v>
      </c>
      <c r="AH38" s="23">
        <v>9</v>
      </c>
      <c r="AI38" s="23">
        <v>0</v>
      </c>
      <c r="AJ38" s="23">
        <v>111.0215</v>
      </c>
      <c r="AK38" s="23">
        <v>70.532200000000003</v>
      </c>
      <c r="AL38" s="23">
        <v>84</v>
      </c>
      <c r="AM38" s="23">
        <v>0.6875</v>
      </c>
      <c r="AN38" s="23">
        <v>45</v>
      </c>
      <c r="AO38" s="23">
        <v>8</v>
      </c>
      <c r="AP38" s="23">
        <v>0</v>
      </c>
      <c r="AQ38" s="23">
        <v>70.532200000000003</v>
      </c>
      <c r="AR38" s="23">
        <v>59.895499999999998</v>
      </c>
      <c r="AS38" s="23">
        <v>21.9375</v>
      </c>
      <c r="AT38" s="23">
        <v>0.8125</v>
      </c>
      <c r="AU38" s="23">
        <v>90</v>
      </c>
      <c r="AV38" s="23">
        <v>4</v>
      </c>
      <c r="AW38" s="23"/>
      <c r="AX38" s="23">
        <v>59.895499999999998</v>
      </c>
      <c r="AY38" s="23">
        <v>54</v>
      </c>
      <c r="AZ38" s="23">
        <v>26.0625</v>
      </c>
      <c r="BA38" s="23">
        <v>0.8125</v>
      </c>
      <c r="BB38" s="23">
        <v>36</v>
      </c>
      <c r="BC38" s="23">
        <v>10</v>
      </c>
    </row>
    <row r="39" spans="1:55" x14ac:dyDescent="0.25">
      <c r="A39" s="22" t="s">
        <v>519</v>
      </c>
      <c r="B39" s="23">
        <v>300</v>
      </c>
      <c r="C39" s="23">
        <v>32</v>
      </c>
      <c r="D39" s="24">
        <v>30</v>
      </c>
      <c r="E39" s="24">
        <f t="shared" si="0"/>
        <v>31.767699999999991</v>
      </c>
      <c r="F39" s="24">
        <f t="shared" si="1"/>
        <v>0.37818690476190464</v>
      </c>
      <c r="G39" s="24">
        <f t="shared" si="2"/>
        <v>0.14285714285714285</v>
      </c>
      <c r="H39" s="24">
        <f t="shared" si="3"/>
        <v>4.5382428571428557</v>
      </c>
      <c r="I39" s="23" t="s">
        <v>469</v>
      </c>
      <c r="J39" s="23">
        <v>180</v>
      </c>
      <c r="K39" s="23">
        <f t="shared" si="8"/>
        <v>384</v>
      </c>
      <c r="L39" s="23">
        <f t="shared" si="9"/>
        <v>199</v>
      </c>
      <c r="M39" s="23">
        <f t="shared" si="10"/>
        <v>187</v>
      </c>
      <c r="N39" s="23">
        <v>30</v>
      </c>
      <c r="O39" s="23">
        <v>1.375</v>
      </c>
      <c r="P39" s="23">
        <v>12</v>
      </c>
      <c r="Q39" s="23">
        <v>24</v>
      </c>
      <c r="R39" s="23">
        <f t="shared" si="4"/>
        <v>7.5</v>
      </c>
      <c r="S39" s="23">
        <f t="shared" si="5"/>
        <v>24</v>
      </c>
      <c r="T39" s="23">
        <f t="shared" si="6"/>
        <v>48</v>
      </c>
      <c r="U39" s="23" t="s">
        <v>470</v>
      </c>
      <c r="V39" s="23">
        <f t="shared" si="7"/>
        <v>24</v>
      </c>
      <c r="W39" s="23">
        <f t="shared" si="11"/>
        <v>192</v>
      </c>
      <c r="X39" s="23">
        <v>160.23230000000001</v>
      </c>
      <c r="Y39" s="23">
        <v>84</v>
      </c>
      <c r="Z39" s="23">
        <v>0.625</v>
      </c>
      <c r="AA39" s="23">
        <v>30</v>
      </c>
      <c r="AB39" s="23">
        <v>12</v>
      </c>
      <c r="AC39" s="23">
        <v>160.23230000000001</v>
      </c>
      <c r="AD39" s="23">
        <v>128.46449999999999</v>
      </c>
      <c r="AE39" s="23">
        <v>84</v>
      </c>
      <c r="AF39" s="23">
        <v>0.6875</v>
      </c>
      <c r="AG39" s="23">
        <v>36</v>
      </c>
      <c r="AH39" s="23">
        <v>10</v>
      </c>
      <c r="AI39" s="23">
        <v>0</v>
      </c>
      <c r="AJ39" s="23">
        <v>128.46449999999999</v>
      </c>
      <c r="AK39" s="23">
        <v>96.696799999999996</v>
      </c>
      <c r="AL39" s="23">
        <v>84</v>
      </c>
      <c r="AM39" s="23">
        <v>0.75</v>
      </c>
      <c r="AN39" s="23">
        <v>45</v>
      </c>
      <c r="AO39" s="23">
        <v>8</v>
      </c>
      <c r="AP39" s="23">
        <v>0</v>
      </c>
      <c r="AQ39" s="23">
        <v>96.696799999999996</v>
      </c>
      <c r="AR39" s="23">
        <v>63.879300000000001</v>
      </c>
      <c r="AS39" s="23">
        <v>86.75</v>
      </c>
      <c r="AT39" s="23">
        <v>1</v>
      </c>
      <c r="AU39" s="23">
        <v>60</v>
      </c>
      <c r="AV39" s="23">
        <v>6</v>
      </c>
      <c r="AW39" s="23"/>
      <c r="AX39" s="23">
        <v>63.879300000000001</v>
      </c>
      <c r="AY39" s="23">
        <v>60</v>
      </c>
      <c r="AZ39" s="23">
        <v>21.25</v>
      </c>
      <c r="BA39" s="23">
        <v>1.125</v>
      </c>
      <c r="BB39" s="23">
        <v>36</v>
      </c>
      <c r="BC39" s="23">
        <v>10</v>
      </c>
    </row>
    <row r="40" spans="1:55" x14ac:dyDescent="0.25">
      <c r="A40" s="22" t="s">
        <v>520</v>
      </c>
      <c r="B40" s="23">
        <v>300</v>
      </c>
      <c r="C40" s="23">
        <v>34</v>
      </c>
      <c r="D40" s="24">
        <v>30</v>
      </c>
      <c r="E40" s="24">
        <f t="shared" si="0"/>
        <v>36.247899999999987</v>
      </c>
      <c r="F40" s="24">
        <f t="shared" si="1"/>
        <v>0.4315226190476189</v>
      </c>
      <c r="G40" s="24">
        <f t="shared" si="2"/>
        <v>0.14285714285714285</v>
      </c>
      <c r="H40" s="24">
        <f t="shared" si="3"/>
        <v>5.1782714285714269</v>
      </c>
      <c r="I40" s="23" t="s">
        <v>469</v>
      </c>
      <c r="J40" s="23">
        <v>180</v>
      </c>
      <c r="K40" s="23">
        <f t="shared" si="8"/>
        <v>408</v>
      </c>
      <c r="L40" s="23">
        <f t="shared" si="9"/>
        <v>211</v>
      </c>
      <c r="M40" s="23">
        <f t="shared" si="10"/>
        <v>199</v>
      </c>
      <c r="N40" s="23">
        <v>30</v>
      </c>
      <c r="O40" s="23">
        <v>1.125</v>
      </c>
      <c r="P40" s="23">
        <v>12</v>
      </c>
      <c r="Q40" s="23">
        <v>28</v>
      </c>
      <c r="R40" s="23">
        <f t="shared" si="4"/>
        <v>6.4285714285714288</v>
      </c>
      <c r="S40" s="23">
        <f t="shared" si="5"/>
        <v>28</v>
      </c>
      <c r="T40" s="23">
        <f t="shared" si="6"/>
        <v>56</v>
      </c>
      <c r="U40" s="23" t="s">
        <v>470</v>
      </c>
      <c r="V40" s="23">
        <f t="shared" si="7"/>
        <v>28</v>
      </c>
      <c r="W40" s="23">
        <f t="shared" si="11"/>
        <v>204</v>
      </c>
      <c r="X40" s="23">
        <v>167.75210000000001</v>
      </c>
      <c r="Y40" s="23">
        <v>84</v>
      </c>
      <c r="Z40" s="23">
        <v>0.625</v>
      </c>
      <c r="AA40" s="23">
        <v>30</v>
      </c>
      <c r="AB40" s="23">
        <v>12</v>
      </c>
      <c r="AC40" s="23">
        <v>167.75210000000001</v>
      </c>
      <c r="AD40" s="23">
        <v>131.5043</v>
      </c>
      <c r="AE40" s="23">
        <v>84</v>
      </c>
      <c r="AF40" s="23">
        <v>0.625</v>
      </c>
      <c r="AG40" s="23">
        <v>36</v>
      </c>
      <c r="AH40" s="23">
        <v>10</v>
      </c>
      <c r="AI40" s="23">
        <v>0</v>
      </c>
      <c r="AJ40" s="23">
        <v>131.5043</v>
      </c>
      <c r="AK40" s="23">
        <v>95.256399999999999</v>
      </c>
      <c r="AL40" s="23">
        <v>84</v>
      </c>
      <c r="AM40" s="23">
        <v>0.8125</v>
      </c>
      <c r="AN40" s="23">
        <v>45</v>
      </c>
      <c r="AO40" s="23">
        <v>8</v>
      </c>
      <c r="AP40" s="23">
        <v>0</v>
      </c>
      <c r="AQ40" s="23">
        <v>95.256399999999999</v>
      </c>
      <c r="AR40" s="23">
        <v>58.910299999999999</v>
      </c>
      <c r="AS40" s="23">
        <v>84.25</v>
      </c>
      <c r="AT40" s="23">
        <v>1.1875</v>
      </c>
      <c r="AU40" s="23">
        <v>60</v>
      </c>
      <c r="AV40" s="23">
        <v>6</v>
      </c>
      <c r="AW40" s="23"/>
      <c r="AX40" s="23">
        <v>58.910299999999999</v>
      </c>
      <c r="AY40" s="23">
        <v>54</v>
      </c>
      <c r="AZ40" s="23">
        <v>23.75</v>
      </c>
      <c r="BA40" s="23">
        <v>1.625</v>
      </c>
      <c r="BB40" s="23">
        <v>36</v>
      </c>
      <c r="BC40" s="23">
        <v>10</v>
      </c>
    </row>
    <row r="41" spans="1:55" x14ac:dyDescent="0.25">
      <c r="A41" s="22" t="s">
        <v>521</v>
      </c>
      <c r="B41" s="23">
        <v>300</v>
      </c>
      <c r="C41" s="23">
        <v>38</v>
      </c>
      <c r="D41" s="24">
        <v>30</v>
      </c>
      <c r="E41" s="24">
        <f t="shared" si="0"/>
        <v>42.281200000000013</v>
      </c>
      <c r="F41" s="24">
        <f t="shared" si="1"/>
        <v>0.50334761904761915</v>
      </c>
      <c r="G41" s="24">
        <f t="shared" si="2"/>
        <v>0.14285714285714285</v>
      </c>
      <c r="H41" s="24">
        <f t="shared" si="3"/>
        <v>6.0401714285714299</v>
      </c>
      <c r="I41" s="23" t="s">
        <v>469</v>
      </c>
      <c r="J41" s="23">
        <v>180</v>
      </c>
      <c r="K41" s="23">
        <f t="shared" si="8"/>
        <v>456</v>
      </c>
      <c r="L41" s="23">
        <f t="shared" si="9"/>
        <v>235</v>
      </c>
      <c r="M41" s="23">
        <f t="shared" si="10"/>
        <v>223</v>
      </c>
      <c r="N41" s="23">
        <v>22.5</v>
      </c>
      <c r="O41" s="23">
        <v>1.0625</v>
      </c>
      <c r="P41" s="23">
        <v>16</v>
      </c>
      <c r="Q41" s="23">
        <v>16</v>
      </c>
      <c r="R41" s="23">
        <f t="shared" si="4"/>
        <v>11.25</v>
      </c>
      <c r="S41" s="23">
        <f t="shared" si="5"/>
        <v>16</v>
      </c>
      <c r="T41" s="23">
        <f t="shared" si="6"/>
        <v>32</v>
      </c>
      <c r="U41" s="23"/>
      <c r="V41" s="23">
        <f t="shared" si="7"/>
        <v>16</v>
      </c>
      <c r="W41" s="23">
        <f t="shared" si="11"/>
        <v>228</v>
      </c>
      <c r="X41" s="23">
        <v>185.71879999999999</v>
      </c>
      <c r="Y41" s="23">
        <v>84</v>
      </c>
      <c r="Z41" s="23">
        <v>0.5625</v>
      </c>
      <c r="AA41" s="23">
        <v>22.5</v>
      </c>
      <c r="AB41" s="23">
        <v>16</v>
      </c>
      <c r="AC41" s="23">
        <v>185.71879999999999</v>
      </c>
      <c r="AD41" s="23">
        <v>143.46870000000001</v>
      </c>
      <c r="AE41" s="23">
        <v>84</v>
      </c>
      <c r="AF41" s="23">
        <v>0.5625</v>
      </c>
      <c r="AG41" s="23">
        <v>30</v>
      </c>
      <c r="AH41" s="23">
        <v>12</v>
      </c>
      <c r="AI41" s="23">
        <v>0</v>
      </c>
      <c r="AJ41" s="23">
        <v>143.46870000000001</v>
      </c>
      <c r="AK41" s="23">
        <v>101.1875</v>
      </c>
      <c r="AL41" s="23">
        <v>84</v>
      </c>
      <c r="AM41" s="23">
        <v>0.5625</v>
      </c>
      <c r="AN41" s="23">
        <v>36</v>
      </c>
      <c r="AO41" s="23">
        <v>10</v>
      </c>
      <c r="AP41" s="23">
        <v>0</v>
      </c>
      <c r="AQ41" s="23">
        <v>101.1875</v>
      </c>
      <c r="AR41" s="23">
        <v>60.40625</v>
      </c>
      <c r="AS41" s="23">
        <v>81</v>
      </c>
      <c r="AT41" s="23">
        <v>0.6875</v>
      </c>
      <c r="AU41" s="23">
        <v>45</v>
      </c>
      <c r="AV41" s="23">
        <v>8</v>
      </c>
      <c r="AW41" s="23"/>
      <c r="AX41" s="23">
        <v>60.40625</v>
      </c>
      <c r="AY41" s="23">
        <v>54</v>
      </c>
      <c r="AZ41" s="23">
        <v>27</v>
      </c>
      <c r="BA41" s="23">
        <v>0.8125</v>
      </c>
      <c r="BB41" s="23">
        <v>36</v>
      </c>
      <c r="BC41" s="23">
        <v>10</v>
      </c>
    </row>
    <row r="42" spans="1:55" x14ac:dyDescent="0.25">
      <c r="A42" s="22" t="s">
        <v>522</v>
      </c>
      <c r="B42" s="23">
        <v>325</v>
      </c>
      <c r="C42" s="23">
        <v>25</v>
      </c>
      <c r="D42" s="24">
        <v>25</v>
      </c>
      <c r="E42" s="24">
        <f t="shared" si="0"/>
        <v>27.78125</v>
      </c>
      <c r="F42" s="24">
        <f t="shared" si="1"/>
        <v>0.33072916666666669</v>
      </c>
      <c r="G42" s="24">
        <f t="shared" si="2"/>
        <v>0.14285714285714285</v>
      </c>
      <c r="H42" s="24">
        <f t="shared" si="3"/>
        <v>3.96875</v>
      </c>
      <c r="I42" s="23" t="s">
        <v>469</v>
      </c>
      <c r="J42" s="23">
        <v>180</v>
      </c>
      <c r="K42" s="23">
        <f t="shared" si="8"/>
        <v>300</v>
      </c>
      <c r="L42" s="23">
        <f t="shared" si="9"/>
        <v>157</v>
      </c>
      <c r="M42" s="23">
        <f t="shared" si="10"/>
        <v>145</v>
      </c>
      <c r="N42" s="23">
        <v>40</v>
      </c>
      <c r="O42" s="23">
        <v>1.5</v>
      </c>
      <c r="P42" s="23">
        <v>9</v>
      </c>
      <c r="Q42" s="23">
        <v>16</v>
      </c>
      <c r="R42" s="23">
        <f t="shared" si="4"/>
        <v>11.25</v>
      </c>
      <c r="S42" s="23">
        <f t="shared" si="5"/>
        <v>16</v>
      </c>
      <c r="T42" s="23">
        <f t="shared" si="6"/>
        <v>32</v>
      </c>
      <c r="U42" s="23" t="s">
        <v>470</v>
      </c>
      <c r="V42" s="23">
        <f t="shared" si="7"/>
        <v>16</v>
      </c>
      <c r="W42" s="23">
        <f t="shared" si="11"/>
        <v>150</v>
      </c>
      <c r="X42" s="23">
        <v>122.21875</v>
      </c>
      <c r="Y42" s="23">
        <v>84</v>
      </c>
      <c r="Z42" s="23">
        <v>0.5</v>
      </c>
      <c r="AA42" s="23">
        <v>40</v>
      </c>
      <c r="AB42" s="23">
        <v>9</v>
      </c>
      <c r="AC42" s="23">
        <v>122.21875</v>
      </c>
      <c r="AD42" s="23">
        <v>94.4375</v>
      </c>
      <c r="AE42" s="23">
        <v>84</v>
      </c>
      <c r="AF42" s="23">
        <v>0.5</v>
      </c>
      <c r="AG42" s="23">
        <v>60</v>
      </c>
      <c r="AH42" s="23">
        <v>6</v>
      </c>
      <c r="AI42" s="23">
        <v>0</v>
      </c>
      <c r="AJ42" s="23">
        <v>94.4375</v>
      </c>
      <c r="AK42" s="23">
        <v>66.6875</v>
      </c>
      <c r="AL42" s="23">
        <v>84</v>
      </c>
      <c r="AM42" s="23">
        <v>0.5625</v>
      </c>
      <c r="AN42" s="23">
        <v>90</v>
      </c>
      <c r="AO42" s="23">
        <v>4</v>
      </c>
      <c r="AP42" s="23">
        <v>0</v>
      </c>
      <c r="AQ42" s="23">
        <v>66.6875</v>
      </c>
      <c r="AR42" s="23">
        <v>57.03125</v>
      </c>
      <c r="AS42" s="23">
        <v>29.1875</v>
      </c>
      <c r="AT42" s="23">
        <v>0.625</v>
      </c>
      <c r="AU42" s="23">
        <v>90</v>
      </c>
      <c r="AV42" s="23">
        <v>4</v>
      </c>
      <c r="AW42" s="23">
        <v>60</v>
      </c>
      <c r="AX42" s="23">
        <v>57.03125</v>
      </c>
      <c r="AY42" s="23">
        <v>54</v>
      </c>
      <c r="AZ42" s="23">
        <v>18.8125</v>
      </c>
      <c r="BA42" s="23">
        <v>0.625</v>
      </c>
      <c r="BB42" s="23">
        <v>36</v>
      </c>
      <c r="BC42" s="23">
        <v>10</v>
      </c>
    </row>
    <row r="43" spans="1:55" x14ac:dyDescent="0.25">
      <c r="A43" s="22" t="s">
        <v>524</v>
      </c>
      <c r="B43" s="23">
        <v>400</v>
      </c>
      <c r="C43" s="23">
        <v>25</v>
      </c>
      <c r="D43" s="24">
        <v>25</v>
      </c>
      <c r="E43" s="24">
        <f t="shared" si="0"/>
        <v>25.985500000000002</v>
      </c>
      <c r="F43" s="24">
        <f t="shared" si="1"/>
        <v>0.30935119047619047</v>
      </c>
      <c r="G43" s="24">
        <f t="shared" si="2"/>
        <v>0.14285714285714285</v>
      </c>
      <c r="H43" s="24">
        <f t="shared" si="3"/>
        <v>3.7122142857142859</v>
      </c>
      <c r="I43" s="23" t="s">
        <v>469</v>
      </c>
      <c r="J43" s="23">
        <v>180</v>
      </c>
      <c r="K43" s="23">
        <f t="shared" si="8"/>
        <v>300</v>
      </c>
      <c r="L43" s="23">
        <f t="shared" si="9"/>
        <v>157</v>
      </c>
      <c r="M43" s="23">
        <f t="shared" si="10"/>
        <v>145</v>
      </c>
      <c r="N43" s="23">
        <v>40</v>
      </c>
      <c r="O43" s="23">
        <v>1.5</v>
      </c>
      <c r="P43" s="23">
        <v>9</v>
      </c>
      <c r="Q43" s="23">
        <v>20</v>
      </c>
      <c r="R43" s="23">
        <f t="shared" si="4"/>
        <v>9</v>
      </c>
      <c r="S43" s="23">
        <f t="shared" si="5"/>
        <v>20</v>
      </c>
      <c r="T43" s="23">
        <f t="shared" si="6"/>
        <v>40</v>
      </c>
      <c r="U43" s="23" t="s">
        <v>470</v>
      </c>
      <c r="V43" s="23">
        <f t="shared" si="7"/>
        <v>20</v>
      </c>
      <c r="W43" s="23">
        <f t="shared" si="11"/>
        <v>150</v>
      </c>
      <c r="X43" s="23">
        <v>124.0145</v>
      </c>
      <c r="Y43" s="23">
        <v>84</v>
      </c>
      <c r="Z43" s="23">
        <v>0.625</v>
      </c>
      <c r="AA43" s="23">
        <v>40</v>
      </c>
      <c r="AB43" s="23">
        <v>9</v>
      </c>
      <c r="AC43" s="23">
        <v>124.0145</v>
      </c>
      <c r="AD43" s="23">
        <v>98.028999999999996</v>
      </c>
      <c r="AE43" s="23">
        <v>84</v>
      </c>
      <c r="AF43" s="23">
        <v>0.6875</v>
      </c>
      <c r="AG43" s="23">
        <v>60</v>
      </c>
      <c r="AH43" s="23">
        <v>6</v>
      </c>
      <c r="AI43" s="23">
        <v>0</v>
      </c>
      <c r="AJ43" s="23">
        <v>98.028999999999996</v>
      </c>
      <c r="AK43" s="23">
        <v>72.043499999999995</v>
      </c>
      <c r="AL43" s="23">
        <v>84</v>
      </c>
      <c r="AM43" s="23">
        <v>0.875</v>
      </c>
      <c r="AN43" s="23">
        <v>60</v>
      </c>
      <c r="AO43" s="23">
        <v>6</v>
      </c>
      <c r="AP43" s="23">
        <v>0</v>
      </c>
      <c r="AQ43" s="23">
        <v>72.043499999999995</v>
      </c>
      <c r="AR43" s="23">
        <v>62.680100000000003</v>
      </c>
      <c r="AS43" s="23">
        <v>30.25</v>
      </c>
      <c r="AT43" s="23">
        <v>1</v>
      </c>
      <c r="AU43" s="23">
        <v>90</v>
      </c>
      <c r="AV43" s="23">
        <v>4</v>
      </c>
      <c r="AW43" s="23">
        <v>60</v>
      </c>
      <c r="AX43" s="23">
        <v>62.680100000000003</v>
      </c>
      <c r="AY43" s="23">
        <v>60</v>
      </c>
      <c r="AZ43" s="23">
        <v>17.75</v>
      </c>
      <c r="BA43" s="23">
        <v>1</v>
      </c>
      <c r="BB43" s="23">
        <v>36</v>
      </c>
      <c r="BC43" s="23">
        <v>10</v>
      </c>
    </row>
    <row r="44" spans="1:55" x14ac:dyDescent="0.25">
      <c r="A44" s="22" t="s">
        <v>526</v>
      </c>
      <c r="B44" s="23">
        <v>400</v>
      </c>
      <c r="C44" s="23">
        <v>28</v>
      </c>
      <c r="D44" s="24">
        <v>25</v>
      </c>
      <c r="E44" s="24">
        <f t="shared" si="0"/>
        <v>31.373500000000007</v>
      </c>
      <c r="F44" s="24">
        <f t="shared" si="1"/>
        <v>0.3734940476190477</v>
      </c>
      <c r="G44" s="24">
        <f t="shared" si="2"/>
        <v>0.14285714285714285</v>
      </c>
      <c r="H44" s="24">
        <f t="shared" si="3"/>
        <v>4.4819285714285719</v>
      </c>
      <c r="I44" s="23" t="s">
        <v>469</v>
      </c>
      <c r="J44" s="23">
        <v>180</v>
      </c>
      <c r="K44" s="23">
        <f t="shared" si="8"/>
        <v>336</v>
      </c>
      <c r="L44" s="23">
        <f t="shared" si="9"/>
        <v>175</v>
      </c>
      <c r="M44" s="23">
        <f t="shared" si="10"/>
        <v>163</v>
      </c>
      <c r="N44" s="23">
        <v>40</v>
      </c>
      <c r="O44" s="23">
        <v>1.375</v>
      </c>
      <c r="P44" s="23">
        <v>9</v>
      </c>
      <c r="Q44" s="23">
        <v>24</v>
      </c>
      <c r="R44" s="23">
        <f t="shared" si="4"/>
        <v>7.5</v>
      </c>
      <c r="S44" s="23">
        <f t="shared" si="5"/>
        <v>24</v>
      </c>
      <c r="T44" s="23">
        <f t="shared" si="6"/>
        <v>48</v>
      </c>
      <c r="U44" s="23" t="s">
        <v>470</v>
      </c>
      <c r="V44" s="23">
        <f t="shared" si="7"/>
        <v>24</v>
      </c>
      <c r="W44" s="23">
        <f t="shared" si="11"/>
        <v>168</v>
      </c>
      <c r="X44" s="23">
        <v>136.62649999999999</v>
      </c>
      <c r="Y44" s="23">
        <v>84</v>
      </c>
      <c r="Z44" s="23">
        <v>0.5625</v>
      </c>
      <c r="AA44" s="23">
        <v>40</v>
      </c>
      <c r="AB44" s="23">
        <v>9</v>
      </c>
      <c r="AC44" s="23">
        <v>136.62649999999999</v>
      </c>
      <c r="AD44" s="23">
        <v>105.2529</v>
      </c>
      <c r="AE44" s="23">
        <v>84</v>
      </c>
      <c r="AF44" s="23">
        <v>0.625</v>
      </c>
      <c r="AG44" s="23">
        <v>60</v>
      </c>
      <c r="AH44" s="23">
        <v>6</v>
      </c>
      <c r="AI44" s="23">
        <v>0</v>
      </c>
      <c r="AJ44" s="23">
        <v>105.2529</v>
      </c>
      <c r="AK44" s="23">
        <v>73.879400000000004</v>
      </c>
      <c r="AL44" s="23">
        <v>84</v>
      </c>
      <c r="AM44" s="23">
        <v>0.75</v>
      </c>
      <c r="AN44" s="23">
        <v>60</v>
      </c>
      <c r="AO44" s="23">
        <v>6</v>
      </c>
      <c r="AP44" s="23">
        <v>0</v>
      </c>
      <c r="AQ44" s="23">
        <v>73.879400000000004</v>
      </c>
      <c r="AR44" s="23">
        <v>63.792499999999997</v>
      </c>
      <c r="AS44" s="23">
        <v>27</v>
      </c>
      <c r="AT44" s="23">
        <v>0.875</v>
      </c>
      <c r="AU44" s="23">
        <v>90</v>
      </c>
      <c r="AV44" s="23">
        <v>4</v>
      </c>
      <c r="AW44" s="23"/>
      <c r="AX44" s="23">
        <v>63.792499999999997</v>
      </c>
      <c r="AY44" s="23">
        <v>60</v>
      </c>
      <c r="AZ44" s="23">
        <v>21</v>
      </c>
      <c r="BA44" s="23">
        <v>0.875</v>
      </c>
      <c r="BB44" s="23">
        <v>36</v>
      </c>
      <c r="BC44" s="23">
        <v>10</v>
      </c>
    </row>
    <row r="45" spans="1:55" x14ac:dyDescent="0.25">
      <c r="A45" s="22" t="s">
        <v>527</v>
      </c>
      <c r="B45" s="23">
        <v>400</v>
      </c>
      <c r="C45" s="23">
        <v>30</v>
      </c>
      <c r="D45" s="24">
        <v>30</v>
      </c>
      <c r="E45" s="24">
        <f t="shared" si="0"/>
        <v>28.800000000000011</v>
      </c>
      <c r="F45" s="24">
        <f t="shared" si="1"/>
        <v>0.34285714285714297</v>
      </c>
      <c r="G45" s="24">
        <f t="shared" si="2"/>
        <v>0.14285714285714285</v>
      </c>
      <c r="H45" s="24">
        <f t="shared" si="3"/>
        <v>4.1142857142857157</v>
      </c>
      <c r="I45" s="23" t="s">
        <v>469</v>
      </c>
      <c r="J45" s="23">
        <v>180</v>
      </c>
      <c r="K45" s="23">
        <f t="shared" si="8"/>
        <v>360</v>
      </c>
      <c r="L45" s="23">
        <f t="shared" si="9"/>
        <v>187</v>
      </c>
      <c r="M45" s="23">
        <f t="shared" si="10"/>
        <v>175</v>
      </c>
      <c r="N45" s="23">
        <v>30</v>
      </c>
      <c r="O45" s="23">
        <v>1.3125</v>
      </c>
      <c r="P45" s="23">
        <v>12</v>
      </c>
      <c r="Q45" s="23">
        <v>20</v>
      </c>
      <c r="R45" s="23">
        <f t="shared" si="4"/>
        <v>9</v>
      </c>
      <c r="S45" s="23">
        <f t="shared" si="5"/>
        <v>20</v>
      </c>
      <c r="T45" s="23">
        <f t="shared" si="6"/>
        <v>40</v>
      </c>
      <c r="U45" s="23" t="s">
        <v>470</v>
      </c>
      <c r="V45" s="23">
        <f t="shared" si="7"/>
        <v>20</v>
      </c>
      <c r="W45" s="23">
        <f t="shared" si="11"/>
        <v>180</v>
      </c>
      <c r="X45" s="23">
        <v>151.19999999999999</v>
      </c>
      <c r="Y45" s="23">
        <v>84</v>
      </c>
      <c r="Z45" s="23">
        <v>0.5625</v>
      </c>
      <c r="AA45" s="23">
        <v>30</v>
      </c>
      <c r="AB45" s="23">
        <v>12</v>
      </c>
      <c r="AC45" s="23">
        <v>151.19999999999999</v>
      </c>
      <c r="AD45" s="23">
        <v>122.4</v>
      </c>
      <c r="AE45" s="23">
        <v>84</v>
      </c>
      <c r="AF45" s="23">
        <v>0.5625</v>
      </c>
      <c r="AG45" s="23">
        <v>45</v>
      </c>
      <c r="AH45" s="23">
        <v>8</v>
      </c>
      <c r="AI45" s="23">
        <v>0</v>
      </c>
      <c r="AJ45" s="23">
        <v>122.4</v>
      </c>
      <c r="AK45" s="23">
        <v>92.914299999999997</v>
      </c>
      <c r="AL45" s="23">
        <v>86</v>
      </c>
      <c r="AM45" s="23">
        <v>0.625</v>
      </c>
      <c r="AN45" s="23">
        <v>60</v>
      </c>
      <c r="AO45" s="23">
        <v>6</v>
      </c>
      <c r="AP45" s="23">
        <v>0</v>
      </c>
      <c r="AQ45" s="23">
        <v>92.914299999999997</v>
      </c>
      <c r="AR45" s="23">
        <v>63.243200000000002</v>
      </c>
      <c r="AS45" s="23">
        <v>86.5625</v>
      </c>
      <c r="AT45" s="23">
        <v>0.75</v>
      </c>
      <c r="AU45" s="23">
        <v>90</v>
      </c>
      <c r="AV45" s="23">
        <v>4</v>
      </c>
      <c r="AW45" s="23"/>
      <c r="AX45" s="23">
        <v>63.243200000000002</v>
      </c>
      <c r="AY45" s="23">
        <v>60</v>
      </c>
      <c r="AZ45" s="23">
        <v>19.4375</v>
      </c>
      <c r="BA45" s="23">
        <v>0.75</v>
      </c>
      <c r="BB45" s="23">
        <v>36</v>
      </c>
      <c r="BC45" s="23">
        <v>10</v>
      </c>
    </row>
    <row r="46" spans="1:55" x14ac:dyDescent="0.25">
      <c r="A46" s="22" t="s">
        <v>529</v>
      </c>
      <c r="B46" s="23">
        <v>400</v>
      </c>
      <c r="C46" s="23">
        <v>32</v>
      </c>
      <c r="D46" s="24">
        <v>25</v>
      </c>
      <c r="E46" s="24">
        <f t="shared" si="0"/>
        <v>38.65625</v>
      </c>
      <c r="F46" s="24">
        <f t="shared" si="1"/>
        <v>0.46019345238095238</v>
      </c>
      <c r="G46" s="24">
        <f t="shared" si="2"/>
        <v>0.14285714285714285</v>
      </c>
      <c r="H46" s="24">
        <f t="shared" si="3"/>
        <v>5.5223214285714279</v>
      </c>
      <c r="I46" s="23" t="s">
        <v>469</v>
      </c>
      <c r="J46" s="23">
        <v>180</v>
      </c>
      <c r="K46" s="23">
        <f t="shared" si="8"/>
        <v>384</v>
      </c>
      <c r="L46" s="23">
        <f t="shared" si="9"/>
        <v>199</v>
      </c>
      <c r="M46" s="23">
        <f t="shared" si="10"/>
        <v>187</v>
      </c>
      <c r="N46" s="23">
        <v>30</v>
      </c>
      <c r="O46" s="23">
        <v>1.6875</v>
      </c>
      <c r="P46" s="23">
        <v>12</v>
      </c>
      <c r="Q46" s="23">
        <v>36</v>
      </c>
      <c r="R46" s="23">
        <f t="shared" si="4"/>
        <v>5</v>
      </c>
      <c r="S46" s="23">
        <f t="shared" si="5"/>
        <v>36</v>
      </c>
      <c r="T46" s="23">
        <f t="shared" si="6"/>
        <v>72</v>
      </c>
      <c r="U46" s="23" t="s">
        <v>470</v>
      </c>
      <c r="V46" s="23">
        <f t="shared" si="7"/>
        <v>36</v>
      </c>
      <c r="W46" s="23">
        <f t="shared" si="11"/>
        <v>192</v>
      </c>
      <c r="X46" s="23">
        <v>153.34375</v>
      </c>
      <c r="Y46" s="23">
        <v>84</v>
      </c>
      <c r="Z46" s="23">
        <v>0.6875</v>
      </c>
      <c r="AA46" s="23">
        <v>30</v>
      </c>
      <c r="AB46" s="23">
        <v>12</v>
      </c>
      <c r="AC46" s="23">
        <v>153.34375</v>
      </c>
      <c r="AD46" s="23">
        <v>114.6875</v>
      </c>
      <c r="AE46" s="23">
        <v>84</v>
      </c>
      <c r="AF46" s="23">
        <v>0.8125</v>
      </c>
      <c r="AG46" s="23">
        <v>36</v>
      </c>
      <c r="AH46" s="23">
        <v>10</v>
      </c>
      <c r="AI46" s="23">
        <v>0</v>
      </c>
      <c r="AJ46" s="23">
        <v>114.6875</v>
      </c>
      <c r="AK46" s="23">
        <v>76.0625</v>
      </c>
      <c r="AL46" s="23">
        <v>84</v>
      </c>
      <c r="AM46" s="23">
        <v>1</v>
      </c>
      <c r="AN46" s="23">
        <v>45</v>
      </c>
      <c r="AO46" s="23">
        <v>8</v>
      </c>
      <c r="AP46" s="23">
        <v>0</v>
      </c>
      <c r="AQ46" s="23">
        <v>76.0625</v>
      </c>
      <c r="AR46" s="23">
        <v>65.5</v>
      </c>
      <c r="AS46" s="23">
        <v>22.9375</v>
      </c>
      <c r="AT46" s="23">
        <v>1.5</v>
      </c>
      <c r="AU46" s="23">
        <v>60</v>
      </c>
      <c r="AV46" s="23">
        <v>6</v>
      </c>
      <c r="AW46" s="23"/>
      <c r="AX46" s="23">
        <v>65.5</v>
      </c>
      <c r="AY46" s="23">
        <v>60</v>
      </c>
      <c r="AZ46" s="23">
        <v>25.0625</v>
      </c>
      <c r="BA46" s="23">
        <v>1.5</v>
      </c>
      <c r="BB46" s="23">
        <v>36</v>
      </c>
      <c r="BC46" s="23">
        <v>10</v>
      </c>
    </row>
    <row r="47" spans="1:55" x14ac:dyDescent="0.25">
      <c r="A47" s="22" t="s">
        <v>530</v>
      </c>
      <c r="B47" s="23">
        <v>400</v>
      </c>
      <c r="C47" s="23">
        <v>32</v>
      </c>
      <c r="D47" s="24">
        <v>30</v>
      </c>
      <c r="E47" s="24">
        <f t="shared" si="0"/>
        <v>31.767699999999991</v>
      </c>
      <c r="F47" s="24">
        <f t="shared" si="1"/>
        <v>0.37818690476190464</v>
      </c>
      <c r="G47" s="24">
        <f t="shared" si="2"/>
        <v>0.14285714285714285</v>
      </c>
      <c r="H47" s="24">
        <f t="shared" si="3"/>
        <v>4.5382428571428557</v>
      </c>
      <c r="I47" s="23" t="s">
        <v>469</v>
      </c>
      <c r="J47" s="23">
        <v>180</v>
      </c>
      <c r="K47" s="23">
        <f t="shared" si="8"/>
        <v>384</v>
      </c>
      <c r="L47" s="23">
        <f t="shared" si="9"/>
        <v>199</v>
      </c>
      <c r="M47" s="23">
        <f t="shared" si="10"/>
        <v>187</v>
      </c>
      <c r="N47" s="23">
        <v>30</v>
      </c>
      <c r="O47" s="23">
        <v>1.3125</v>
      </c>
      <c r="P47" s="23">
        <v>12</v>
      </c>
      <c r="Q47" s="23">
        <v>36</v>
      </c>
      <c r="R47" s="23">
        <f t="shared" si="4"/>
        <v>5</v>
      </c>
      <c r="S47" s="23">
        <f t="shared" si="5"/>
        <v>36</v>
      </c>
      <c r="T47" s="23">
        <f t="shared" si="6"/>
        <v>72</v>
      </c>
      <c r="U47" s="23" t="s">
        <v>470</v>
      </c>
      <c r="V47" s="23">
        <f t="shared" si="7"/>
        <v>36</v>
      </c>
      <c r="W47" s="23">
        <f t="shared" si="11"/>
        <v>192</v>
      </c>
      <c r="X47" s="23">
        <v>160.23230000000001</v>
      </c>
      <c r="Y47" s="23">
        <v>84</v>
      </c>
      <c r="Z47" s="23">
        <v>0.625</v>
      </c>
      <c r="AA47" s="23">
        <v>30</v>
      </c>
      <c r="AB47" s="23">
        <v>12</v>
      </c>
      <c r="AC47" s="23">
        <v>160.23230000000001</v>
      </c>
      <c r="AD47" s="23">
        <v>128.46449999999999</v>
      </c>
      <c r="AE47" s="23">
        <v>84</v>
      </c>
      <c r="AF47" s="23">
        <v>0.6875</v>
      </c>
      <c r="AG47" s="23">
        <v>36</v>
      </c>
      <c r="AH47" s="23">
        <v>10</v>
      </c>
      <c r="AI47" s="23">
        <v>0</v>
      </c>
      <c r="AJ47" s="23">
        <v>128.46449999999999</v>
      </c>
      <c r="AK47" s="23">
        <v>96.696799999999996</v>
      </c>
      <c r="AL47" s="23">
        <v>84</v>
      </c>
      <c r="AM47" s="23">
        <v>0.8125</v>
      </c>
      <c r="AN47" s="23">
        <v>60</v>
      </c>
      <c r="AO47" s="23">
        <v>6</v>
      </c>
      <c r="AP47" s="23">
        <v>0</v>
      </c>
      <c r="AQ47" s="23">
        <v>96.696799999999996</v>
      </c>
      <c r="AR47" s="23">
        <v>63.879300000000001</v>
      </c>
      <c r="AS47" s="23">
        <v>86.75</v>
      </c>
      <c r="AT47" s="23">
        <v>1.0625</v>
      </c>
      <c r="AU47" s="23">
        <v>60</v>
      </c>
      <c r="AV47" s="23">
        <v>6</v>
      </c>
      <c r="AW47" s="23"/>
      <c r="AX47" s="23">
        <v>63.879300000000001</v>
      </c>
      <c r="AY47" s="23">
        <v>60</v>
      </c>
      <c r="AZ47" s="23">
        <v>21.25</v>
      </c>
      <c r="BA47" s="23">
        <v>1.1875</v>
      </c>
      <c r="BB47" s="23">
        <v>36</v>
      </c>
      <c r="BC47" s="23">
        <v>10</v>
      </c>
    </row>
    <row r="48" spans="1:55" x14ac:dyDescent="0.25">
      <c r="A48" s="22" t="s">
        <v>531</v>
      </c>
      <c r="B48" s="23">
        <v>400</v>
      </c>
      <c r="C48" s="23">
        <v>40</v>
      </c>
      <c r="D48" s="24">
        <v>30</v>
      </c>
      <c r="E48" s="24">
        <f t="shared" si="0"/>
        <v>43.788000000000011</v>
      </c>
      <c r="F48" s="24">
        <f t="shared" si="1"/>
        <v>0.52128571428571446</v>
      </c>
      <c r="G48" s="24">
        <f t="shared" si="2"/>
        <v>0.14285714285714285</v>
      </c>
      <c r="H48" s="24">
        <f t="shared" si="3"/>
        <v>6.2554285714285722</v>
      </c>
      <c r="I48" s="23" t="s">
        <v>469</v>
      </c>
      <c r="J48" s="23">
        <v>180</v>
      </c>
      <c r="K48" s="23">
        <f t="shared" si="8"/>
        <v>480</v>
      </c>
      <c r="L48" s="23">
        <f t="shared" si="9"/>
        <v>247</v>
      </c>
      <c r="M48" s="23">
        <f t="shared" si="10"/>
        <v>235</v>
      </c>
      <c r="N48" s="23">
        <v>25.713999999999999</v>
      </c>
      <c r="O48" s="23">
        <v>1.5625</v>
      </c>
      <c r="P48" s="23">
        <v>14</v>
      </c>
      <c r="Q48" s="23">
        <v>20</v>
      </c>
      <c r="R48" s="23">
        <f t="shared" si="4"/>
        <v>9</v>
      </c>
      <c r="S48" s="23">
        <f t="shared" si="5"/>
        <v>20</v>
      </c>
      <c r="T48" s="23">
        <f t="shared" si="6"/>
        <v>40</v>
      </c>
      <c r="U48" s="23" t="s">
        <v>470</v>
      </c>
      <c r="V48" s="23">
        <f t="shared" si="7"/>
        <v>20</v>
      </c>
      <c r="W48" s="23">
        <f t="shared" si="11"/>
        <v>240</v>
      </c>
      <c r="X48" s="23">
        <v>196.21199999999999</v>
      </c>
      <c r="Y48" s="23">
        <v>84</v>
      </c>
      <c r="Z48" s="23">
        <v>0.625</v>
      </c>
      <c r="AA48" s="23">
        <v>25.713999999999999</v>
      </c>
      <c r="AB48" s="23">
        <v>14</v>
      </c>
      <c r="AC48" s="23">
        <v>196.21199999999999</v>
      </c>
      <c r="AD48" s="23">
        <v>152.42400000000001</v>
      </c>
      <c r="AE48" s="23">
        <v>84</v>
      </c>
      <c r="AF48" s="23">
        <v>0.625</v>
      </c>
      <c r="AG48" s="23">
        <v>36</v>
      </c>
      <c r="AH48" s="23">
        <v>10</v>
      </c>
      <c r="AI48" s="23">
        <v>0</v>
      </c>
      <c r="AJ48" s="23">
        <v>152.42400000000001</v>
      </c>
      <c r="AK48" s="23">
        <v>108.636</v>
      </c>
      <c r="AL48" s="23">
        <v>84</v>
      </c>
      <c r="AM48" s="23">
        <v>0.6875</v>
      </c>
      <c r="AN48" s="23">
        <v>45</v>
      </c>
      <c r="AO48" s="23">
        <v>8</v>
      </c>
      <c r="AP48" s="23">
        <v>0</v>
      </c>
      <c r="AQ48" s="23">
        <v>108.636</v>
      </c>
      <c r="AR48" s="23">
        <v>66.795000000000002</v>
      </c>
      <c r="AS48" s="23">
        <v>80.25</v>
      </c>
      <c r="AT48" s="23">
        <v>0.9375</v>
      </c>
      <c r="AU48" s="23">
        <v>60</v>
      </c>
      <c r="AV48" s="23">
        <v>6</v>
      </c>
      <c r="AW48" s="23"/>
      <c r="AX48" s="23">
        <v>66.795000000000002</v>
      </c>
      <c r="AY48" s="23">
        <v>60</v>
      </c>
      <c r="AZ48" s="23">
        <v>27.75</v>
      </c>
      <c r="BA48" s="23">
        <v>1.0625</v>
      </c>
      <c r="BB48" s="23">
        <v>36</v>
      </c>
      <c r="BC48" s="23">
        <v>10</v>
      </c>
    </row>
    <row r="49" spans="1:55" x14ac:dyDescent="0.25">
      <c r="A49" s="22" t="s">
        <v>532</v>
      </c>
      <c r="B49" s="23">
        <v>500</v>
      </c>
      <c r="C49" s="23">
        <v>25</v>
      </c>
      <c r="D49" s="24">
        <v>25</v>
      </c>
      <c r="E49" s="24">
        <f t="shared" si="0"/>
        <v>25.985500000000002</v>
      </c>
      <c r="F49" s="24">
        <f t="shared" si="1"/>
        <v>0.30935119047619047</v>
      </c>
      <c r="G49" s="24">
        <f t="shared" si="2"/>
        <v>0.14285714285714285</v>
      </c>
      <c r="H49" s="24">
        <f t="shared" si="3"/>
        <v>3.7122142857142859</v>
      </c>
      <c r="I49" s="23" t="s">
        <v>469</v>
      </c>
      <c r="J49" s="23">
        <v>180</v>
      </c>
      <c r="K49" s="23">
        <f t="shared" si="8"/>
        <v>300</v>
      </c>
      <c r="L49" s="23">
        <f t="shared" si="9"/>
        <v>157</v>
      </c>
      <c r="M49" s="23">
        <f t="shared" si="10"/>
        <v>145</v>
      </c>
      <c r="N49" s="23">
        <v>40</v>
      </c>
      <c r="O49" s="23">
        <v>1.625</v>
      </c>
      <c r="P49" s="23">
        <v>9</v>
      </c>
      <c r="Q49" s="23">
        <v>20</v>
      </c>
      <c r="R49" s="23">
        <f t="shared" si="4"/>
        <v>9</v>
      </c>
      <c r="S49" s="23">
        <f t="shared" si="5"/>
        <v>20</v>
      </c>
      <c r="T49" s="23">
        <f t="shared" si="6"/>
        <v>40</v>
      </c>
      <c r="U49" s="23" t="s">
        <v>470</v>
      </c>
      <c r="V49" s="23">
        <f t="shared" si="7"/>
        <v>20</v>
      </c>
      <c r="W49" s="23">
        <f t="shared" si="11"/>
        <v>150</v>
      </c>
      <c r="X49" s="23">
        <v>124.0145</v>
      </c>
      <c r="Y49" s="23">
        <v>84</v>
      </c>
      <c r="Z49" s="23">
        <v>0.625</v>
      </c>
      <c r="AA49" s="23">
        <v>40</v>
      </c>
      <c r="AB49" s="23">
        <v>9</v>
      </c>
      <c r="AC49" s="23">
        <v>124.0145</v>
      </c>
      <c r="AD49" s="23">
        <v>98.028999999999996</v>
      </c>
      <c r="AE49" s="23">
        <v>84</v>
      </c>
      <c r="AF49" s="23">
        <v>0.75</v>
      </c>
      <c r="AG49" s="23">
        <v>60</v>
      </c>
      <c r="AH49" s="23">
        <v>6</v>
      </c>
      <c r="AI49" s="23">
        <v>0</v>
      </c>
      <c r="AJ49" s="23">
        <v>98.028999999999996</v>
      </c>
      <c r="AK49" s="23">
        <v>72.042500000000004</v>
      </c>
      <c r="AL49" s="23">
        <v>84</v>
      </c>
      <c r="AM49" s="23">
        <v>0.875</v>
      </c>
      <c r="AN49" s="23">
        <v>60</v>
      </c>
      <c r="AO49" s="23">
        <v>6</v>
      </c>
      <c r="AP49" s="23">
        <v>0</v>
      </c>
      <c r="AQ49" s="23">
        <v>72.043499999999995</v>
      </c>
      <c r="AR49" s="23">
        <v>62.680100000000003</v>
      </c>
      <c r="AS49" s="23">
        <v>30.25</v>
      </c>
      <c r="AT49" s="23">
        <v>1.0625</v>
      </c>
      <c r="AU49" s="23">
        <v>90</v>
      </c>
      <c r="AV49" s="23">
        <v>4</v>
      </c>
      <c r="AW49" s="23">
        <v>60</v>
      </c>
      <c r="AX49" s="23">
        <v>62.680100000000003</v>
      </c>
      <c r="AY49" s="23">
        <v>60</v>
      </c>
      <c r="AZ49" s="23">
        <v>17.75</v>
      </c>
      <c r="BA49" s="23">
        <v>1.0625</v>
      </c>
      <c r="BB49" s="23">
        <v>36</v>
      </c>
      <c r="BC49" s="23">
        <v>10</v>
      </c>
    </row>
    <row r="50" spans="1:55" x14ac:dyDescent="0.25">
      <c r="A50" s="22" t="s">
        <v>533</v>
      </c>
      <c r="B50" s="23">
        <v>500</v>
      </c>
      <c r="C50" s="23">
        <v>28</v>
      </c>
      <c r="D50" s="24">
        <v>25</v>
      </c>
      <c r="E50" s="24">
        <f t="shared" si="0"/>
        <v>31.373500000000007</v>
      </c>
      <c r="F50" s="24">
        <f t="shared" si="1"/>
        <v>0.3734940476190477</v>
      </c>
      <c r="G50" s="24">
        <f t="shared" si="2"/>
        <v>0.14285714285714285</v>
      </c>
      <c r="H50" s="24">
        <f t="shared" si="3"/>
        <v>4.4819285714285719</v>
      </c>
      <c r="I50" s="23" t="s">
        <v>469</v>
      </c>
      <c r="J50" s="23">
        <v>180</v>
      </c>
      <c r="K50" s="23">
        <f t="shared" si="8"/>
        <v>336</v>
      </c>
      <c r="L50" s="23">
        <f t="shared" si="9"/>
        <v>175</v>
      </c>
      <c r="M50" s="23">
        <f t="shared" si="10"/>
        <v>163</v>
      </c>
      <c r="N50" s="23">
        <v>40</v>
      </c>
      <c r="O50" s="23">
        <v>1.5</v>
      </c>
      <c r="P50" s="23">
        <v>9</v>
      </c>
      <c r="Q50" s="23">
        <v>20</v>
      </c>
      <c r="R50" s="23">
        <f t="shared" si="4"/>
        <v>9</v>
      </c>
      <c r="S50" s="23">
        <f t="shared" si="5"/>
        <v>20</v>
      </c>
      <c r="T50" s="23">
        <f t="shared" si="6"/>
        <v>40</v>
      </c>
      <c r="U50" s="23" t="s">
        <v>470</v>
      </c>
      <c r="V50" s="23">
        <f t="shared" si="7"/>
        <v>20</v>
      </c>
      <c r="W50" s="23">
        <f t="shared" si="11"/>
        <v>168</v>
      </c>
      <c r="X50" s="23">
        <v>136.62649999999999</v>
      </c>
      <c r="Y50" s="23">
        <v>84</v>
      </c>
      <c r="Z50" s="23">
        <v>0.625</v>
      </c>
      <c r="AA50" s="23">
        <v>40</v>
      </c>
      <c r="AB50" s="23">
        <v>9</v>
      </c>
      <c r="AC50" s="23">
        <v>136.62649999999999</v>
      </c>
      <c r="AD50" s="23">
        <v>105.2529</v>
      </c>
      <c r="AE50" s="23">
        <v>84</v>
      </c>
      <c r="AF50" s="23">
        <v>0.6875</v>
      </c>
      <c r="AG50" s="23">
        <v>60</v>
      </c>
      <c r="AH50" s="23">
        <v>6</v>
      </c>
      <c r="AI50" s="23">
        <v>0</v>
      </c>
      <c r="AJ50" s="23">
        <v>105.2529</v>
      </c>
      <c r="AK50" s="23">
        <v>73.879400000000004</v>
      </c>
      <c r="AL50" s="23">
        <v>84</v>
      </c>
      <c r="AM50" s="23">
        <v>0.75</v>
      </c>
      <c r="AN50" s="23">
        <v>60</v>
      </c>
      <c r="AO50" s="23">
        <v>6</v>
      </c>
      <c r="AP50" s="23">
        <v>0</v>
      </c>
      <c r="AQ50" s="23">
        <v>73.879400000000004</v>
      </c>
      <c r="AR50" s="23">
        <v>63.792499999999997</v>
      </c>
      <c r="AS50" s="23">
        <v>27</v>
      </c>
      <c r="AT50" s="23">
        <v>0.8125</v>
      </c>
      <c r="AU50" s="23">
        <v>90</v>
      </c>
      <c r="AV50" s="23">
        <v>4</v>
      </c>
      <c r="AW50" s="23">
        <v>60</v>
      </c>
      <c r="AX50" s="23">
        <v>63.792499999999997</v>
      </c>
      <c r="AY50" s="23">
        <v>60</v>
      </c>
      <c r="AZ50" s="23">
        <v>21</v>
      </c>
      <c r="BA50" s="23">
        <v>0.8125</v>
      </c>
      <c r="BB50" s="23">
        <v>36</v>
      </c>
      <c r="BC50" s="23">
        <v>10</v>
      </c>
    </row>
    <row r="51" spans="1:55" x14ac:dyDescent="0.25">
      <c r="A51" s="22" t="s">
        <v>534</v>
      </c>
      <c r="B51" s="23">
        <v>500</v>
      </c>
      <c r="C51" s="23">
        <v>30</v>
      </c>
      <c r="D51" s="24">
        <v>30</v>
      </c>
      <c r="E51" s="24">
        <f t="shared" si="0"/>
        <v>28.800000000000011</v>
      </c>
      <c r="F51" s="24">
        <f t="shared" si="1"/>
        <v>0.34285714285714297</v>
      </c>
      <c r="G51" s="24">
        <f t="shared" si="2"/>
        <v>0.14285714285714285</v>
      </c>
      <c r="H51" s="24">
        <f t="shared" si="3"/>
        <v>4.1142857142857157</v>
      </c>
      <c r="I51" s="23" t="s">
        <v>469</v>
      </c>
      <c r="J51" s="23">
        <v>180</v>
      </c>
      <c r="K51" s="23">
        <f t="shared" si="8"/>
        <v>360</v>
      </c>
      <c r="L51" s="23">
        <f t="shared" si="9"/>
        <v>187</v>
      </c>
      <c r="M51" s="23">
        <f t="shared" si="10"/>
        <v>175</v>
      </c>
      <c r="N51" s="23">
        <v>30</v>
      </c>
      <c r="O51" s="23">
        <v>1.5</v>
      </c>
      <c r="P51" s="23">
        <v>12</v>
      </c>
      <c r="Q51" s="23">
        <v>20</v>
      </c>
      <c r="R51" s="23">
        <f t="shared" si="4"/>
        <v>9</v>
      </c>
      <c r="S51" s="23">
        <f t="shared" si="5"/>
        <v>20</v>
      </c>
      <c r="T51" s="23">
        <f t="shared" si="6"/>
        <v>40</v>
      </c>
      <c r="U51" s="23" t="s">
        <v>470</v>
      </c>
      <c r="V51" s="23">
        <f t="shared" si="7"/>
        <v>20</v>
      </c>
      <c r="W51" s="23">
        <f t="shared" si="11"/>
        <v>180</v>
      </c>
      <c r="X51" s="23">
        <v>151.19999999999999</v>
      </c>
      <c r="Y51" s="23">
        <v>84</v>
      </c>
      <c r="Z51" s="23">
        <v>0.5625</v>
      </c>
      <c r="AA51" s="23">
        <v>30</v>
      </c>
      <c r="AB51" s="23">
        <v>12</v>
      </c>
      <c r="AC51" s="23">
        <v>151.19999999999999</v>
      </c>
      <c r="AD51" s="23">
        <v>122.4</v>
      </c>
      <c r="AE51" s="23">
        <v>84</v>
      </c>
      <c r="AF51" s="23">
        <v>0.625</v>
      </c>
      <c r="AG51" s="23">
        <v>45</v>
      </c>
      <c r="AH51" s="23">
        <v>8</v>
      </c>
      <c r="AI51" s="23">
        <v>0</v>
      </c>
      <c r="AJ51" s="23">
        <v>122.4</v>
      </c>
      <c r="AK51" s="23">
        <v>92.914299999999997</v>
      </c>
      <c r="AL51" s="23">
        <v>86</v>
      </c>
      <c r="AM51" s="23">
        <v>0.6875</v>
      </c>
      <c r="AN51" s="23">
        <v>60</v>
      </c>
      <c r="AO51" s="23">
        <v>6</v>
      </c>
      <c r="AP51" s="23">
        <v>0</v>
      </c>
      <c r="AQ51" s="23">
        <v>92.914299999999997</v>
      </c>
      <c r="AR51" s="23">
        <v>63.243200000000002</v>
      </c>
      <c r="AS51" s="23">
        <v>86.5625</v>
      </c>
      <c r="AT51" s="23">
        <v>0.75</v>
      </c>
      <c r="AU51" s="23">
        <v>90</v>
      </c>
      <c r="AV51" s="23">
        <v>4</v>
      </c>
      <c r="AW51" s="23">
        <v>60</v>
      </c>
      <c r="AX51" s="23">
        <v>63.243200000000002</v>
      </c>
      <c r="AY51" s="23">
        <v>60</v>
      </c>
      <c r="AZ51" s="23">
        <v>19.4375</v>
      </c>
      <c r="BA51" s="23">
        <v>0.8125</v>
      </c>
      <c r="BB51" s="23">
        <v>36</v>
      </c>
      <c r="BC51" s="23">
        <v>10</v>
      </c>
    </row>
    <row r="52" spans="1:55" x14ac:dyDescent="0.25">
      <c r="A52" s="22" t="s">
        <v>535</v>
      </c>
      <c r="B52" s="23">
        <v>500</v>
      </c>
      <c r="C52" s="23">
        <v>32</v>
      </c>
      <c r="D52" s="24">
        <v>25</v>
      </c>
      <c r="E52" s="24">
        <f t="shared" si="0"/>
        <v>38.653300000000002</v>
      </c>
      <c r="F52" s="24">
        <f t="shared" si="1"/>
        <v>0.46015833333333334</v>
      </c>
      <c r="G52" s="24">
        <f t="shared" si="2"/>
        <v>0.14285714285714285</v>
      </c>
      <c r="H52" s="24">
        <f t="shared" si="3"/>
        <v>5.5218999999999996</v>
      </c>
      <c r="I52" s="23" t="s">
        <v>469</v>
      </c>
      <c r="J52" s="23">
        <v>180</v>
      </c>
      <c r="K52" s="23">
        <f t="shared" si="8"/>
        <v>384</v>
      </c>
      <c r="L52" s="23">
        <f t="shared" si="9"/>
        <v>199</v>
      </c>
      <c r="M52" s="23">
        <f t="shared" si="10"/>
        <v>187</v>
      </c>
      <c r="N52" s="23">
        <v>30</v>
      </c>
      <c r="O52" s="23">
        <v>1.6875</v>
      </c>
      <c r="P52" s="23">
        <v>12</v>
      </c>
      <c r="Q52" s="23">
        <v>20</v>
      </c>
      <c r="R52" s="23">
        <f t="shared" si="4"/>
        <v>9</v>
      </c>
      <c r="S52" s="23">
        <f t="shared" si="5"/>
        <v>20</v>
      </c>
      <c r="T52" s="23">
        <f t="shared" si="6"/>
        <v>40</v>
      </c>
      <c r="U52" s="23" t="s">
        <v>470</v>
      </c>
      <c r="V52" s="23">
        <f t="shared" si="7"/>
        <v>20</v>
      </c>
      <c r="W52" s="23">
        <f t="shared" si="11"/>
        <v>192</v>
      </c>
      <c r="X52" s="23">
        <v>153.3467</v>
      </c>
      <c r="Y52" s="23">
        <v>84</v>
      </c>
      <c r="Z52" s="23">
        <v>0.625</v>
      </c>
      <c r="AA52" s="23">
        <v>30</v>
      </c>
      <c r="AB52" s="23">
        <v>12</v>
      </c>
      <c r="AC52" s="23">
        <v>153.3467</v>
      </c>
      <c r="AD52" s="23">
        <v>114.69329999999999</v>
      </c>
      <c r="AE52" s="23">
        <v>84</v>
      </c>
      <c r="AF52" s="23">
        <v>0.6875</v>
      </c>
      <c r="AG52" s="23">
        <v>36</v>
      </c>
      <c r="AH52" s="23">
        <v>10</v>
      </c>
      <c r="AI52" s="23">
        <v>0</v>
      </c>
      <c r="AJ52" s="23">
        <v>114.69329999999999</v>
      </c>
      <c r="AK52" s="23">
        <v>76.040000000000006</v>
      </c>
      <c r="AL52" s="23">
        <v>84</v>
      </c>
      <c r="AM52" s="23">
        <v>0.75</v>
      </c>
      <c r="AN52" s="23">
        <v>45</v>
      </c>
      <c r="AO52" s="23">
        <v>8</v>
      </c>
      <c r="AP52" s="23">
        <v>0</v>
      </c>
      <c r="AQ52" s="23">
        <v>76.040000000000006</v>
      </c>
      <c r="AR52" s="23">
        <v>65.493899999999996</v>
      </c>
      <c r="AS52" s="23">
        <v>22.9375</v>
      </c>
      <c r="AT52" s="23">
        <v>0.8125</v>
      </c>
      <c r="AU52" s="23">
        <v>90</v>
      </c>
      <c r="AV52" s="23">
        <v>4</v>
      </c>
      <c r="AW52" s="23">
        <v>60</v>
      </c>
      <c r="AX52" s="23">
        <v>65.493899999999996</v>
      </c>
      <c r="AY52" s="23">
        <v>60</v>
      </c>
      <c r="AZ52" s="23">
        <v>25.0625</v>
      </c>
      <c r="BA52" s="23">
        <v>0.8125</v>
      </c>
      <c r="BB52" s="23">
        <v>36</v>
      </c>
      <c r="BC52" s="23">
        <v>10</v>
      </c>
    </row>
    <row r="53" spans="1:55" x14ac:dyDescent="0.25">
      <c r="A53" s="22" t="s">
        <v>536</v>
      </c>
      <c r="B53" s="23">
        <v>500</v>
      </c>
      <c r="C53" s="23">
        <v>32</v>
      </c>
      <c r="D53" s="24">
        <v>28</v>
      </c>
      <c r="E53" s="24">
        <f t="shared" si="0"/>
        <v>34.145399999999995</v>
      </c>
      <c r="F53" s="24">
        <f t="shared" si="1"/>
        <v>0.4064928571428571</v>
      </c>
      <c r="G53" s="24">
        <f t="shared" si="2"/>
        <v>0.14285714285714285</v>
      </c>
      <c r="H53" s="24">
        <f t="shared" si="3"/>
        <v>4.8779142857142848</v>
      </c>
      <c r="I53" s="23" t="s">
        <v>469</v>
      </c>
      <c r="J53" s="23">
        <v>180</v>
      </c>
      <c r="K53" s="23">
        <f t="shared" si="8"/>
        <v>384</v>
      </c>
      <c r="L53" s="23">
        <f t="shared" si="9"/>
        <v>199</v>
      </c>
      <c r="M53" s="23">
        <f t="shared" si="10"/>
        <v>187</v>
      </c>
      <c r="N53" s="23">
        <v>30</v>
      </c>
      <c r="O53" s="23">
        <v>2.875</v>
      </c>
      <c r="P53" s="23">
        <v>12</v>
      </c>
      <c r="Q53" s="23">
        <v>20</v>
      </c>
      <c r="R53" s="23">
        <f t="shared" si="4"/>
        <v>9</v>
      </c>
      <c r="S53" s="23">
        <f t="shared" si="5"/>
        <v>20</v>
      </c>
      <c r="T53" s="23">
        <f t="shared" si="6"/>
        <v>40</v>
      </c>
      <c r="U53" s="23" t="s">
        <v>470</v>
      </c>
      <c r="V53" s="23">
        <f t="shared" si="7"/>
        <v>20</v>
      </c>
      <c r="W53" s="23">
        <f t="shared" si="11"/>
        <v>192</v>
      </c>
      <c r="X53" s="23">
        <v>157.8546</v>
      </c>
      <c r="Y53" s="23">
        <v>84</v>
      </c>
      <c r="Z53" s="23">
        <v>0.625</v>
      </c>
      <c r="AA53" s="23">
        <v>30</v>
      </c>
      <c r="AB53" s="23">
        <v>12</v>
      </c>
      <c r="AC53" s="23">
        <v>157.8546</v>
      </c>
      <c r="AD53" s="23">
        <v>123.7672</v>
      </c>
      <c r="AE53" s="23">
        <v>84</v>
      </c>
      <c r="AF53" s="23">
        <v>0.6825</v>
      </c>
      <c r="AG53" s="23">
        <v>40</v>
      </c>
      <c r="AH53" s="23">
        <v>9</v>
      </c>
      <c r="AI53" s="23">
        <v>0</v>
      </c>
      <c r="AJ53" s="23">
        <v>123.7672</v>
      </c>
      <c r="AK53" s="23">
        <v>89.6798</v>
      </c>
      <c r="AL53" s="23">
        <v>84</v>
      </c>
      <c r="AM53" s="23">
        <v>0.625</v>
      </c>
      <c r="AN53" s="23">
        <v>45</v>
      </c>
      <c r="AO53" s="23">
        <v>8</v>
      </c>
      <c r="AP53" s="23">
        <v>0</v>
      </c>
      <c r="AQ53" s="23">
        <v>89.6798</v>
      </c>
      <c r="AR53" s="23">
        <v>65.852699999999999</v>
      </c>
      <c r="AS53" s="23">
        <v>57.9375</v>
      </c>
      <c r="AT53" s="23">
        <v>1.0625</v>
      </c>
      <c r="AU53" s="23">
        <v>60</v>
      </c>
      <c r="AV53" s="23">
        <v>6</v>
      </c>
      <c r="AW53" s="23">
        <v>60</v>
      </c>
      <c r="AX53" s="23">
        <v>65.852699999999999</v>
      </c>
      <c r="AY53" s="23">
        <v>60</v>
      </c>
      <c r="AZ53" s="23">
        <v>26.0625</v>
      </c>
      <c r="BA53" s="23">
        <v>1.0625</v>
      </c>
      <c r="BB53" s="23">
        <v>36</v>
      </c>
      <c r="BC53" s="23">
        <v>10</v>
      </c>
    </row>
    <row r="54" spans="1:55" x14ac:dyDescent="0.25">
      <c r="A54" s="22" t="s">
        <v>537</v>
      </c>
      <c r="B54" s="23">
        <v>500</v>
      </c>
      <c r="C54" s="23">
        <v>32</v>
      </c>
      <c r="D54" s="24">
        <v>30</v>
      </c>
      <c r="E54" s="24">
        <f t="shared" si="0"/>
        <v>31.767699999999991</v>
      </c>
      <c r="F54" s="24">
        <f t="shared" si="1"/>
        <v>0.37818690476190464</v>
      </c>
      <c r="G54" s="24">
        <f t="shared" si="2"/>
        <v>0.14285714285714285</v>
      </c>
      <c r="H54" s="24">
        <f t="shared" si="3"/>
        <v>4.5382428571428557</v>
      </c>
      <c r="I54" s="23" t="s">
        <v>469</v>
      </c>
      <c r="J54" s="23">
        <v>180</v>
      </c>
      <c r="K54" s="23">
        <f t="shared" si="8"/>
        <v>384</v>
      </c>
      <c r="L54" s="23">
        <f t="shared" si="9"/>
        <v>199</v>
      </c>
      <c r="M54" s="23">
        <f t="shared" si="10"/>
        <v>187</v>
      </c>
      <c r="N54" s="23">
        <v>30</v>
      </c>
      <c r="O54" s="23">
        <v>1.25</v>
      </c>
      <c r="P54" s="23">
        <v>12</v>
      </c>
      <c r="Q54" s="23">
        <v>20</v>
      </c>
      <c r="R54" s="23">
        <f t="shared" si="4"/>
        <v>9</v>
      </c>
      <c r="S54" s="23">
        <f t="shared" si="5"/>
        <v>20</v>
      </c>
      <c r="T54" s="23">
        <f t="shared" si="6"/>
        <v>40</v>
      </c>
      <c r="U54" s="23" t="s">
        <v>470</v>
      </c>
      <c r="V54" s="23">
        <f t="shared" si="7"/>
        <v>20</v>
      </c>
      <c r="W54" s="23">
        <f t="shared" si="11"/>
        <v>192</v>
      </c>
      <c r="X54" s="23">
        <v>160.23230000000001</v>
      </c>
      <c r="Y54" s="23">
        <v>84</v>
      </c>
      <c r="Z54" s="23">
        <v>0.5625</v>
      </c>
      <c r="AA54" s="23">
        <v>30</v>
      </c>
      <c r="AB54" s="23">
        <v>12</v>
      </c>
      <c r="AC54" s="23">
        <v>160.23230000000001</v>
      </c>
      <c r="AD54" s="23">
        <v>128.46449999999999</v>
      </c>
      <c r="AE54" s="23">
        <v>84</v>
      </c>
      <c r="AF54" s="23">
        <v>0.625</v>
      </c>
      <c r="AG54" s="23">
        <v>36</v>
      </c>
      <c r="AH54" s="23">
        <v>10</v>
      </c>
      <c r="AI54" s="23">
        <v>0</v>
      </c>
      <c r="AJ54" s="23">
        <v>128.46449999999999</v>
      </c>
      <c r="AK54" s="23">
        <v>96.696799999999996</v>
      </c>
      <c r="AL54" s="23">
        <v>84</v>
      </c>
      <c r="AM54" s="23">
        <v>0.75</v>
      </c>
      <c r="AN54" s="23">
        <v>45</v>
      </c>
      <c r="AO54" s="23">
        <v>8</v>
      </c>
      <c r="AP54" s="23">
        <v>0</v>
      </c>
      <c r="AQ54" s="23">
        <v>96.696799999999996</v>
      </c>
      <c r="AR54" s="23">
        <v>63.879300000000001</v>
      </c>
      <c r="AS54" s="23">
        <v>86.75</v>
      </c>
      <c r="AT54" s="23">
        <v>0.6875</v>
      </c>
      <c r="AU54" s="23">
        <v>60</v>
      </c>
      <c r="AV54" s="23">
        <v>6</v>
      </c>
      <c r="AW54" s="23">
        <v>60</v>
      </c>
      <c r="AX54" s="23">
        <v>63.879300000000001</v>
      </c>
      <c r="AY54" s="23">
        <v>60</v>
      </c>
      <c r="AZ54" s="23">
        <v>21.25</v>
      </c>
      <c r="BA54" s="23">
        <v>1.25</v>
      </c>
      <c r="BB54" s="23">
        <v>36</v>
      </c>
      <c r="BC54" s="23">
        <v>10</v>
      </c>
    </row>
    <row r="55" spans="1:55" x14ac:dyDescent="0.25">
      <c r="A55" s="22" t="s">
        <v>538</v>
      </c>
      <c r="B55" s="23">
        <v>500</v>
      </c>
      <c r="C55" s="23">
        <v>34</v>
      </c>
      <c r="D55" s="24">
        <v>30</v>
      </c>
      <c r="E55" s="24">
        <f t="shared" si="0"/>
        <v>34.747099999999989</v>
      </c>
      <c r="F55" s="24">
        <f t="shared" si="1"/>
        <v>0.41365595238095226</v>
      </c>
      <c r="G55" s="24">
        <f t="shared" si="2"/>
        <v>0.14285714285714285</v>
      </c>
      <c r="H55" s="24">
        <f t="shared" si="3"/>
        <v>4.9638714285714265</v>
      </c>
      <c r="I55" s="23" t="s">
        <v>469</v>
      </c>
      <c r="J55" s="23">
        <v>180</v>
      </c>
      <c r="K55" s="23">
        <f t="shared" si="8"/>
        <v>408</v>
      </c>
      <c r="L55" s="23">
        <f t="shared" si="9"/>
        <v>211</v>
      </c>
      <c r="M55" s="23">
        <f t="shared" si="10"/>
        <v>199</v>
      </c>
      <c r="N55" s="23">
        <v>30</v>
      </c>
      <c r="O55" s="23">
        <v>1.5</v>
      </c>
      <c r="P55" s="23">
        <v>12</v>
      </c>
      <c r="Q55" s="23">
        <v>20</v>
      </c>
      <c r="R55" s="23">
        <f t="shared" si="4"/>
        <v>9</v>
      </c>
      <c r="S55" s="23">
        <f t="shared" si="5"/>
        <v>20</v>
      </c>
      <c r="T55" s="23">
        <f t="shared" si="6"/>
        <v>40</v>
      </c>
      <c r="U55" s="23" t="s">
        <v>470</v>
      </c>
      <c r="V55" s="23">
        <f t="shared" si="7"/>
        <v>20</v>
      </c>
      <c r="W55" s="23">
        <f t="shared" si="11"/>
        <v>204</v>
      </c>
      <c r="X55" s="23">
        <v>169.25290000000001</v>
      </c>
      <c r="Y55" s="23">
        <v>84</v>
      </c>
      <c r="Z55" s="23">
        <v>0.625</v>
      </c>
      <c r="AA55" s="23">
        <v>30</v>
      </c>
      <c r="AB55" s="23">
        <v>12</v>
      </c>
      <c r="AC55" s="23">
        <v>169.25290000000001</v>
      </c>
      <c r="AD55" s="23">
        <v>134.50579999999999</v>
      </c>
      <c r="AE55" s="23">
        <v>84</v>
      </c>
      <c r="AF55" s="23">
        <v>0.6875</v>
      </c>
      <c r="AG55" s="23">
        <v>40</v>
      </c>
      <c r="AH55" s="23">
        <v>9</v>
      </c>
      <c r="AI55" s="23">
        <v>0</v>
      </c>
      <c r="AJ55" s="23">
        <v>134.50579999999999</v>
      </c>
      <c r="AK55" s="23">
        <v>99.758600000000001</v>
      </c>
      <c r="AL55" s="23">
        <v>84</v>
      </c>
      <c r="AM55" s="23">
        <v>0.6875</v>
      </c>
      <c r="AN55" s="23">
        <v>45</v>
      </c>
      <c r="AO55" s="23">
        <v>8</v>
      </c>
      <c r="AP55" s="23">
        <v>0</v>
      </c>
      <c r="AQ55" s="23">
        <v>99.758600000000001</v>
      </c>
      <c r="AR55" s="23">
        <v>64.5625</v>
      </c>
      <c r="AS55" s="23">
        <v>85.0625</v>
      </c>
      <c r="AT55" s="23">
        <v>0.75</v>
      </c>
      <c r="AU55" s="23">
        <v>60</v>
      </c>
      <c r="AV55" s="23">
        <v>6</v>
      </c>
      <c r="AW55" s="23">
        <v>60</v>
      </c>
      <c r="AX55" s="23">
        <v>64.5625</v>
      </c>
      <c r="AY55" s="23">
        <v>60</v>
      </c>
      <c r="AZ55" s="23">
        <v>22.9375</v>
      </c>
      <c r="BA55" s="23">
        <v>0.81125000000000003</v>
      </c>
      <c r="BB55" s="23">
        <v>36</v>
      </c>
      <c r="BC55" s="23">
        <v>10</v>
      </c>
    </row>
    <row r="56" spans="1:55" x14ac:dyDescent="0.25">
      <c r="A56" s="22" t="s">
        <v>539</v>
      </c>
      <c r="B56" s="23">
        <v>500</v>
      </c>
      <c r="C56" s="23">
        <v>38</v>
      </c>
      <c r="D56" s="24">
        <v>30</v>
      </c>
      <c r="E56" s="24">
        <f t="shared" si="0"/>
        <v>40.761200000000002</v>
      </c>
      <c r="F56" s="24">
        <f t="shared" si="1"/>
        <v>0.48525238095238099</v>
      </c>
      <c r="G56" s="24">
        <f t="shared" si="2"/>
        <v>0.14285714285714285</v>
      </c>
      <c r="H56" s="24">
        <f t="shared" si="3"/>
        <v>5.823028571428571</v>
      </c>
      <c r="I56" s="23" t="s">
        <v>469</v>
      </c>
      <c r="J56" s="23">
        <v>180</v>
      </c>
      <c r="K56" s="23">
        <f t="shared" ref="K56:K63" si="12">C56*12</f>
        <v>456</v>
      </c>
      <c r="L56" s="23">
        <f t="shared" si="9"/>
        <v>235</v>
      </c>
      <c r="M56" s="23">
        <f t="shared" si="10"/>
        <v>223</v>
      </c>
      <c r="N56" s="23">
        <v>22.5</v>
      </c>
      <c r="O56" s="23">
        <v>1.625</v>
      </c>
      <c r="P56" s="23">
        <v>16</v>
      </c>
      <c r="Q56" s="23">
        <v>20</v>
      </c>
      <c r="R56" s="23">
        <f t="shared" si="4"/>
        <v>9</v>
      </c>
      <c r="S56" s="23">
        <f t="shared" si="5"/>
        <v>20</v>
      </c>
      <c r="T56" s="23">
        <f t="shared" si="6"/>
        <v>40</v>
      </c>
      <c r="U56" s="23" t="s">
        <v>470</v>
      </c>
      <c r="V56" s="23">
        <f t="shared" si="7"/>
        <v>20</v>
      </c>
      <c r="W56" s="23">
        <f t="shared" si="11"/>
        <v>228</v>
      </c>
      <c r="X56" s="23">
        <v>187.2388</v>
      </c>
      <c r="Y56" s="23">
        <v>84</v>
      </c>
      <c r="Z56" s="23">
        <v>0.6875</v>
      </c>
      <c r="AA56" s="23">
        <v>22.5</v>
      </c>
      <c r="AB56" s="23">
        <v>16</v>
      </c>
      <c r="AC56" s="23">
        <v>187.2388</v>
      </c>
      <c r="AD56" s="23">
        <v>146.47749999999999</v>
      </c>
      <c r="AE56" s="23">
        <v>84</v>
      </c>
      <c r="AF56" s="23">
        <v>0.6875</v>
      </c>
      <c r="AG56" s="23">
        <v>30</v>
      </c>
      <c r="AH56" s="23">
        <v>12</v>
      </c>
      <c r="AI56" s="23">
        <v>0</v>
      </c>
      <c r="AJ56" s="23">
        <v>146.47749999999999</v>
      </c>
      <c r="AK56" s="23">
        <v>105.7163</v>
      </c>
      <c r="AL56" s="23">
        <v>84</v>
      </c>
      <c r="AM56" s="23">
        <v>0.75</v>
      </c>
      <c r="AN56" s="23">
        <v>36</v>
      </c>
      <c r="AO56" s="23">
        <v>10</v>
      </c>
      <c r="AP56" s="23">
        <v>0</v>
      </c>
      <c r="AQ56" s="23">
        <v>105.7163</v>
      </c>
      <c r="AR56" s="23">
        <v>66.0197</v>
      </c>
      <c r="AS56" s="23">
        <v>81.8125</v>
      </c>
      <c r="AT56" s="23">
        <v>1</v>
      </c>
      <c r="AU56" s="23">
        <v>45</v>
      </c>
      <c r="AV56" s="23">
        <v>8</v>
      </c>
      <c r="AW56" s="23">
        <v>60</v>
      </c>
      <c r="AX56" s="23">
        <v>66.0197</v>
      </c>
      <c r="AY56" s="23">
        <v>60</v>
      </c>
      <c r="AZ56" s="23">
        <v>26.1875</v>
      </c>
      <c r="BA56" s="23">
        <v>1.25</v>
      </c>
      <c r="BB56" s="23">
        <v>36</v>
      </c>
      <c r="BC56" s="23">
        <v>10</v>
      </c>
    </row>
    <row r="57" spans="1:55" x14ac:dyDescent="0.25">
      <c r="A57" s="22" t="s">
        <v>540</v>
      </c>
      <c r="B57" s="23">
        <v>500</v>
      </c>
      <c r="C57" s="23">
        <v>40</v>
      </c>
      <c r="D57" s="24">
        <v>30</v>
      </c>
      <c r="E57" s="24">
        <f t="shared" si="0"/>
        <v>40.761200000000002</v>
      </c>
      <c r="F57" s="24">
        <f t="shared" si="1"/>
        <v>0.48525238095238099</v>
      </c>
      <c r="G57" s="24">
        <f t="shared" si="2"/>
        <v>0.14285714285714285</v>
      </c>
      <c r="H57" s="24">
        <f t="shared" si="3"/>
        <v>5.823028571428571</v>
      </c>
      <c r="I57" s="23" t="s">
        <v>469</v>
      </c>
      <c r="J57" s="23">
        <v>180</v>
      </c>
      <c r="K57" s="23">
        <f t="shared" si="12"/>
        <v>480</v>
      </c>
      <c r="L57" s="23">
        <f t="shared" ref="L57:L63" si="13">C57*12/2+7</f>
        <v>247</v>
      </c>
      <c r="M57" s="23">
        <f t="shared" ref="M57:M63" si="14">L57-12</f>
        <v>235</v>
      </c>
      <c r="N57" s="23">
        <v>22.5</v>
      </c>
      <c r="O57" s="23">
        <v>1.8125</v>
      </c>
      <c r="P57" s="23">
        <v>16</v>
      </c>
      <c r="Q57" s="23">
        <v>20</v>
      </c>
      <c r="R57" s="23">
        <f t="shared" si="4"/>
        <v>9</v>
      </c>
      <c r="S57" s="23">
        <f t="shared" si="5"/>
        <v>20</v>
      </c>
      <c r="T57" s="23">
        <f t="shared" si="6"/>
        <v>40</v>
      </c>
      <c r="U57" s="23" t="s">
        <v>470</v>
      </c>
      <c r="V57" s="23">
        <f t="shared" si="7"/>
        <v>20</v>
      </c>
      <c r="W57" s="23">
        <f t="shared" ref="W57:W63" si="15">L57-7</f>
        <v>240</v>
      </c>
      <c r="X57" s="23">
        <v>199.2388</v>
      </c>
      <c r="Y57" s="23">
        <v>84</v>
      </c>
      <c r="Z57" s="23">
        <v>0.6875</v>
      </c>
      <c r="AA57" s="23">
        <v>22.5</v>
      </c>
      <c r="AB57" s="23">
        <v>16</v>
      </c>
      <c r="AC57" s="23">
        <v>19932388</v>
      </c>
      <c r="AD57" s="23">
        <v>158.47749999999999</v>
      </c>
      <c r="AE57" s="23">
        <v>84</v>
      </c>
      <c r="AF57" s="23">
        <v>0.6875</v>
      </c>
      <c r="AG57" s="23">
        <v>30</v>
      </c>
      <c r="AH57" s="23">
        <v>12</v>
      </c>
      <c r="AI57" s="23">
        <v>0</v>
      </c>
      <c r="AJ57" s="23">
        <v>158.47749999999999</v>
      </c>
      <c r="AK57" s="23">
        <v>117.7163</v>
      </c>
      <c r="AL57" s="23">
        <v>84</v>
      </c>
      <c r="AM57" s="23">
        <v>0.8125</v>
      </c>
      <c r="AN57" s="23">
        <v>36</v>
      </c>
      <c r="AO57" s="23">
        <v>10</v>
      </c>
      <c r="AP57" s="23">
        <v>0</v>
      </c>
      <c r="AQ57" s="23">
        <v>117.7163</v>
      </c>
      <c r="AR57" s="23">
        <v>78.0197</v>
      </c>
      <c r="AS57" s="23">
        <v>81.8125</v>
      </c>
      <c r="AT57" s="23">
        <v>1.0625</v>
      </c>
      <c r="AU57" s="23">
        <v>45</v>
      </c>
      <c r="AV57" s="23">
        <v>8</v>
      </c>
      <c r="AW57" s="23">
        <v>72</v>
      </c>
      <c r="AX57" s="23">
        <v>78.0197</v>
      </c>
      <c r="AY57" s="23">
        <v>72</v>
      </c>
      <c r="AZ57" s="23">
        <v>26.1875</v>
      </c>
      <c r="BA57" s="23">
        <v>1.25</v>
      </c>
      <c r="BB57" s="23">
        <v>36</v>
      </c>
      <c r="BC57" s="23">
        <v>10</v>
      </c>
    </row>
    <row r="58" spans="1:55" x14ac:dyDescent="0.25">
      <c r="A58" s="22" t="s">
        <v>542</v>
      </c>
      <c r="B58" s="23">
        <v>600</v>
      </c>
      <c r="C58" s="23">
        <v>28</v>
      </c>
      <c r="D58" s="24">
        <v>25</v>
      </c>
      <c r="E58" s="24">
        <f t="shared" si="0"/>
        <v>31.373500000000007</v>
      </c>
      <c r="F58" s="24">
        <f t="shared" si="1"/>
        <v>0.3734940476190477</v>
      </c>
      <c r="G58" s="24">
        <f t="shared" si="2"/>
        <v>0.14285714285714285</v>
      </c>
      <c r="H58" s="24">
        <f t="shared" si="3"/>
        <v>4.4819285714285719</v>
      </c>
      <c r="I58" s="23" t="s">
        <v>469</v>
      </c>
      <c r="J58" s="23">
        <v>180</v>
      </c>
      <c r="K58" s="23">
        <f t="shared" si="12"/>
        <v>336</v>
      </c>
      <c r="L58" s="23">
        <f t="shared" si="13"/>
        <v>175</v>
      </c>
      <c r="M58" s="23">
        <f t="shared" si="14"/>
        <v>163</v>
      </c>
      <c r="N58" s="23">
        <v>40</v>
      </c>
      <c r="O58" s="23">
        <v>1.75</v>
      </c>
      <c r="P58" s="23">
        <v>9</v>
      </c>
      <c r="Q58" s="23">
        <v>16</v>
      </c>
      <c r="R58" s="23">
        <f t="shared" si="4"/>
        <v>11.25</v>
      </c>
      <c r="S58" s="23">
        <f t="shared" si="5"/>
        <v>16</v>
      </c>
      <c r="T58" s="23">
        <f t="shared" si="6"/>
        <v>32</v>
      </c>
      <c r="U58" s="23" t="s">
        <v>470</v>
      </c>
      <c r="V58" s="23">
        <f t="shared" si="7"/>
        <v>16</v>
      </c>
      <c r="W58" s="23">
        <f t="shared" si="15"/>
        <v>168</v>
      </c>
      <c r="X58" s="23">
        <v>136.62649999999999</v>
      </c>
      <c r="Y58" s="23">
        <v>84</v>
      </c>
      <c r="Z58" s="23">
        <v>0.6875</v>
      </c>
      <c r="AA58" s="23">
        <v>40</v>
      </c>
      <c r="AB58" s="23">
        <v>9</v>
      </c>
      <c r="AC58" s="23">
        <v>136.62649999999999</v>
      </c>
      <c r="AD58" s="23">
        <v>105.2529</v>
      </c>
      <c r="AE58" s="23">
        <v>84</v>
      </c>
      <c r="AF58" s="23">
        <v>0.8125</v>
      </c>
      <c r="AG58" s="23">
        <v>60</v>
      </c>
      <c r="AH58" s="23">
        <v>6</v>
      </c>
      <c r="AI58" s="23">
        <v>0</v>
      </c>
      <c r="AJ58" s="23">
        <v>105.2529</v>
      </c>
      <c r="AK58" s="23">
        <v>73.879400000000004</v>
      </c>
      <c r="AL58" s="23">
        <v>84</v>
      </c>
      <c r="AM58" s="23">
        <v>0.875</v>
      </c>
      <c r="AN58" s="23">
        <v>60</v>
      </c>
      <c r="AO58" s="23">
        <v>6</v>
      </c>
      <c r="AP58" s="23">
        <v>0</v>
      </c>
      <c r="AQ58" s="23">
        <v>73.879400000000004</v>
      </c>
      <c r="AR58" s="23">
        <v>63.792499999999997</v>
      </c>
      <c r="AS58" s="23">
        <v>27</v>
      </c>
      <c r="AT58" s="23">
        <v>1.125</v>
      </c>
      <c r="AU58" s="23">
        <v>90</v>
      </c>
      <c r="AV58" s="23">
        <v>4</v>
      </c>
      <c r="AW58" s="23">
        <v>60</v>
      </c>
      <c r="AX58" s="23">
        <v>63.792499999999997</v>
      </c>
      <c r="AY58" s="23">
        <v>60</v>
      </c>
      <c r="AZ58" s="23">
        <v>21</v>
      </c>
      <c r="BA58" s="23">
        <v>1.125</v>
      </c>
      <c r="BB58" s="23">
        <v>36</v>
      </c>
      <c r="BC58" s="23">
        <v>10</v>
      </c>
    </row>
    <row r="59" spans="1:55" x14ac:dyDescent="0.25">
      <c r="A59" s="22" t="s">
        <v>544</v>
      </c>
      <c r="B59" s="23">
        <v>600</v>
      </c>
      <c r="C59" s="23">
        <v>32</v>
      </c>
      <c r="D59" s="24">
        <v>30</v>
      </c>
      <c r="E59" s="24">
        <f t="shared" si="0"/>
        <v>31.767699999999991</v>
      </c>
      <c r="F59" s="24">
        <f t="shared" si="1"/>
        <v>0.37818690476190464</v>
      </c>
      <c r="G59" s="24">
        <f t="shared" si="2"/>
        <v>0.14285714285714285</v>
      </c>
      <c r="H59" s="24">
        <f t="shared" si="3"/>
        <v>4.5382428571428557</v>
      </c>
      <c r="I59" s="23" t="s">
        <v>469</v>
      </c>
      <c r="J59" s="23">
        <v>180</v>
      </c>
      <c r="K59" s="23">
        <f t="shared" si="12"/>
        <v>384</v>
      </c>
      <c r="L59" s="23">
        <f t="shared" si="13"/>
        <v>199</v>
      </c>
      <c r="M59" s="23">
        <f t="shared" si="14"/>
        <v>187</v>
      </c>
      <c r="N59" s="23">
        <v>30</v>
      </c>
      <c r="O59" s="23">
        <v>1.625</v>
      </c>
      <c r="P59" s="23">
        <v>12</v>
      </c>
      <c r="Q59" s="23">
        <v>28</v>
      </c>
      <c r="R59" s="23">
        <f t="shared" si="4"/>
        <v>6.4285714285714288</v>
      </c>
      <c r="S59" s="23">
        <f t="shared" si="5"/>
        <v>28</v>
      </c>
      <c r="T59" s="23">
        <f t="shared" si="6"/>
        <v>56</v>
      </c>
      <c r="U59" s="23" t="s">
        <v>470</v>
      </c>
      <c r="V59" s="23">
        <f t="shared" si="7"/>
        <v>28</v>
      </c>
      <c r="W59" s="23">
        <f t="shared" si="15"/>
        <v>192</v>
      </c>
      <c r="X59" s="23">
        <v>160.23230000000001</v>
      </c>
      <c r="Y59" s="23">
        <v>84</v>
      </c>
      <c r="Z59" s="23">
        <v>0.75</v>
      </c>
      <c r="AA59" s="23">
        <v>30</v>
      </c>
      <c r="AB59" s="23">
        <v>12</v>
      </c>
      <c r="AC59" s="23">
        <v>160.23230000000001</v>
      </c>
      <c r="AD59" s="23">
        <v>128.46449999999999</v>
      </c>
      <c r="AE59" s="23">
        <v>84</v>
      </c>
      <c r="AF59" s="23">
        <v>0.8125</v>
      </c>
      <c r="AG59" s="23">
        <v>36</v>
      </c>
      <c r="AH59" s="23">
        <v>10</v>
      </c>
      <c r="AI59" s="23">
        <v>0</v>
      </c>
      <c r="AJ59" s="23">
        <v>128.46449999999999</v>
      </c>
      <c r="AK59" s="23">
        <v>96.696799999999996</v>
      </c>
      <c r="AL59" s="23">
        <v>84</v>
      </c>
      <c r="AM59" s="23">
        <v>0.875</v>
      </c>
      <c r="AN59" s="23">
        <v>45</v>
      </c>
      <c r="AO59" s="23">
        <v>8</v>
      </c>
      <c r="AP59" s="23">
        <v>0</v>
      </c>
      <c r="AQ59" s="23">
        <v>96.696799999999996</v>
      </c>
      <c r="AR59" s="23">
        <v>63.879300000000001</v>
      </c>
      <c r="AS59" s="23">
        <v>86.75</v>
      </c>
      <c r="AT59" s="23">
        <v>1.0625</v>
      </c>
      <c r="AU59" s="23">
        <v>60</v>
      </c>
      <c r="AV59" s="23">
        <v>6</v>
      </c>
      <c r="AW59" s="23">
        <v>60</v>
      </c>
      <c r="AX59" s="23">
        <v>63.879300000000001</v>
      </c>
      <c r="AY59" s="23">
        <v>60</v>
      </c>
      <c r="AZ59" s="23">
        <v>21.25</v>
      </c>
      <c r="BA59" s="23">
        <v>1.25</v>
      </c>
      <c r="BB59" s="23">
        <v>36</v>
      </c>
      <c r="BC59" s="23">
        <v>10</v>
      </c>
    </row>
    <row r="60" spans="1:55" x14ac:dyDescent="0.25">
      <c r="A60" s="22" t="s">
        <v>545</v>
      </c>
      <c r="B60" s="23">
        <v>600</v>
      </c>
      <c r="C60" s="23">
        <v>38</v>
      </c>
      <c r="D60" s="24">
        <v>30</v>
      </c>
      <c r="E60" s="24">
        <f t="shared" si="0"/>
        <v>40.761200000000002</v>
      </c>
      <c r="F60" s="24">
        <f t="shared" si="1"/>
        <v>0.48525238095238099</v>
      </c>
      <c r="G60" s="24">
        <f t="shared" si="2"/>
        <v>0.14285714285714285</v>
      </c>
      <c r="H60" s="24">
        <f t="shared" si="3"/>
        <v>5.823028571428571</v>
      </c>
      <c r="I60" s="23" t="s">
        <v>469</v>
      </c>
      <c r="J60" s="23">
        <v>180</v>
      </c>
      <c r="K60" s="23">
        <f t="shared" si="12"/>
        <v>456</v>
      </c>
      <c r="L60" s="23">
        <f t="shared" si="13"/>
        <v>235</v>
      </c>
      <c r="M60" s="23">
        <f t="shared" si="14"/>
        <v>223</v>
      </c>
      <c r="N60" s="23">
        <v>22.5</v>
      </c>
      <c r="O60" s="23">
        <v>2.375</v>
      </c>
      <c r="P60" s="23">
        <v>16</v>
      </c>
      <c r="Q60" s="23">
        <v>16</v>
      </c>
      <c r="R60" s="23">
        <f t="shared" si="4"/>
        <v>11.25</v>
      </c>
      <c r="S60" s="23">
        <f t="shared" si="5"/>
        <v>16</v>
      </c>
      <c r="T60" s="23">
        <f t="shared" si="6"/>
        <v>32</v>
      </c>
      <c r="U60" s="23" t="s">
        <v>470</v>
      </c>
      <c r="V60" s="23">
        <f t="shared" si="7"/>
        <v>16</v>
      </c>
      <c r="W60" s="23">
        <f t="shared" si="15"/>
        <v>228</v>
      </c>
      <c r="X60" s="23">
        <v>187.2388</v>
      </c>
      <c r="Y60" s="23">
        <v>84</v>
      </c>
      <c r="Z60" s="23">
        <v>0.6875</v>
      </c>
      <c r="AA60" s="23">
        <v>22.5</v>
      </c>
      <c r="AB60" s="23">
        <v>16</v>
      </c>
      <c r="AC60" s="23">
        <v>187.2388</v>
      </c>
      <c r="AD60" s="23">
        <v>146.47749999999999</v>
      </c>
      <c r="AE60" s="23">
        <v>84</v>
      </c>
      <c r="AF60" s="23">
        <v>0.75</v>
      </c>
      <c r="AG60" s="23">
        <v>30</v>
      </c>
      <c r="AH60" s="23">
        <v>12</v>
      </c>
      <c r="AI60" s="23">
        <v>0</v>
      </c>
      <c r="AJ60" s="23">
        <v>146.47749999999999</v>
      </c>
      <c r="AK60" s="23">
        <v>105.7163</v>
      </c>
      <c r="AL60" s="23">
        <v>84</v>
      </c>
      <c r="AM60" s="23">
        <v>0.8125</v>
      </c>
      <c r="AN60" s="23">
        <v>36</v>
      </c>
      <c r="AO60" s="23">
        <v>10</v>
      </c>
      <c r="AP60" s="23">
        <v>0</v>
      </c>
      <c r="AQ60" s="23">
        <v>105.7163</v>
      </c>
      <c r="AR60" s="23">
        <v>66.0197</v>
      </c>
      <c r="AS60" s="23">
        <v>81.8125</v>
      </c>
      <c r="AT60" s="23">
        <v>0.9375</v>
      </c>
      <c r="AU60" s="23">
        <v>45</v>
      </c>
      <c r="AV60" s="23">
        <v>8</v>
      </c>
      <c r="AW60" s="23">
        <v>60</v>
      </c>
      <c r="AX60" s="23">
        <v>66.0197</v>
      </c>
      <c r="AY60" s="23">
        <v>60</v>
      </c>
      <c r="AZ60" s="23">
        <v>26.1875</v>
      </c>
      <c r="BA60" s="23">
        <v>1.0625</v>
      </c>
      <c r="BB60" s="23">
        <v>36</v>
      </c>
      <c r="BC60" s="23">
        <v>10</v>
      </c>
    </row>
    <row r="61" spans="1:55" x14ac:dyDescent="0.25">
      <c r="A61" s="22" t="s">
        <v>546</v>
      </c>
      <c r="B61" s="23">
        <v>600</v>
      </c>
      <c r="C61" s="23">
        <v>40</v>
      </c>
      <c r="D61" s="24">
        <v>30</v>
      </c>
      <c r="E61" s="24">
        <f t="shared" si="0"/>
        <v>43.788000000000011</v>
      </c>
      <c r="F61" s="24">
        <f t="shared" si="1"/>
        <v>0.52128571428571446</v>
      </c>
      <c r="G61" s="24">
        <f t="shared" si="2"/>
        <v>0.14285714285714285</v>
      </c>
      <c r="H61" s="24">
        <f t="shared" si="3"/>
        <v>6.2554285714285722</v>
      </c>
      <c r="I61" s="23" t="s">
        <v>469</v>
      </c>
      <c r="J61" s="23">
        <v>180</v>
      </c>
      <c r="K61" s="23">
        <f t="shared" si="12"/>
        <v>480</v>
      </c>
      <c r="L61" s="23">
        <f t="shared" si="13"/>
        <v>247</v>
      </c>
      <c r="M61" s="23">
        <f t="shared" si="14"/>
        <v>235</v>
      </c>
      <c r="N61" s="23">
        <v>25.714300000000001</v>
      </c>
      <c r="O61" s="23">
        <v>2.5</v>
      </c>
      <c r="P61" s="23">
        <v>14</v>
      </c>
      <c r="Q61" s="23">
        <v>16</v>
      </c>
      <c r="R61" s="23">
        <f t="shared" si="4"/>
        <v>11.25</v>
      </c>
      <c r="S61" s="23">
        <f t="shared" si="5"/>
        <v>16</v>
      </c>
      <c r="T61" s="23">
        <f t="shared" si="6"/>
        <v>32</v>
      </c>
      <c r="U61" s="23" t="s">
        <v>470</v>
      </c>
      <c r="V61" s="23">
        <f t="shared" si="7"/>
        <v>16</v>
      </c>
      <c r="W61" s="23">
        <f t="shared" si="15"/>
        <v>240</v>
      </c>
      <c r="X61" s="23">
        <v>196.21199999999999</v>
      </c>
      <c r="Y61" s="23">
        <v>84</v>
      </c>
      <c r="Z61" s="23">
        <v>0.6875</v>
      </c>
      <c r="AA61" s="23">
        <v>25.714300000000001</v>
      </c>
      <c r="AB61" s="23">
        <v>14</v>
      </c>
      <c r="AC61" s="23">
        <v>196.21199999999999</v>
      </c>
      <c r="AD61" s="23">
        <v>152.42400000000001</v>
      </c>
      <c r="AE61" s="23">
        <v>84</v>
      </c>
      <c r="AF61" s="23">
        <v>0.6875</v>
      </c>
      <c r="AG61" s="23">
        <v>36</v>
      </c>
      <c r="AH61" s="23">
        <v>10</v>
      </c>
      <c r="AI61" s="23">
        <v>0</v>
      </c>
      <c r="AJ61" s="23">
        <v>152.42400000000001</v>
      </c>
      <c r="AK61" s="23">
        <v>108.636</v>
      </c>
      <c r="AL61" s="23">
        <v>84</v>
      </c>
      <c r="AM61" s="23">
        <v>0.8125</v>
      </c>
      <c r="AN61" s="23">
        <v>45</v>
      </c>
      <c r="AO61" s="23">
        <v>8</v>
      </c>
      <c r="AP61" s="23">
        <v>0</v>
      </c>
      <c r="AQ61" s="23">
        <v>108.636</v>
      </c>
      <c r="AR61" s="23">
        <v>66.795000000000002</v>
      </c>
      <c r="AS61" s="23">
        <v>80.25</v>
      </c>
      <c r="AT61" s="23">
        <v>0.9375</v>
      </c>
      <c r="AU61" s="23">
        <v>60</v>
      </c>
      <c r="AV61" s="23">
        <v>6</v>
      </c>
      <c r="AW61" s="23">
        <v>60</v>
      </c>
      <c r="AX61" s="23">
        <v>66.795000000000002</v>
      </c>
      <c r="AY61" s="23">
        <v>60</v>
      </c>
      <c r="AZ61" s="23">
        <v>27.75</v>
      </c>
      <c r="BA61" s="23">
        <v>1</v>
      </c>
      <c r="BB61" s="23">
        <v>36</v>
      </c>
      <c r="BC61" s="23">
        <v>10</v>
      </c>
    </row>
    <row r="62" spans="1:55" x14ac:dyDescent="0.25">
      <c r="A62" s="22" t="s">
        <v>547</v>
      </c>
      <c r="B62" s="23">
        <v>750</v>
      </c>
      <c r="C62" s="23">
        <v>30</v>
      </c>
      <c r="D62" s="24">
        <v>30</v>
      </c>
      <c r="E62" s="24">
        <f t="shared" si="0"/>
        <v>26.463200000000001</v>
      </c>
      <c r="F62" s="24">
        <f t="shared" si="1"/>
        <v>0.30771162790697676</v>
      </c>
      <c r="G62" s="24">
        <f t="shared" si="2"/>
        <v>0.13953488372093023</v>
      </c>
      <c r="H62" s="24">
        <f t="shared" si="3"/>
        <v>3.6925395348837209</v>
      </c>
      <c r="I62" s="23" t="s">
        <v>469</v>
      </c>
      <c r="J62" s="23">
        <v>180</v>
      </c>
      <c r="K62" s="23">
        <f t="shared" si="12"/>
        <v>360</v>
      </c>
      <c r="L62" s="23">
        <f t="shared" si="13"/>
        <v>187</v>
      </c>
      <c r="M62" s="23">
        <f t="shared" si="14"/>
        <v>175</v>
      </c>
      <c r="N62" s="23"/>
      <c r="O62" s="23"/>
      <c r="P62" s="23"/>
      <c r="Q62" s="23">
        <v>20</v>
      </c>
      <c r="R62" s="23">
        <f t="shared" si="4"/>
        <v>9</v>
      </c>
      <c r="S62" s="23">
        <f t="shared" si="5"/>
        <v>20</v>
      </c>
      <c r="T62" s="23">
        <f t="shared" si="6"/>
        <v>40</v>
      </c>
      <c r="U62" s="23" t="s">
        <v>470</v>
      </c>
      <c r="V62" s="23">
        <f t="shared" si="7"/>
        <v>20</v>
      </c>
      <c r="W62" s="23">
        <f t="shared" si="15"/>
        <v>180</v>
      </c>
      <c r="X62" s="23">
        <v>153.5368</v>
      </c>
      <c r="Y62" s="23">
        <v>86</v>
      </c>
      <c r="Z62" s="23">
        <v>0.75</v>
      </c>
      <c r="AA62" s="23">
        <v>30</v>
      </c>
      <c r="AB62" s="23">
        <v>12</v>
      </c>
      <c r="AC62" s="23">
        <v>153.5368</v>
      </c>
      <c r="AD62" s="23">
        <v>127.0735</v>
      </c>
      <c r="AE62" s="23">
        <v>86</v>
      </c>
      <c r="AF62" s="23">
        <v>0.8125</v>
      </c>
      <c r="AG62" s="23">
        <v>40</v>
      </c>
      <c r="AH62" s="23">
        <v>9</v>
      </c>
      <c r="AI62" s="23">
        <v>0</v>
      </c>
      <c r="AJ62" s="23">
        <v>127.0735</v>
      </c>
      <c r="AK62" s="23">
        <v>100.6103</v>
      </c>
      <c r="AL62" s="23">
        <v>86</v>
      </c>
      <c r="AM62" s="23">
        <v>0.8125</v>
      </c>
      <c r="AN62" s="23">
        <v>45</v>
      </c>
      <c r="AO62" s="23">
        <v>8</v>
      </c>
      <c r="AP62" s="23">
        <v>0</v>
      </c>
      <c r="AQ62" s="23">
        <v>100.6103</v>
      </c>
      <c r="AR62" s="23">
        <v>74.653599999999997</v>
      </c>
      <c r="AS62" s="23">
        <v>84.375</v>
      </c>
      <c r="AT62" s="23">
        <v>0.9375</v>
      </c>
      <c r="AU62" s="23">
        <v>60</v>
      </c>
      <c r="AV62" s="23">
        <v>6</v>
      </c>
      <c r="AW62" s="23">
        <v>60</v>
      </c>
      <c r="AX62" s="23">
        <v>74.653599999999997</v>
      </c>
      <c r="AY62" s="23">
        <v>72</v>
      </c>
      <c r="AZ62" s="23">
        <v>17.625</v>
      </c>
      <c r="BA62" s="23">
        <v>1</v>
      </c>
      <c r="BB62" s="23">
        <v>22.5</v>
      </c>
      <c r="BC62" s="23">
        <v>16</v>
      </c>
    </row>
    <row r="63" spans="1:55" x14ac:dyDescent="0.25">
      <c r="A63" s="22" t="s">
        <v>549</v>
      </c>
      <c r="B63" s="23">
        <v>750</v>
      </c>
      <c r="C63" s="23">
        <v>36</v>
      </c>
      <c r="D63" s="24">
        <v>30</v>
      </c>
      <c r="E63" s="24">
        <f t="shared" si="0"/>
        <v>216</v>
      </c>
      <c r="F63" s="24" t="e">
        <f t="shared" si="1"/>
        <v>#DIV/0!</v>
      </c>
      <c r="G63" s="24" t="e">
        <f t="shared" si="2"/>
        <v>#DIV/0!</v>
      </c>
      <c r="H63" s="24" t="e">
        <f t="shared" si="3"/>
        <v>#DIV/0!</v>
      </c>
      <c r="I63" s="23" t="s">
        <v>469</v>
      </c>
      <c r="J63" s="23">
        <v>180</v>
      </c>
      <c r="K63" s="23">
        <f t="shared" si="12"/>
        <v>432</v>
      </c>
      <c r="L63" s="23">
        <f t="shared" si="13"/>
        <v>223</v>
      </c>
      <c r="M63" s="23">
        <f t="shared" si="14"/>
        <v>211</v>
      </c>
      <c r="N63" s="23"/>
      <c r="O63" s="23"/>
      <c r="P63" s="23"/>
      <c r="Q63" s="23"/>
      <c r="R63" s="23" t="e">
        <f t="shared" si="4"/>
        <v>#DIV/0!</v>
      </c>
      <c r="S63" s="23">
        <f t="shared" si="5"/>
        <v>0</v>
      </c>
      <c r="T63" s="23">
        <f t="shared" si="6"/>
        <v>0</v>
      </c>
      <c r="U63" s="23"/>
      <c r="V63" s="23">
        <f t="shared" si="7"/>
        <v>0</v>
      </c>
      <c r="W63" s="23">
        <f t="shared" si="15"/>
        <v>216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</sheetData>
  <autoFilter ref="A2:BC63" xr:uid="{00000000-0001-0000-0400-000000000000}"/>
  <mergeCells count="1">
    <mergeCell ref="A1:H1"/>
  </mergeCells>
  <pageMargins left="0.7" right="0.7" top="0.75" bottom="0.75" header="0.3" footer="0.3"/>
  <pageSetup scale="1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60"/>
  <sheetViews>
    <sheetView topLeftCell="A10" zoomScale="70" zoomScaleNormal="70" workbookViewId="0">
      <selection activeCell="M1" sqref="M1:M1048576"/>
    </sheetView>
  </sheetViews>
  <sheetFormatPr defaultRowHeight="15" x14ac:dyDescent="0.25"/>
  <cols>
    <col min="1" max="1" width="52.33203125" customWidth="1"/>
    <col min="2" max="3" width="16.6640625" customWidth="1"/>
    <col min="11" max="11" width="17.88671875" customWidth="1"/>
    <col min="15" max="15" width="18.44140625" customWidth="1"/>
  </cols>
  <sheetData>
    <row r="1" spans="1:15" x14ac:dyDescent="0.25">
      <c r="A1" s="110" t="s">
        <v>2013</v>
      </c>
      <c r="B1" s="111"/>
      <c r="K1" t="s">
        <v>2136</v>
      </c>
      <c r="M1">
        <v>3.3251172413793109</v>
      </c>
    </row>
    <row r="2" spans="1:15" ht="15.75" x14ac:dyDescent="0.25">
      <c r="A2" s="9" t="s">
        <v>2014</v>
      </c>
      <c r="B2" s="8"/>
      <c r="K2" s="7" t="s">
        <v>2133</v>
      </c>
      <c r="M2">
        <v>3.6115724137931027</v>
      </c>
    </row>
    <row r="3" spans="1:15" ht="15.75" x14ac:dyDescent="0.25">
      <c r="A3" s="7" t="s">
        <v>2015</v>
      </c>
      <c r="B3" s="7">
        <v>150</v>
      </c>
      <c r="D3" t="s">
        <v>288</v>
      </c>
      <c r="E3">
        <v>150</v>
      </c>
      <c r="K3" s="7" t="s">
        <v>2135</v>
      </c>
      <c r="M3">
        <v>3.6115724137931027</v>
      </c>
    </row>
    <row r="4" spans="1:15" ht="15.75" x14ac:dyDescent="0.25">
      <c r="A4" s="7" t="s">
        <v>2016</v>
      </c>
      <c r="B4" s="7">
        <v>122.2255</v>
      </c>
      <c r="D4" t="s">
        <v>289</v>
      </c>
      <c r="E4">
        <v>122.2255</v>
      </c>
      <c r="K4" s="7" t="s">
        <v>2137</v>
      </c>
      <c r="M4">
        <v>3.6120689655172415</v>
      </c>
    </row>
    <row r="5" spans="1:15" ht="15.75" x14ac:dyDescent="0.25">
      <c r="A5" s="7" t="s">
        <v>93</v>
      </c>
      <c r="B5" s="7">
        <v>84</v>
      </c>
      <c r="D5" t="s">
        <v>290</v>
      </c>
      <c r="E5">
        <v>84</v>
      </c>
      <c r="K5" s="7" t="s">
        <v>2138</v>
      </c>
      <c r="M5">
        <v>3.6925395348837209</v>
      </c>
      <c r="O5" t="s">
        <v>2141</v>
      </c>
    </row>
    <row r="6" spans="1:15" ht="15.75" x14ac:dyDescent="0.25">
      <c r="A6" s="7" t="s">
        <v>2017</v>
      </c>
      <c r="B6" s="7">
        <f>B3-B4</f>
        <v>27.774500000000003</v>
      </c>
      <c r="K6" s="7" t="s">
        <v>2139</v>
      </c>
      <c r="M6">
        <v>3.7122142857142859</v>
      </c>
    </row>
    <row r="7" spans="1:15" ht="15.75" x14ac:dyDescent="0.25">
      <c r="A7" s="7" t="s">
        <v>2018</v>
      </c>
      <c r="B7" s="7">
        <f>B6/B5</f>
        <v>0.33064880952380954</v>
      </c>
      <c r="K7" s="7" t="s">
        <v>2140</v>
      </c>
      <c r="M7">
        <v>3.7122142857142859</v>
      </c>
    </row>
    <row r="8" spans="1:15" ht="15.75" x14ac:dyDescent="0.25">
      <c r="A8" s="7" t="s">
        <v>2019</v>
      </c>
      <c r="B8" s="7">
        <f>12/B5</f>
        <v>0.14285714285714285</v>
      </c>
      <c r="M8">
        <v>3.8987068965517242</v>
      </c>
    </row>
    <row r="9" spans="1:15" ht="15.75" x14ac:dyDescent="0.25">
      <c r="A9" s="7" t="s">
        <v>2020</v>
      </c>
      <c r="B9" s="10">
        <f>B8*B6</f>
        <v>3.9677857142857147</v>
      </c>
      <c r="C9" s="80" t="s">
        <v>2021</v>
      </c>
      <c r="M9">
        <v>3.8987068965517242</v>
      </c>
    </row>
    <row r="10" spans="1:15" ht="15.75" x14ac:dyDescent="0.25">
      <c r="A10" s="7" t="s">
        <v>2022</v>
      </c>
      <c r="B10" s="11" t="s">
        <v>2023</v>
      </c>
      <c r="C10" s="80" t="s">
        <v>2024</v>
      </c>
      <c r="M10">
        <v>3.8994758620689645</v>
      </c>
    </row>
    <row r="11" spans="1:15" ht="15.75" x14ac:dyDescent="0.25">
      <c r="A11" s="7" t="s">
        <v>2025</v>
      </c>
      <c r="M11">
        <v>3.8995535714285712</v>
      </c>
    </row>
    <row r="12" spans="1:15" x14ac:dyDescent="0.25">
      <c r="M12">
        <v>3.8995535714285712</v>
      </c>
    </row>
    <row r="13" spans="1:15" x14ac:dyDescent="0.25">
      <c r="M13">
        <v>3.9677857142857147</v>
      </c>
    </row>
    <row r="14" spans="1:15" x14ac:dyDescent="0.25">
      <c r="M14">
        <v>3.9677857142857147</v>
      </c>
    </row>
    <row r="15" spans="1:15" x14ac:dyDescent="0.25">
      <c r="M15">
        <v>3.96875</v>
      </c>
    </row>
    <row r="16" spans="1:15" x14ac:dyDescent="0.25">
      <c r="M16">
        <v>4.0379464285714279</v>
      </c>
    </row>
    <row r="17" spans="13:13" x14ac:dyDescent="0.25">
      <c r="M17">
        <v>4.1142857142857157</v>
      </c>
    </row>
    <row r="18" spans="13:13" x14ac:dyDescent="0.25">
      <c r="M18">
        <v>4.1142857142857157</v>
      </c>
    </row>
    <row r="19" spans="13:13" x14ac:dyDescent="0.25">
      <c r="M19">
        <v>4.1888275862068962</v>
      </c>
    </row>
    <row r="20" spans="13:13" x14ac:dyDescent="0.25">
      <c r="M20">
        <v>4.1888275862068962</v>
      </c>
    </row>
    <row r="21" spans="13:13" x14ac:dyDescent="0.25">
      <c r="M21">
        <v>4.2243714285714278</v>
      </c>
    </row>
    <row r="22" spans="13:13" x14ac:dyDescent="0.25">
      <c r="M22">
        <v>4.2243714285714278</v>
      </c>
    </row>
    <row r="23" spans="13:13" x14ac:dyDescent="0.25">
      <c r="M23">
        <v>4.3259428571428566</v>
      </c>
    </row>
    <row r="24" spans="13:13" x14ac:dyDescent="0.25">
      <c r="M24">
        <v>4.3259857142857152</v>
      </c>
    </row>
    <row r="25" spans="13:13" x14ac:dyDescent="0.25">
      <c r="M25">
        <v>4.4799107142857144</v>
      </c>
    </row>
    <row r="26" spans="13:13" x14ac:dyDescent="0.25">
      <c r="M26">
        <v>4.4799107142857144</v>
      </c>
    </row>
    <row r="27" spans="13:13" x14ac:dyDescent="0.25">
      <c r="M27">
        <v>4.4819285714285719</v>
      </c>
    </row>
    <row r="28" spans="13:13" x14ac:dyDescent="0.25">
      <c r="M28">
        <v>4.4819285714285719</v>
      </c>
    </row>
    <row r="29" spans="13:13" x14ac:dyDescent="0.25">
      <c r="M29">
        <v>4.4819285714285719</v>
      </c>
    </row>
    <row r="30" spans="13:13" ht="20.25" customHeight="1" x14ac:dyDescent="0.25">
      <c r="M30">
        <v>4.4821428571428568</v>
      </c>
    </row>
    <row r="31" spans="13:13" x14ac:dyDescent="0.25">
      <c r="M31">
        <v>4.5381857142857145</v>
      </c>
    </row>
    <row r="32" spans="13:13" x14ac:dyDescent="0.25">
      <c r="M32">
        <v>4.5382428571428557</v>
      </c>
    </row>
    <row r="33" spans="1:13" x14ac:dyDescent="0.25">
      <c r="M33">
        <v>4.5382428571428557</v>
      </c>
    </row>
    <row r="34" spans="1:13" x14ac:dyDescent="0.25">
      <c r="M34">
        <v>4.5382428571428557</v>
      </c>
    </row>
    <row r="35" spans="1:13" x14ac:dyDescent="0.25">
      <c r="M35">
        <v>4.5382428571428557</v>
      </c>
    </row>
    <row r="36" spans="1:13" x14ac:dyDescent="0.25">
      <c r="M36">
        <v>4.7403785714285709</v>
      </c>
    </row>
    <row r="37" spans="1:13" ht="21" customHeight="1" x14ac:dyDescent="0.25">
      <c r="M37">
        <v>4.7403785714285709</v>
      </c>
    </row>
    <row r="38" spans="1:13" ht="21.75" customHeight="1" x14ac:dyDescent="0.25">
      <c r="A38" s="7" t="s">
        <v>2026</v>
      </c>
      <c r="M38">
        <v>4.8779142857142848</v>
      </c>
    </row>
    <row r="39" spans="1:13" x14ac:dyDescent="0.25">
      <c r="M39">
        <v>4.9638714285714265</v>
      </c>
    </row>
    <row r="40" spans="1:13" x14ac:dyDescent="0.25">
      <c r="M40">
        <v>4.9643857142857133</v>
      </c>
    </row>
    <row r="41" spans="1:13" x14ac:dyDescent="0.25">
      <c r="M41">
        <v>4.999885714285714</v>
      </c>
    </row>
    <row r="42" spans="1:13" x14ac:dyDescent="0.25">
      <c r="M42">
        <v>4.999885714285714</v>
      </c>
    </row>
    <row r="43" spans="1:13" x14ac:dyDescent="0.25">
      <c r="M43">
        <v>4.999885714285714</v>
      </c>
    </row>
    <row r="44" spans="1:13" x14ac:dyDescent="0.25">
      <c r="M44">
        <v>5.1782714285714269</v>
      </c>
    </row>
    <row r="45" spans="1:13" x14ac:dyDescent="0.25">
      <c r="M45">
        <v>5.1782714285714269</v>
      </c>
    </row>
    <row r="46" spans="1:13" x14ac:dyDescent="0.25">
      <c r="M46">
        <v>5.2595142857142845</v>
      </c>
    </row>
    <row r="47" spans="1:13" x14ac:dyDescent="0.25">
      <c r="M47">
        <v>5.2604714285714271</v>
      </c>
    </row>
    <row r="48" spans="1:13" x14ac:dyDescent="0.25">
      <c r="M48">
        <v>5.2604714285714271</v>
      </c>
    </row>
    <row r="49" spans="13:13" x14ac:dyDescent="0.25">
      <c r="M49">
        <v>5.5218999999999996</v>
      </c>
    </row>
    <row r="50" spans="13:13" x14ac:dyDescent="0.25">
      <c r="M50">
        <v>5.5223214285714279</v>
      </c>
    </row>
    <row r="51" spans="13:13" x14ac:dyDescent="0.25">
      <c r="M51">
        <v>5.7841857142857123</v>
      </c>
    </row>
    <row r="52" spans="13:13" x14ac:dyDescent="0.25">
      <c r="M52">
        <v>5.7842714285714294</v>
      </c>
    </row>
    <row r="53" spans="13:13" x14ac:dyDescent="0.25">
      <c r="M53">
        <v>5.823028571428571</v>
      </c>
    </row>
    <row r="54" spans="13:13" x14ac:dyDescent="0.25">
      <c r="M54">
        <v>5.823028571428571</v>
      </c>
    </row>
    <row r="55" spans="13:13" x14ac:dyDescent="0.25">
      <c r="M55">
        <v>5.823028571428571</v>
      </c>
    </row>
    <row r="56" spans="13:13" x14ac:dyDescent="0.25">
      <c r="M56">
        <v>5.9299714285714282</v>
      </c>
    </row>
    <row r="57" spans="13:13" x14ac:dyDescent="0.25">
      <c r="M57">
        <v>6.0401714285714299</v>
      </c>
    </row>
    <row r="58" spans="13:13" x14ac:dyDescent="0.25">
      <c r="M58">
        <v>6.2554285714285722</v>
      </c>
    </row>
    <row r="59" spans="13:13" x14ac:dyDescent="0.25">
      <c r="M59">
        <v>6.2554285714285722</v>
      </c>
    </row>
    <row r="60" spans="13:13" x14ac:dyDescent="0.25">
      <c r="M60">
        <v>6.4723714285714289</v>
      </c>
    </row>
  </sheetData>
  <sortState xmlns:xlrd2="http://schemas.microsoft.com/office/spreadsheetml/2017/richdata2" ref="M1:M61">
    <sortCondition ref="M1:M61"/>
  </sortState>
  <mergeCells count="1">
    <mergeCell ref="A1:B1"/>
  </mergeCells>
  <pageMargins left="0.25" right="0.25" top="0.75" bottom="0.75" header="0.3" footer="0.3"/>
  <pageSetup paperSize="3" scale="73" orientation="landscape" r:id="rId1"/>
  <drawing r:id="rId2"/>
  <legacyDrawing r:id="rId3"/>
  <oleObjects>
    <mc:AlternateContent xmlns:mc="http://schemas.openxmlformats.org/markup-compatibility/2006">
      <mc:Choice Requires="x14">
        <oleObject progId="AutoCAD.Drawing.23" shapeId="5122" r:id="rId4">
          <objectPr defaultSize="0" autoPict="0" r:id="rId5">
            <anchor moveWithCells="1">
              <from>
                <xdr:col>0</xdr:col>
                <xdr:colOff>0</xdr:colOff>
                <xdr:row>11</xdr:row>
                <xdr:rowOff>47625</xdr:rowOff>
              </from>
              <to>
                <xdr:col>9</xdr:col>
                <xdr:colOff>590550</xdr:colOff>
                <xdr:row>36</xdr:row>
                <xdr:rowOff>104775</xdr:rowOff>
              </to>
            </anchor>
          </objectPr>
        </oleObject>
      </mc:Choice>
      <mc:Fallback>
        <oleObject progId="AutoCAD.Drawing.23" shapeId="5122" r:id="rId4"/>
      </mc:Fallback>
    </mc:AlternateContent>
    <mc:AlternateContent xmlns:mc="http://schemas.openxmlformats.org/markup-compatibility/2006">
      <mc:Choice Requires="x14">
        <oleObject progId="AutoCAD.Drawing.23" shapeId="5124" r:id="rId6">
          <objectPr defaultSize="0" autoPict="0" r:id="rId7">
            <anchor moveWithCells="1">
              <from>
                <xdr:col>0</xdr:col>
                <xdr:colOff>0</xdr:colOff>
                <xdr:row>38</xdr:row>
                <xdr:rowOff>95250</xdr:rowOff>
              </from>
              <to>
                <xdr:col>10</xdr:col>
                <xdr:colOff>28575</xdr:colOff>
                <xdr:row>62</xdr:row>
                <xdr:rowOff>104775</xdr:rowOff>
              </to>
            </anchor>
          </objectPr>
        </oleObject>
      </mc:Choice>
      <mc:Fallback>
        <oleObject progId="AutoCAD.Drawing.23" shapeId="5124" r:id="rId6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EA99-8E4E-4A78-ADA7-4D352660A6DA}">
  <sheetPr filterMode="1"/>
  <dimension ref="A1:BC82"/>
  <sheetViews>
    <sheetView zoomScaleNormal="100" workbookViewId="0">
      <pane xSplit="8" ySplit="12" topLeftCell="I13" activePane="bottomRight" state="frozen"/>
      <selection pane="topRight" activeCell="I1" sqref="I1"/>
      <selection pane="bottomLeft" activeCell="A13" sqref="A13"/>
      <selection pane="bottomRight" activeCell="A68" sqref="A68"/>
    </sheetView>
  </sheetViews>
  <sheetFormatPr defaultRowHeight="15" x14ac:dyDescent="0.25"/>
  <cols>
    <col min="1" max="1" width="13.88671875" customWidth="1"/>
  </cols>
  <sheetData>
    <row r="1" spans="1:55" ht="45" x14ac:dyDescent="0.25">
      <c r="A1" s="109" t="s">
        <v>2005</v>
      </c>
      <c r="B1" s="109"/>
      <c r="C1" s="109"/>
      <c r="D1" s="109"/>
      <c r="E1" s="109"/>
      <c r="F1" s="109"/>
      <c r="G1" s="109"/>
      <c r="H1" s="109"/>
      <c r="I1" s="29" t="s">
        <v>77</v>
      </c>
      <c r="J1" s="29" t="s">
        <v>78</v>
      </c>
      <c r="K1" s="29" t="s">
        <v>79</v>
      </c>
      <c r="L1" s="29" t="s">
        <v>80</v>
      </c>
      <c r="M1" s="29" t="s">
        <v>81</v>
      </c>
      <c r="N1" s="29" t="s">
        <v>82</v>
      </c>
      <c r="O1" s="29" t="s">
        <v>83</v>
      </c>
      <c r="P1" s="29" t="s">
        <v>84</v>
      </c>
      <c r="Q1" s="29" t="s">
        <v>85</v>
      </c>
      <c r="R1" s="29" t="s">
        <v>86</v>
      </c>
      <c r="S1" s="29" t="s">
        <v>87</v>
      </c>
      <c r="T1" s="29" t="s">
        <v>88</v>
      </c>
      <c r="U1" s="29" t="s">
        <v>89</v>
      </c>
      <c r="V1" s="29" t="s">
        <v>90</v>
      </c>
      <c r="W1" s="29" t="s">
        <v>91</v>
      </c>
      <c r="X1" s="29" t="s">
        <v>92</v>
      </c>
      <c r="Y1" s="29" t="s">
        <v>93</v>
      </c>
      <c r="Z1" s="29" t="s">
        <v>94</v>
      </c>
      <c r="AA1" s="29" t="s">
        <v>95</v>
      </c>
      <c r="AB1" s="29" t="s">
        <v>96</v>
      </c>
      <c r="AC1" s="29" t="s">
        <v>97</v>
      </c>
      <c r="AD1" s="29" t="s">
        <v>98</v>
      </c>
      <c r="AE1" s="29" t="s">
        <v>99</v>
      </c>
      <c r="AF1" s="29" t="s">
        <v>100</v>
      </c>
      <c r="AG1" s="29" t="s">
        <v>101</v>
      </c>
      <c r="AH1" s="29" t="s">
        <v>102</v>
      </c>
      <c r="AI1" s="29" t="s">
        <v>103</v>
      </c>
      <c r="AJ1" s="29" t="s">
        <v>104</v>
      </c>
      <c r="AK1" s="29" t="s">
        <v>105</v>
      </c>
      <c r="AL1" s="29" t="s">
        <v>106</v>
      </c>
      <c r="AM1" s="29" t="s">
        <v>107</v>
      </c>
      <c r="AN1" s="29" t="s">
        <v>108</v>
      </c>
      <c r="AO1" s="29" t="s">
        <v>109</v>
      </c>
      <c r="AP1" s="29" t="s">
        <v>110</v>
      </c>
      <c r="AQ1" s="29" t="s">
        <v>111</v>
      </c>
      <c r="AR1" s="29" t="s">
        <v>112</v>
      </c>
      <c r="AS1" s="29" t="s">
        <v>113</v>
      </c>
      <c r="AT1" s="29" t="s">
        <v>114</v>
      </c>
      <c r="AU1" s="29" t="s">
        <v>115</v>
      </c>
      <c r="AV1" s="29" t="s">
        <v>116</v>
      </c>
      <c r="AW1" s="29" t="s">
        <v>117</v>
      </c>
      <c r="AX1" s="29" t="s">
        <v>118</v>
      </c>
      <c r="AY1" s="29" t="s">
        <v>119</v>
      </c>
      <c r="AZ1" s="29" t="s">
        <v>120</v>
      </c>
      <c r="BA1" s="29" t="s">
        <v>121</v>
      </c>
      <c r="BB1" s="29" t="s">
        <v>122</v>
      </c>
      <c r="BC1" s="29" t="s">
        <v>123</v>
      </c>
    </row>
    <row r="2" spans="1:55" x14ac:dyDescent="0.25">
      <c r="A2" s="30" t="s">
        <v>76</v>
      </c>
      <c r="B2" s="30" t="s">
        <v>271</v>
      </c>
      <c r="C2" s="78" t="s">
        <v>2006</v>
      </c>
      <c r="D2" s="78" t="s">
        <v>2007</v>
      </c>
      <c r="E2" s="79" t="s">
        <v>2008</v>
      </c>
      <c r="F2" s="79" t="s">
        <v>2009</v>
      </c>
      <c r="G2" s="79" t="s">
        <v>2010</v>
      </c>
      <c r="H2" s="77" t="s">
        <v>2011</v>
      </c>
      <c r="I2" s="76" t="s">
        <v>274</v>
      </c>
      <c r="J2" s="75" t="s">
        <v>275</v>
      </c>
      <c r="K2" s="75" t="s">
        <v>276</v>
      </c>
      <c r="L2" s="75" t="s">
        <v>277</v>
      </c>
      <c r="M2" s="75" t="s">
        <v>278</v>
      </c>
      <c r="N2" s="75" t="s">
        <v>279</v>
      </c>
      <c r="O2" s="75" t="s">
        <v>280</v>
      </c>
      <c r="P2" s="75" t="s">
        <v>281</v>
      </c>
      <c r="Q2" s="75" t="s">
        <v>282</v>
      </c>
      <c r="R2" s="75" t="s">
        <v>283</v>
      </c>
      <c r="S2" s="75" t="s">
        <v>284</v>
      </c>
      <c r="T2" s="75" t="s">
        <v>285</v>
      </c>
      <c r="U2" s="75" t="s">
        <v>286</v>
      </c>
      <c r="V2" s="75" t="s">
        <v>287</v>
      </c>
      <c r="W2" s="75" t="s">
        <v>288</v>
      </c>
      <c r="X2" s="75" t="s">
        <v>289</v>
      </c>
      <c r="Y2" s="75" t="s">
        <v>290</v>
      </c>
      <c r="Z2" s="75" t="s">
        <v>291</v>
      </c>
      <c r="AA2" s="75" t="s">
        <v>292</v>
      </c>
      <c r="AB2" s="75" t="s">
        <v>293</v>
      </c>
      <c r="AC2" s="75" t="s">
        <v>294</v>
      </c>
      <c r="AD2" s="75" t="s">
        <v>295</v>
      </c>
      <c r="AE2" s="75" t="s">
        <v>296</v>
      </c>
      <c r="AF2" s="75" t="s">
        <v>297</v>
      </c>
      <c r="AG2" s="75" t="s">
        <v>298</v>
      </c>
      <c r="AH2" s="75" t="s">
        <v>299</v>
      </c>
      <c r="AI2" s="75" t="s">
        <v>300</v>
      </c>
      <c r="AJ2" s="75" t="s">
        <v>301</v>
      </c>
      <c r="AK2" s="75" t="s">
        <v>302</v>
      </c>
      <c r="AL2" s="75" t="s">
        <v>303</v>
      </c>
      <c r="AM2" s="75" t="s">
        <v>304</v>
      </c>
      <c r="AN2" s="75" t="s">
        <v>305</v>
      </c>
      <c r="AO2" s="75" t="s">
        <v>306</v>
      </c>
      <c r="AP2" s="75" t="s">
        <v>307</v>
      </c>
      <c r="AQ2" s="75" t="s">
        <v>308</v>
      </c>
      <c r="AR2" s="75" t="s">
        <v>309</v>
      </c>
      <c r="AS2" s="75" t="s">
        <v>310</v>
      </c>
      <c r="AT2" s="75" t="s">
        <v>311</v>
      </c>
      <c r="AU2" s="75" t="s">
        <v>312</v>
      </c>
      <c r="AV2" s="75" t="s">
        <v>313</v>
      </c>
      <c r="AW2" s="75" t="s">
        <v>314</v>
      </c>
      <c r="AX2" s="75" t="s">
        <v>315</v>
      </c>
      <c r="AY2" s="75" t="s">
        <v>316</v>
      </c>
      <c r="AZ2" s="75" t="s">
        <v>317</v>
      </c>
      <c r="BA2" s="75" t="s">
        <v>318</v>
      </c>
      <c r="BB2" s="75" t="s">
        <v>319</v>
      </c>
      <c r="BC2" s="75" t="s">
        <v>320</v>
      </c>
    </row>
    <row r="3" spans="1:55" hidden="1" x14ac:dyDescent="0.25">
      <c r="A3" s="22" t="s">
        <v>467</v>
      </c>
      <c r="B3" s="23">
        <v>35</v>
      </c>
      <c r="C3" s="23">
        <v>21</v>
      </c>
      <c r="D3" s="24">
        <v>22.333333333300001</v>
      </c>
      <c r="E3" s="24">
        <f t="shared" ref="E3:E34" si="0">W3-X3</f>
        <v>28.265625</v>
      </c>
      <c r="F3" s="24">
        <f t="shared" ref="F3:F34" si="1">E3/Y3</f>
        <v>0.32489224137931033</v>
      </c>
      <c r="G3" s="24">
        <f t="shared" ref="G3:G34" si="2">12/Y3</f>
        <v>0.13793103448275862</v>
      </c>
      <c r="H3" s="24">
        <f t="shared" ref="H3:H34" si="3">E3*G3</f>
        <v>3.8987068965517242</v>
      </c>
      <c r="I3" s="23" t="s">
        <v>469</v>
      </c>
      <c r="J3" s="23">
        <v>180</v>
      </c>
      <c r="K3" s="23">
        <f t="shared" ref="K3:K34" si="4">C3*12</f>
        <v>252</v>
      </c>
      <c r="L3" s="23">
        <f t="shared" ref="L3:L34" si="5">C3*12/2+7</f>
        <v>133</v>
      </c>
      <c r="M3" s="23">
        <f t="shared" ref="M3:M34" si="6">L3-12</f>
        <v>121</v>
      </c>
      <c r="N3" s="23">
        <v>0</v>
      </c>
      <c r="O3" s="23">
        <v>0.75</v>
      </c>
      <c r="P3" s="23">
        <v>8</v>
      </c>
      <c r="Q3" s="23">
        <v>12</v>
      </c>
      <c r="R3" s="23">
        <f t="shared" ref="R3:R34" si="7">360/Q3/2</f>
        <v>15</v>
      </c>
      <c r="S3" s="23">
        <f t="shared" ref="S3:S34" si="8">Q3</f>
        <v>12</v>
      </c>
      <c r="T3" s="23">
        <f t="shared" ref="T3:T34" si="9">Q3*2</f>
        <v>24</v>
      </c>
      <c r="U3" s="23" t="s">
        <v>470</v>
      </c>
      <c r="V3" s="23">
        <f t="shared" ref="V3:V34" si="10">Q3</f>
        <v>12</v>
      </c>
      <c r="W3" s="23">
        <f t="shared" ref="W3:W24" si="11">L3-7</f>
        <v>126</v>
      </c>
      <c r="X3" s="23">
        <v>97.734375</v>
      </c>
      <c r="Y3" s="23">
        <v>87</v>
      </c>
      <c r="Z3" s="23">
        <v>0.25</v>
      </c>
      <c r="AA3" s="23">
        <v>45</v>
      </c>
      <c r="AB3" s="23">
        <v>8</v>
      </c>
      <c r="AC3" s="23">
        <f>X3</f>
        <v>97.734375</v>
      </c>
      <c r="AD3" s="23">
        <v>70.4375</v>
      </c>
      <c r="AE3" s="23">
        <v>84</v>
      </c>
      <c r="AF3" s="23">
        <v>0.25</v>
      </c>
      <c r="AG3" s="23">
        <v>60</v>
      </c>
      <c r="AH3" s="23">
        <v>6</v>
      </c>
      <c r="AI3" s="23">
        <v>0</v>
      </c>
      <c r="AJ3" s="23">
        <f>AD3</f>
        <v>70.4375</v>
      </c>
      <c r="AK3" s="23">
        <v>44.9375</v>
      </c>
      <c r="AL3" s="23">
        <v>78.4375</v>
      </c>
      <c r="AM3" s="23">
        <v>0.3125</v>
      </c>
      <c r="AN3" s="23">
        <v>90</v>
      </c>
      <c r="AO3" s="23">
        <v>4</v>
      </c>
      <c r="AP3" s="23">
        <v>60</v>
      </c>
      <c r="AQ3" s="23">
        <v>44.9375</v>
      </c>
      <c r="AR3" s="23">
        <v>42</v>
      </c>
      <c r="AS3" s="23">
        <v>18.5625</v>
      </c>
      <c r="AT3" s="23">
        <v>0.3125</v>
      </c>
      <c r="AU3" s="23">
        <v>36</v>
      </c>
      <c r="AV3" s="23">
        <v>10</v>
      </c>
      <c r="AW3" s="23" t="s">
        <v>470</v>
      </c>
      <c r="AX3" s="23" t="s">
        <v>470</v>
      </c>
      <c r="AY3" s="23" t="s">
        <v>470</v>
      </c>
      <c r="AZ3" s="23" t="s">
        <v>470</v>
      </c>
      <c r="BA3" s="23" t="s">
        <v>470</v>
      </c>
      <c r="BB3" s="23" t="s">
        <v>470</v>
      </c>
      <c r="BC3" s="23" t="s">
        <v>470</v>
      </c>
    </row>
    <row r="4" spans="1:55" hidden="1" x14ac:dyDescent="0.25">
      <c r="A4" s="22" t="s">
        <v>472</v>
      </c>
      <c r="B4" s="23">
        <v>50</v>
      </c>
      <c r="C4" s="23">
        <v>21</v>
      </c>
      <c r="D4" s="24">
        <v>15.333333333300001</v>
      </c>
      <c r="E4" s="24">
        <f t="shared" si="0"/>
        <v>41.509799999999998</v>
      </c>
      <c r="F4" s="24">
        <f t="shared" si="1"/>
        <v>0.49416428571428572</v>
      </c>
      <c r="G4" s="24">
        <f t="shared" si="2"/>
        <v>0.14285714285714285</v>
      </c>
      <c r="H4" s="24">
        <f t="shared" si="3"/>
        <v>5.9299714285714282</v>
      </c>
      <c r="I4" s="23" t="s">
        <v>469</v>
      </c>
      <c r="J4" s="23">
        <v>180</v>
      </c>
      <c r="K4" s="23">
        <f t="shared" si="4"/>
        <v>252</v>
      </c>
      <c r="L4" s="23">
        <f t="shared" si="5"/>
        <v>133</v>
      </c>
      <c r="M4" s="23">
        <f t="shared" si="6"/>
        <v>121</v>
      </c>
      <c r="N4" s="23">
        <v>180</v>
      </c>
      <c r="O4" s="23">
        <v>1</v>
      </c>
      <c r="P4" s="23">
        <v>8</v>
      </c>
      <c r="Q4" s="23">
        <v>8</v>
      </c>
      <c r="R4" s="23">
        <f t="shared" si="7"/>
        <v>22.5</v>
      </c>
      <c r="S4" s="23">
        <f t="shared" si="8"/>
        <v>8</v>
      </c>
      <c r="T4" s="23">
        <f t="shared" si="9"/>
        <v>16</v>
      </c>
      <c r="U4" s="23"/>
      <c r="V4" s="23">
        <f t="shared" si="10"/>
        <v>8</v>
      </c>
      <c r="W4" s="23">
        <f t="shared" si="11"/>
        <v>126</v>
      </c>
      <c r="X4" s="23">
        <v>84.490200000000002</v>
      </c>
      <c r="Y4" s="23">
        <v>84</v>
      </c>
      <c r="Z4" s="23">
        <v>0.25</v>
      </c>
      <c r="AA4" s="23"/>
      <c r="AB4" s="23">
        <v>8</v>
      </c>
      <c r="AC4" s="23">
        <f>X4</f>
        <v>84.490200000000002</v>
      </c>
      <c r="AD4" s="23">
        <v>48.209400000000002</v>
      </c>
      <c r="AE4" s="23">
        <v>73.4375</v>
      </c>
      <c r="AF4" s="23">
        <v>0.25</v>
      </c>
      <c r="AG4" s="23">
        <v>60</v>
      </c>
      <c r="AH4" s="23">
        <v>6</v>
      </c>
      <c r="AI4" s="23">
        <v>60</v>
      </c>
      <c r="AJ4" s="23">
        <f>AD4</f>
        <v>48.209400000000002</v>
      </c>
      <c r="AK4" s="23">
        <v>44.933750000000003</v>
      </c>
      <c r="AL4" s="23">
        <v>78.4375</v>
      </c>
      <c r="AM4" s="23">
        <v>0.25</v>
      </c>
      <c r="AN4" s="23">
        <v>36</v>
      </c>
      <c r="AO4" s="23">
        <v>10</v>
      </c>
      <c r="AP4" s="23">
        <v>60</v>
      </c>
      <c r="AQ4" s="23" t="s">
        <v>470</v>
      </c>
      <c r="AR4" s="23" t="s">
        <v>470</v>
      </c>
      <c r="AS4" s="23" t="s">
        <v>470</v>
      </c>
      <c r="AT4" s="23"/>
      <c r="AU4" s="23"/>
      <c r="AV4" s="23" t="s">
        <v>470</v>
      </c>
      <c r="AW4" s="23">
        <v>60</v>
      </c>
      <c r="AX4" s="23" t="s">
        <v>470</v>
      </c>
      <c r="AY4" s="23" t="s">
        <v>470</v>
      </c>
      <c r="AZ4" s="23" t="s">
        <v>470</v>
      </c>
      <c r="BA4" s="23" t="s">
        <v>470</v>
      </c>
      <c r="BB4" s="23"/>
      <c r="BC4" s="23" t="s">
        <v>470</v>
      </c>
    </row>
    <row r="5" spans="1:55" hidden="1" x14ac:dyDescent="0.25">
      <c r="A5" s="22" t="s">
        <v>471</v>
      </c>
      <c r="B5" s="23">
        <v>50</v>
      </c>
      <c r="C5" s="23">
        <v>21</v>
      </c>
      <c r="D5" s="24">
        <v>22.333333333300001</v>
      </c>
      <c r="E5" s="24">
        <f t="shared" si="0"/>
        <v>28.265625</v>
      </c>
      <c r="F5" s="24">
        <f t="shared" si="1"/>
        <v>0.32489224137931033</v>
      </c>
      <c r="G5" s="24">
        <f t="shared" si="2"/>
        <v>0.13793103448275862</v>
      </c>
      <c r="H5" s="24">
        <f t="shared" si="3"/>
        <v>3.8987068965517242</v>
      </c>
      <c r="I5" s="23" t="s">
        <v>469</v>
      </c>
      <c r="J5" s="23">
        <v>180</v>
      </c>
      <c r="K5" s="23">
        <f t="shared" si="4"/>
        <v>252</v>
      </c>
      <c r="L5" s="23">
        <f t="shared" si="5"/>
        <v>133</v>
      </c>
      <c r="M5" s="23">
        <f t="shared" si="6"/>
        <v>121</v>
      </c>
      <c r="N5" s="23">
        <v>45</v>
      </c>
      <c r="O5" s="23">
        <v>1</v>
      </c>
      <c r="P5" s="23">
        <v>8</v>
      </c>
      <c r="Q5" s="23">
        <v>8</v>
      </c>
      <c r="R5" s="23">
        <f t="shared" si="7"/>
        <v>22.5</v>
      </c>
      <c r="S5" s="23">
        <f t="shared" si="8"/>
        <v>8</v>
      </c>
      <c r="T5" s="23">
        <f t="shared" si="9"/>
        <v>16</v>
      </c>
      <c r="U5" s="23" t="s">
        <v>470</v>
      </c>
      <c r="V5" s="23">
        <f t="shared" si="10"/>
        <v>8</v>
      </c>
      <c r="W5" s="23">
        <f t="shared" si="11"/>
        <v>126</v>
      </c>
      <c r="X5" s="23">
        <v>97.734375</v>
      </c>
      <c r="Y5" s="23">
        <v>87</v>
      </c>
      <c r="Z5" s="23">
        <v>0.25</v>
      </c>
      <c r="AA5" s="23">
        <v>45</v>
      </c>
      <c r="AB5" s="23">
        <v>8</v>
      </c>
      <c r="AC5" s="23">
        <v>97.734375</v>
      </c>
      <c r="AD5" s="23">
        <v>70.4375</v>
      </c>
      <c r="AE5" s="23">
        <v>84</v>
      </c>
      <c r="AF5" s="23">
        <v>0.25</v>
      </c>
      <c r="AG5" s="23">
        <v>60</v>
      </c>
      <c r="AH5" s="23">
        <v>6</v>
      </c>
      <c r="AI5" s="23">
        <v>0</v>
      </c>
      <c r="AJ5" s="23">
        <v>70.4375</v>
      </c>
      <c r="AK5" s="23">
        <v>44.9375</v>
      </c>
      <c r="AL5" s="23">
        <v>78.4375</v>
      </c>
      <c r="AM5" s="23">
        <v>0.25</v>
      </c>
      <c r="AN5" s="23">
        <v>90</v>
      </c>
      <c r="AO5" s="23">
        <v>4</v>
      </c>
      <c r="AP5" s="23">
        <v>60</v>
      </c>
      <c r="AQ5" s="23">
        <v>44.9375</v>
      </c>
      <c r="AR5" s="23">
        <v>42</v>
      </c>
      <c r="AS5" s="23">
        <v>18.5625</v>
      </c>
      <c r="AT5" s="23">
        <v>0.25</v>
      </c>
      <c r="AU5" s="23">
        <v>36</v>
      </c>
      <c r="AV5" s="23">
        <v>10</v>
      </c>
      <c r="AW5" s="23" t="s">
        <v>470</v>
      </c>
      <c r="AX5" s="23" t="s">
        <v>470</v>
      </c>
      <c r="AY5" s="23" t="s">
        <v>470</v>
      </c>
      <c r="AZ5" s="23" t="s">
        <v>470</v>
      </c>
      <c r="BA5" s="23" t="s">
        <v>470</v>
      </c>
      <c r="BB5" s="23" t="s">
        <v>470</v>
      </c>
      <c r="BC5" s="23" t="s">
        <v>470</v>
      </c>
    </row>
    <row r="6" spans="1:55" hidden="1" x14ac:dyDescent="0.25">
      <c r="A6" s="22" t="s">
        <v>474</v>
      </c>
      <c r="B6" s="23">
        <v>50</v>
      </c>
      <c r="C6" s="23">
        <v>23</v>
      </c>
      <c r="D6" s="24">
        <v>22.333333333300001</v>
      </c>
      <c r="E6" s="24">
        <f t="shared" si="0"/>
        <v>31.359375</v>
      </c>
      <c r="F6" s="24">
        <f t="shared" si="1"/>
        <v>0.37332589285714285</v>
      </c>
      <c r="G6" s="24">
        <f t="shared" si="2"/>
        <v>0.14285714285714285</v>
      </c>
      <c r="H6" s="24">
        <f t="shared" si="3"/>
        <v>4.4799107142857144</v>
      </c>
      <c r="I6" s="23" t="s">
        <v>469</v>
      </c>
      <c r="J6" s="23">
        <v>180</v>
      </c>
      <c r="K6" s="23">
        <f t="shared" si="4"/>
        <v>276</v>
      </c>
      <c r="L6" s="23">
        <f t="shared" si="5"/>
        <v>145</v>
      </c>
      <c r="M6" s="23">
        <f t="shared" si="6"/>
        <v>133</v>
      </c>
      <c r="N6" s="23">
        <v>45</v>
      </c>
      <c r="O6" s="23">
        <v>1</v>
      </c>
      <c r="P6" s="23">
        <v>8</v>
      </c>
      <c r="Q6" s="23">
        <v>12</v>
      </c>
      <c r="R6" s="23">
        <f t="shared" si="7"/>
        <v>15</v>
      </c>
      <c r="S6" s="23">
        <f t="shared" si="8"/>
        <v>12</v>
      </c>
      <c r="T6" s="23">
        <f t="shared" si="9"/>
        <v>24</v>
      </c>
      <c r="U6" s="23" t="s">
        <v>470</v>
      </c>
      <c r="V6" s="23">
        <f t="shared" si="10"/>
        <v>12</v>
      </c>
      <c r="W6" s="23">
        <f t="shared" si="11"/>
        <v>138</v>
      </c>
      <c r="X6" s="23">
        <v>106.640625</v>
      </c>
      <c r="Y6" s="23">
        <v>84</v>
      </c>
      <c r="Z6" s="23">
        <v>0.25</v>
      </c>
      <c r="AA6" s="23">
        <v>45</v>
      </c>
      <c r="AB6" s="23">
        <v>8</v>
      </c>
      <c r="AC6" s="23">
        <v>106.640625</v>
      </c>
      <c r="AD6" s="23">
        <v>75.28125</v>
      </c>
      <c r="AE6" s="23">
        <v>84</v>
      </c>
      <c r="AF6" s="23">
        <v>0.25</v>
      </c>
      <c r="AG6" s="23">
        <v>60</v>
      </c>
      <c r="AH6" s="23">
        <v>6</v>
      </c>
      <c r="AI6" s="23">
        <v>0</v>
      </c>
      <c r="AJ6" s="23">
        <v>75.28125</v>
      </c>
      <c r="AK6" s="23">
        <v>45.78125</v>
      </c>
      <c r="AL6" s="23">
        <v>79</v>
      </c>
      <c r="AM6" s="23">
        <v>0.3125</v>
      </c>
      <c r="AN6" s="23">
        <v>90</v>
      </c>
      <c r="AO6" s="23">
        <v>4</v>
      </c>
      <c r="AP6" s="23">
        <v>60</v>
      </c>
      <c r="AQ6" s="23">
        <v>45.78125</v>
      </c>
      <c r="AR6" s="23">
        <v>42</v>
      </c>
      <c r="AS6" s="23">
        <v>21</v>
      </c>
      <c r="AT6" s="23">
        <v>0.3125</v>
      </c>
      <c r="AU6" s="23">
        <v>36</v>
      </c>
      <c r="AV6" s="23">
        <v>10</v>
      </c>
      <c r="AW6" s="23" t="s">
        <v>470</v>
      </c>
      <c r="AX6" s="23" t="s">
        <v>470</v>
      </c>
      <c r="AY6" s="23" t="s">
        <v>470</v>
      </c>
      <c r="AZ6" s="23" t="s">
        <v>470</v>
      </c>
      <c r="BA6" s="23" t="s">
        <v>470</v>
      </c>
      <c r="BB6" s="23" t="s">
        <v>470</v>
      </c>
      <c r="BC6" s="23" t="s">
        <v>470</v>
      </c>
    </row>
    <row r="7" spans="1:55" hidden="1" x14ac:dyDescent="0.25">
      <c r="A7" s="22" t="s">
        <v>475</v>
      </c>
      <c r="B7" s="23">
        <v>75</v>
      </c>
      <c r="C7" s="23">
        <v>21</v>
      </c>
      <c r="D7" s="24">
        <v>22.333333333300001</v>
      </c>
      <c r="E7" s="24">
        <f t="shared" si="0"/>
        <v>28.265625</v>
      </c>
      <c r="F7" s="24">
        <f t="shared" si="1"/>
        <v>0.3364955357142857</v>
      </c>
      <c r="G7" s="24">
        <f t="shared" si="2"/>
        <v>0.14285714285714285</v>
      </c>
      <c r="H7" s="24">
        <f t="shared" si="3"/>
        <v>4.0379464285714279</v>
      </c>
      <c r="I7" s="23" t="s">
        <v>469</v>
      </c>
      <c r="J7" s="23">
        <v>180</v>
      </c>
      <c r="K7" s="23">
        <f t="shared" si="4"/>
        <v>252</v>
      </c>
      <c r="L7" s="23">
        <f t="shared" si="5"/>
        <v>133</v>
      </c>
      <c r="M7" s="23">
        <f t="shared" si="6"/>
        <v>121</v>
      </c>
      <c r="N7" s="23">
        <v>45</v>
      </c>
      <c r="O7" s="23">
        <v>1</v>
      </c>
      <c r="P7" s="23">
        <v>8</v>
      </c>
      <c r="Q7" s="23">
        <v>8</v>
      </c>
      <c r="R7" s="23">
        <f t="shared" si="7"/>
        <v>22.5</v>
      </c>
      <c r="S7" s="23">
        <f t="shared" si="8"/>
        <v>8</v>
      </c>
      <c r="T7" s="23">
        <f t="shared" si="9"/>
        <v>16</v>
      </c>
      <c r="U7" s="23" t="s">
        <v>470</v>
      </c>
      <c r="V7" s="23">
        <f t="shared" si="10"/>
        <v>8</v>
      </c>
      <c r="W7" s="23">
        <f t="shared" si="11"/>
        <v>126</v>
      </c>
      <c r="X7" s="23">
        <v>97.734375</v>
      </c>
      <c r="Y7" s="23">
        <v>84</v>
      </c>
      <c r="Z7" s="23">
        <v>0.3125</v>
      </c>
      <c r="AA7" s="23">
        <v>45</v>
      </c>
      <c r="AB7" s="23">
        <v>8</v>
      </c>
      <c r="AC7" s="23">
        <v>97.734375</v>
      </c>
      <c r="AD7" s="23">
        <v>70.4375</v>
      </c>
      <c r="AE7" s="23">
        <v>84</v>
      </c>
      <c r="AF7" s="23">
        <v>0.3125</v>
      </c>
      <c r="AG7" s="23">
        <v>60</v>
      </c>
      <c r="AH7" s="23">
        <v>6</v>
      </c>
      <c r="AI7" s="23">
        <v>0</v>
      </c>
      <c r="AJ7" s="23">
        <v>70.4375</v>
      </c>
      <c r="AK7" s="23">
        <v>44.9375</v>
      </c>
      <c r="AL7" s="23">
        <v>78.4375</v>
      </c>
      <c r="AM7" s="23">
        <v>0.375</v>
      </c>
      <c r="AN7" s="23">
        <v>90</v>
      </c>
      <c r="AO7" s="23">
        <v>4</v>
      </c>
      <c r="AP7" s="23"/>
      <c r="AQ7" s="23">
        <v>44.9375</v>
      </c>
      <c r="AR7" s="23">
        <v>42</v>
      </c>
      <c r="AS7" s="23">
        <v>18.5625</v>
      </c>
      <c r="AT7" s="23">
        <v>0.5</v>
      </c>
      <c r="AU7" s="23">
        <v>36</v>
      </c>
      <c r="AV7" s="23">
        <v>10</v>
      </c>
      <c r="AW7" s="23" t="s">
        <v>470</v>
      </c>
      <c r="AX7" s="23" t="s">
        <v>470</v>
      </c>
      <c r="AY7" s="23" t="s">
        <v>470</v>
      </c>
      <c r="AZ7" s="23" t="s">
        <v>470</v>
      </c>
      <c r="BA7" s="23" t="s">
        <v>470</v>
      </c>
      <c r="BB7" s="23" t="s">
        <v>470</v>
      </c>
      <c r="BC7" s="23" t="s">
        <v>470</v>
      </c>
    </row>
    <row r="8" spans="1:55" hidden="1" x14ac:dyDescent="0.25">
      <c r="A8" s="22" t="s">
        <v>477</v>
      </c>
      <c r="B8" s="23">
        <v>75</v>
      </c>
      <c r="C8" s="23">
        <v>28</v>
      </c>
      <c r="D8" s="24">
        <v>25</v>
      </c>
      <c r="E8" s="24">
        <f t="shared" si="0"/>
        <v>36.823299999999989</v>
      </c>
      <c r="F8" s="24">
        <f t="shared" si="1"/>
        <v>0.43837261904761893</v>
      </c>
      <c r="G8" s="24">
        <f t="shared" si="2"/>
        <v>0.14285714285714285</v>
      </c>
      <c r="H8" s="24">
        <f t="shared" si="3"/>
        <v>5.2604714285714271</v>
      </c>
      <c r="I8" s="23" t="s">
        <v>469</v>
      </c>
      <c r="J8" s="23">
        <v>180</v>
      </c>
      <c r="K8" s="23">
        <f t="shared" si="4"/>
        <v>336</v>
      </c>
      <c r="L8" s="23">
        <f t="shared" si="5"/>
        <v>175</v>
      </c>
      <c r="M8" s="23">
        <f t="shared" si="6"/>
        <v>163</v>
      </c>
      <c r="N8" s="23">
        <v>40</v>
      </c>
      <c r="O8" s="23">
        <v>0.875</v>
      </c>
      <c r="P8" s="23">
        <v>9</v>
      </c>
      <c r="Q8" s="23">
        <v>12</v>
      </c>
      <c r="R8" s="23">
        <f t="shared" si="7"/>
        <v>15</v>
      </c>
      <c r="S8" s="23">
        <f t="shared" si="8"/>
        <v>12</v>
      </c>
      <c r="T8" s="23">
        <f t="shared" si="9"/>
        <v>24</v>
      </c>
      <c r="U8" s="23" t="s">
        <v>470</v>
      </c>
      <c r="V8" s="23">
        <f t="shared" si="10"/>
        <v>12</v>
      </c>
      <c r="W8" s="23">
        <f t="shared" si="11"/>
        <v>168</v>
      </c>
      <c r="X8" s="23">
        <v>131.17670000000001</v>
      </c>
      <c r="Y8" s="23">
        <v>84</v>
      </c>
      <c r="Z8" s="23">
        <v>0.3125</v>
      </c>
      <c r="AA8" s="23">
        <v>40</v>
      </c>
      <c r="AB8" s="23">
        <v>9</v>
      </c>
      <c r="AC8" s="23">
        <v>131.17670000000001</v>
      </c>
      <c r="AD8" s="23">
        <v>94.353300000000004</v>
      </c>
      <c r="AE8" s="23">
        <v>84</v>
      </c>
      <c r="AF8" s="23">
        <v>0.3125</v>
      </c>
      <c r="AG8" s="23">
        <v>45</v>
      </c>
      <c r="AH8" s="23">
        <v>8</v>
      </c>
      <c r="AI8" s="23">
        <v>0</v>
      </c>
      <c r="AJ8" s="23">
        <v>94.353300000000004</v>
      </c>
      <c r="AK8" s="23">
        <v>57.53</v>
      </c>
      <c r="AL8" s="23">
        <v>84</v>
      </c>
      <c r="AM8" s="23">
        <v>0.375</v>
      </c>
      <c r="AN8" s="23">
        <v>60</v>
      </c>
      <c r="AO8" s="23">
        <v>6</v>
      </c>
      <c r="AP8" s="23">
        <v>0</v>
      </c>
      <c r="AQ8" s="23">
        <v>57.53</v>
      </c>
      <c r="AR8" s="23">
        <v>47.048200000000001</v>
      </c>
      <c r="AS8" s="23">
        <v>23.9375</v>
      </c>
      <c r="AT8" s="23">
        <v>0.5</v>
      </c>
      <c r="AU8" s="23">
        <v>90</v>
      </c>
      <c r="AV8" s="23">
        <v>4</v>
      </c>
      <c r="AW8" s="23"/>
      <c r="AX8" s="23">
        <v>47.048200000000001</v>
      </c>
      <c r="AY8" s="23">
        <v>42</v>
      </c>
      <c r="AZ8" s="23">
        <v>24.0625</v>
      </c>
      <c r="BA8" s="23">
        <v>0.5</v>
      </c>
      <c r="BB8" s="23">
        <v>36</v>
      </c>
      <c r="BC8" s="23">
        <v>10</v>
      </c>
    </row>
    <row r="9" spans="1:55" hidden="1" x14ac:dyDescent="0.25">
      <c r="A9" s="22" t="s">
        <v>2012</v>
      </c>
      <c r="B9" s="23">
        <v>100</v>
      </c>
      <c r="C9" s="23">
        <v>21</v>
      </c>
      <c r="D9" s="24">
        <v>22.333333333300001</v>
      </c>
      <c r="E9" s="24">
        <f t="shared" si="0"/>
        <v>28.271199999999993</v>
      </c>
      <c r="F9" s="24">
        <f t="shared" si="1"/>
        <v>0.32495632183908041</v>
      </c>
      <c r="G9" s="24">
        <f t="shared" si="2"/>
        <v>0.13793103448275862</v>
      </c>
      <c r="H9" s="24">
        <f t="shared" si="3"/>
        <v>3.8994758620689645</v>
      </c>
      <c r="I9" s="23" t="s">
        <v>469</v>
      </c>
      <c r="J9" s="23">
        <v>180</v>
      </c>
      <c r="K9" s="23">
        <f t="shared" si="4"/>
        <v>252</v>
      </c>
      <c r="L9" s="23">
        <f t="shared" si="5"/>
        <v>133</v>
      </c>
      <c r="M9" s="23">
        <f t="shared" si="6"/>
        <v>121</v>
      </c>
      <c r="N9" s="23">
        <v>0</v>
      </c>
      <c r="O9" s="23">
        <v>0.75</v>
      </c>
      <c r="P9" s="23">
        <v>8</v>
      </c>
      <c r="Q9" s="23">
        <v>12</v>
      </c>
      <c r="R9" s="23">
        <f t="shared" si="7"/>
        <v>15</v>
      </c>
      <c r="S9" s="23">
        <f t="shared" si="8"/>
        <v>12</v>
      </c>
      <c r="T9" s="23">
        <f t="shared" si="9"/>
        <v>24</v>
      </c>
      <c r="U9" s="23" t="s">
        <v>470</v>
      </c>
      <c r="V9" s="23">
        <f t="shared" si="10"/>
        <v>12</v>
      </c>
      <c r="W9" s="23">
        <f t="shared" si="11"/>
        <v>126</v>
      </c>
      <c r="X9" s="23">
        <v>97.728800000000007</v>
      </c>
      <c r="Y9" s="23">
        <v>87</v>
      </c>
      <c r="Z9" s="23">
        <v>0.3125</v>
      </c>
      <c r="AA9" s="23">
        <v>45</v>
      </c>
      <c r="AB9" s="23">
        <v>8</v>
      </c>
      <c r="AC9" s="23">
        <v>97.728800000000007</v>
      </c>
      <c r="AD9" s="23">
        <v>70.432400000000001</v>
      </c>
      <c r="AE9" s="23">
        <v>84</v>
      </c>
      <c r="AF9" s="23">
        <v>0.375</v>
      </c>
      <c r="AG9" s="23">
        <v>60</v>
      </c>
      <c r="AH9" s="23">
        <v>6</v>
      </c>
      <c r="AI9" s="23">
        <v>0</v>
      </c>
      <c r="AJ9" s="23">
        <v>70.432400000000001</v>
      </c>
      <c r="AK9" s="23">
        <v>44.937199999999997</v>
      </c>
      <c r="AL9" s="23">
        <v>78.4375</v>
      </c>
      <c r="AM9" s="23">
        <v>0.5</v>
      </c>
      <c r="AN9" s="23">
        <v>90</v>
      </c>
      <c r="AO9" s="23">
        <v>4</v>
      </c>
      <c r="AP9" s="23"/>
      <c r="AQ9" s="23">
        <v>44.937199999999997</v>
      </c>
      <c r="AR9" s="23">
        <v>42</v>
      </c>
      <c r="AS9" s="23">
        <v>18.5625</v>
      </c>
      <c r="AT9" s="23">
        <v>0.5</v>
      </c>
      <c r="AU9" s="23">
        <v>36</v>
      </c>
      <c r="AV9" s="23">
        <v>10</v>
      </c>
      <c r="AW9" s="23"/>
      <c r="AX9" s="23"/>
      <c r="AY9" s="23"/>
      <c r="AZ9" s="23"/>
      <c r="BA9" s="23"/>
      <c r="BB9" s="23"/>
      <c r="BC9" s="23"/>
    </row>
    <row r="10" spans="1:55" hidden="1" x14ac:dyDescent="0.25">
      <c r="A10" s="22" t="s">
        <v>481</v>
      </c>
      <c r="B10" s="23">
        <v>100</v>
      </c>
      <c r="C10" s="23">
        <v>23</v>
      </c>
      <c r="D10" s="24">
        <v>22.333333333300001</v>
      </c>
      <c r="E10" s="24">
        <f t="shared" si="0"/>
        <v>31.359375</v>
      </c>
      <c r="F10" s="24">
        <f t="shared" si="1"/>
        <v>0.37332589285714285</v>
      </c>
      <c r="G10" s="24">
        <f t="shared" si="2"/>
        <v>0.14285714285714285</v>
      </c>
      <c r="H10" s="24">
        <f t="shared" si="3"/>
        <v>4.4799107142857144</v>
      </c>
      <c r="I10" s="23" t="s">
        <v>469</v>
      </c>
      <c r="J10" s="23">
        <v>180</v>
      </c>
      <c r="K10" s="23">
        <f t="shared" si="4"/>
        <v>276</v>
      </c>
      <c r="L10" s="23">
        <f t="shared" si="5"/>
        <v>145</v>
      </c>
      <c r="M10" s="23">
        <f t="shared" si="6"/>
        <v>133</v>
      </c>
      <c r="N10" s="23">
        <v>0</v>
      </c>
      <c r="O10" s="23">
        <v>0.8125</v>
      </c>
      <c r="P10" s="23">
        <v>8</v>
      </c>
      <c r="Q10" s="23">
        <v>12</v>
      </c>
      <c r="R10" s="23">
        <f t="shared" si="7"/>
        <v>15</v>
      </c>
      <c r="S10" s="23">
        <f t="shared" si="8"/>
        <v>12</v>
      </c>
      <c r="T10" s="23">
        <f t="shared" si="9"/>
        <v>24</v>
      </c>
      <c r="U10" s="23" t="s">
        <v>470</v>
      </c>
      <c r="V10" s="23">
        <f t="shared" si="10"/>
        <v>12</v>
      </c>
      <c r="W10" s="23">
        <f t="shared" si="11"/>
        <v>138</v>
      </c>
      <c r="X10" s="23">
        <v>106.640625</v>
      </c>
      <c r="Y10" s="23">
        <v>84</v>
      </c>
      <c r="Z10" s="23">
        <v>0.3125</v>
      </c>
      <c r="AA10" s="23">
        <v>45</v>
      </c>
      <c r="AB10" s="23">
        <v>8</v>
      </c>
      <c r="AC10" s="23">
        <v>106.640625</v>
      </c>
      <c r="AD10" s="23">
        <v>75.28125</v>
      </c>
      <c r="AE10" s="23">
        <v>84</v>
      </c>
      <c r="AF10" s="23">
        <v>0.3125</v>
      </c>
      <c r="AG10" s="23">
        <v>60</v>
      </c>
      <c r="AH10" s="23">
        <v>6</v>
      </c>
      <c r="AI10" s="23">
        <v>0</v>
      </c>
      <c r="AJ10" s="23">
        <v>75.28125</v>
      </c>
      <c r="AK10" s="23">
        <v>45.78125</v>
      </c>
      <c r="AL10" s="23">
        <v>79</v>
      </c>
      <c r="AM10" s="23">
        <v>0.5</v>
      </c>
      <c r="AN10" s="23">
        <v>90</v>
      </c>
      <c r="AO10" s="23">
        <v>4</v>
      </c>
      <c r="AP10" s="23"/>
      <c r="AQ10" s="23">
        <v>45.78125</v>
      </c>
      <c r="AR10" s="23">
        <v>42</v>
      </c>
      <c r="AS10" s="23">
        <v>21</v>
      </c>
      <c r="AT10" s="23">
        <v>0.5</v>
      </c>
      <c r="AU10" s="23">
        <v>36</v>
      </c>
      <c r="AV10" s="23">
        <v>10</v>
      </c>
      <c r="AW10" s="23"/>
      <c r="AX10" s="23"/>
      <c r="AY10" s="23"/>
      <c r="AZ10" s="23"/>
      <c r="BA10" s="23"/>
      <c r="BB10" s="23"/>
      <c r="BC10" s="23"/>
    </row>
    <row r="11" spans="1:55" hidden="1" x14ac:dyDescent="0.25">
      <c r="A11" s="22" t="s">
        <v>483</v>
      </c>
      <c r="B11" s="23">
        <v>100</v>
      </c>
      <c r="C11" s="23">
        <v>25</v>
      </c>
      <c r="D11" s="24">
        <v>25</v>
      </c>
      <c r="E11" s="24">
        <f t="shared" si="0"/>
        <v>31.375</v>
      </c>
      <c r="F11" s="24">
        <f t="shared" si="1"/>
        <v>0.37351190476190477</v>
      </c>
      <c r="G11" s="24">
        <f t="shared" si="2"/>
        <v>0.14285714285714285</v>
      </c>
      <c r="H11" s="24">
        <f t="shared" si="3"/>
        <v>4.4821428571428568</v>
      </c>
      <c r="I11" s="23" t="s">
        <v>469</v>
      </c>
      <c r="J11" s="23">
        <v>180</v>
      </c>
      <c r="K11" s="23">
        <f t="shared" si="4"/>
        <v>300</v>
      </c>
      <c r="L11" s="23">
        <f t="shared" si="5"/>
        <v>157</v>
      </c>
      <c r="M11" s="23">
        <f t="shared" si="6"/>
        <v>145</v>
      </c>
      <c r="N11" s="23">
        <v>0</v>
      </c>
      <c r="O11" s="23">
        <v>0.875</v>
      </c>
      <c r="P11" s="23">
        <v>9</v>
      </c>
      <c r="Q11" s="23">
        <v>16</v>
      </c>
      <c r="R11" s="23">
        <f t="shared" si="7"/>
        <v>11.25</v>
      </c>
      <c r="S11" s="23">
        <f t="shared" si="8"/>
        <v>16</v>
      </c>
      <c r="T11" s="23">
        <f t="shared" si="9"/>
        <v>32</v>
      </c>
      <c r="U11" s="23" t="s">
        <v>470</v>
      </c>
      <c r="V11" s="23">
        <f t="shared" si="10"/>
        <v>16</v>
      </c>
      <c r="W11" s="23">
        <f t="shared" si="11"/>
        <v>150</v>
      </c>
      <c r="X11" s="23">
        <v>118.625</v>
      </c>
      <c r="Y11" s="23">
        <v>84</v>
      </c>
      <c r="Z11" s="23">
        <v>0.375</v>
      </c>
      <c r="AA11" s="23">
        <v>40</v>
      </c>
      <c r="AB11" s="23">
        <v>9</v>
      </c>
      <c r="AC11" s="23">
        <v>118.625</v>
      </c>
      <c r="AD11" s="23">
        <v>87.25</v>
      </c>
      <c r="AE11" s="23">
        <v>84</v>
      </c>
      <c r="AF11" s="23">
        <v>0.375</v>
      </c>
      <c r="AG11" s="23">
        <v>60</v>
      </c>
      <c r="AH11" s="23">
        <v>6</v>
      </c>
      <c r="AI11" s="23">
        <v>0</v>
      </c>
      <c r="AJ11" s="23">
        <v>87.25</v>
      </c>
      <c r="AK11" s="23">
        <v>55.875</v>
      </c>
      <c r="AL11" s="23">
        <v>84</v>
      </c>
      <c r="AM11" s="23">
        <v>0.4375</v>
      </c>
      <c r="AN11" s="23">
        <v>60</v>
      </c>
      <c r="AO11" s="23">
        <v>6</v>
      </c>
      <c r="AP11" s="23">
        <v>0</v>
      </c>
      <c r="AQ11" s="23">
        <v>55.875</v>
      </c>
      <c r="AR11" s="23">
        <v>45.78125</v>
      </c>
      <c r="AS11" s="23">
        <v>27</v>
      </c>
      <c r="AT11" s="23">
        <v>0.5</v>
      </c>
      <c r="AU11" s="23">
        <v>90</v>
      </c>
      <c r="AV11" s="23">
        <v>4</v>
      </c>
      <c r="AW11" s="23"/>
      <c r="AX11" s="23">
        <v>45.78125</v>
      </c>
      <c r="AY11" s="23">
        <v>42</v>
      </c>
      <c r="AZ11" s="23">
        <v>21</v>
      </c>
      <c r="BA11" s="23">
        <v>0.5</v>
      </c>
      <c r="BB11" s="23">
        <v>36</v>
      </c>
      <c r="BC11" s="23">
        <v>10</v>
      </c>
    </row>
    <row r="12" spans="1:55" hidden="1" x14ac:dyDescent="0.25">
      <c r="A12" s="22" t="s">
        <v>484</v>
      </c>
      <c r="B12" s="23">
        <v>100</v>
      </c>
      <c r="C12" s="23">
        <v>28</v>
      </c>
      <c r="D12" s="24">
        <v>25</v>
      </c>
      <c r="E12" s="24">
        <f t="shared" si="0"/>
        <v>36.823299999999989</v>
      </c>
      <c r="F12" s="24">
        <f t="shared" si="1"/>
        <v>0.43837261904761893</v>
      </c>
      <c r="G12" s="24">
        <f t="shared" si="2"/>
        <v>0.14285714285714285</v>
      </c>
      <c r="H12" s="24">
        <f t="shared" si="3"/>
        <v>5.2604714285714271</v>
      </c>
      <c r="I12" s="23" t="s">
        <v>469</v>
      </c>
      <c r="J12" s="23">
        <v>180</v>
      </c>
      <c r="K12" s="23">
        <f t="shared" si="4"/>
        <v>336</v>
      </c>
      <c r="L12" s="23">
        <f t="shared" si="5"/>
        <v>175</v>
      </c>
      <c r="M12" s="23">
        <f t="shared" si="6"/>
        <v>163</v>
      </c>
      <c r="N12" s="23">
        <v>0</v>
      </c>
      <c r="O12" s="23">
        <v>0.6875</v>
      </c>
      <c r="P12" s="23">
        <v>9</v>
      </c>
      <c r="Q12" s="23">
        <v>16</v>
      </c>
      <c r="R12" s="23">
        <f t="shared" si="7"/>
        <v>11.25</v>
      </c>
      <c r="S12" s="23">
        <f t="shared" si="8"/>
        <v>16</v>
      </c>
      <c r="T12" s="23">
        <f t="shared" si="9"/>
        <v>32</v>
      </c>
      <c r="U12" s="23" t="s">
        <v>470</v>
      </c>
      <c r="V12" s="23">
        <f t="shared" si="10"/>
        <v>16</v>
      </c>
      <c r="W12" s="23">
        <f t="shared" si="11"/>
        <v>168</v>
      </c>
      <c r="X12" s="23">
        <v>131.17670000000001</v>
      </c>
      <c r="Y12" s="23">
        <v>84</v>
      </c>
      <c r="Z12" s="23">
        <v>0.3125</v>
      </c>
      <c r="AA12" s="23">
        <v>40</v>
      </c>
      <c r="AB12" s="23">
        <v>9</v>
      </c>
      <c r="AC12" s="23">
        <v>131.17670000000001</v>
      </c>
      <c r="AD12" s="23">
        <v>94.353300000000004</v>
      </c>
      <c r="AE12" s="23">
        <v>84</v>
      </c>
      <c r="AF12" s="23">
        <v>0.3125</v>
      </c>
      <c r="AG12" s="23">
        <v>45</v>
      </c>
      <c r="AH12" s="23">
        <v>8</v>
      </c>
      <c r="AI12" s="23">
        <v>0</v>
      </c>
      <c r="AJ12" s="23">
        <v>94.353300000000004</v>
      </c>
      <c r="AK12" s="23">
        <v>57.53</v>
      </c>
      <c r="AL12" s="23">
        <v>84</v>
      </c>
      <c r="AM12" s="23">
        <v>0.375</v>
      </c>
      <c r="AN12" s="23">
        <v>60</v>
      </c>
      <c r="AO12" s="23">
        <v>6</v>
      </c>
      <c r="AP12" s="23">
        <v>0</v>
      </c>
      <c r="AQ12" s="23">
        <v>57.53</v>
      </c>
      <c r="AR12" s="23">
        <v>47.048200000000001</v>
      </c>
      <c r="AS12" s="23">
        <v>23.9375</v>
      </c>
      <c r="AT12" s="23">
        <v>0.4375</v>
      </c>
      <c r="AU12" s="23">
        <v>90</v>
      </c>
      <c r="AV12" s="23">
        <v>4</v>
      </c>
      <c r="AW12" s="23"/>
      <c r="AX12" s="23">
        <v>47.048200000000001</v>
      </c>
      <c r="AY12" s="23">
        <v>42</v>
      </c>
      <c r="AZ12" s="23">
        <v>24.0625</v>
      </c>
      <c r="BA12" s="23">
        <v>0.4375</v>
      </c>
      <c r="BB12" s="23">
        <v>36</v>
      </c>
      <c r="BC12" s="23">
        <v>10</v>
      </c>
    </row>
    <row r="13" spans="1:55" hidden="1" x14ac:dyDescent="0.25">
      <c r="A13" s="22" t="s">
        <v>485</v>
      </c>
      <c r="B13" s="23">
        <v>125</v>
      </c>
      <c r="C13" s="23">
        <v>21</v>
      </c>
      <c r="D13" s="24">
        <v>22.333333333300001</v>
      </c>
      <c r="E13" s="24">
        <f t="shared" si="0"/>
        <v>26.183899999999994</v>
      </c>
      <c r="F13" s="24">
        <f t="shared" si="1"/>
        <v>0.30096436781609187</v>
      </c>
      <c r="G13" s="24">
        <f t="shared" si="2"/>
        <v>0.13793103448275862</v>
      </c>
      <c r="H13" s="24">
        <f t="shared" si="3"/>
        <v>3.6115724137931027</v>
      </c>
      <c r="I13" s="23" t="s">
        <v>469</v>
      </c>
      <c r="J13" s="23">
        <v>180</v>
      </c>
      <c r="K13" s="23">
        <f t="shared" si="4"/>
        <v>252</v>
      </c>
      <c r="L13" s="23">
        <f t="shared" si="5"/>
        <v>133</v>
      </c>
      <c r="M13" s="23">
        <f t="shared" si="6"/>
        <v>121</v>
      </c>
      <c r="N13" s="23">
        <v>45</v>
      </c>
      <c r="O13" s="23">
        <v>0.9375</v>
      </c>
      <c r="P13" s="23">
        <v>8</v>
      </c>
      <c r="Q13" s="23">
        <v>16</v>
      </c>
      <c r="R13" s="23">
        <f t="shared" si="7"/>
        <v>11.25</v>
      </c>
      <c r="S13" s="23">
        <f t="shared" si="8"/>
        <v>16</v>
      </c>
      <c r="T13" s="23">
        <f t="shared" si="9"/>
        <v>32</v>
      </c>
      <c r="U13" s="23" t="s">
        <v>470</v>
      </c>
      <c r="V13" s="23">
        <f t="shared" si="10"/>
        <v>16</v>
      </c>
      <c r="W13" s="23">
        <f t="shared" si="11"/>
        <v>126</v>
      </c>
      <c r="X13" s="23">
        <v>99.816100000000006</v>
      </c>
      <c r="Y13" s="23">
        <v>87</v>
      </c>
      <c r="Z13" s="23">
        <v>0.3125</v>
      </c>
      <c r="AA13" s="23">
        <v>45</v>
      </c>
      <c r="AB13" s="23">
        <v>8</v>
      </c>
      <c r="AC13" s="23">
        <v>99.816100000000006</v>
      </c>
      <c r="AD13" s="23">
        <v>74.5351</v>
      </c>
      <c r="AE13" s="23">
        <v>84</v>
      </c>
      <c r="AF13" s="23">
        <v>0.3125</v>
      </c>
      <c r="AG13" s="23">
        <v>60</v>
      </c>
      <c r="AH13" s="23">
        <v>6</v>
      </c>
      <c r="AI13" s="23">
        <v>0</v>
      </c>
      <c r="AJ13" s="23">
        <v>74.5351</v>
      </c>
      <c r="AK13" s="23">
        <v>50.545699999999997</v>
      </c>
      <c r="AL13" s="23">
        <v>79.6875</v>
      </c>
      <c r="AM13" s="23">
        <v>0.375</v>
      </c>
      <c r="AN13" s="23">
        <v>90</v>
      </c>
      <c r="AO13" s="23">
        <v>4</v>
      </c>
      <c r="AP13" s="23">
        <v>60</v>
      </c>
      <c r="AQ13" s="23">
        <v>50.545699999999997</v>
      </c>
      <c r="AR13" s="23">
        <v>48</v>
      </c>
      <c r="AS13" s="23">
        <v>17.3125</v>
      </c>
      <c r="AT13" s="23">
        <v>0.4375</v>
      </c>
      <c r="AU13" s="23">
        <v>36</v>
      </c>
      <c r="AV13" s="23">
        <v>10</v>
      </c>
      <c r="AW13" s="23" t="s">
        <v>470</v>
      </c>
      <c r="AX13" s="23" t="s">
        <v>470</v>
      </c>
      <c r="AY13" s="23" t="s">
        <v>470</v>
      </c>
      <c r="AZ13" s="23" t="s">
        <v>470</v>
      </c>
      <c r="BA13" s="23" t="s">
        <v>470</v>
      </c>
      <c r="BB13" s="23" t="s">
        <v>470</v>
      </c>
      <c r="BC13" s="23" t="s">
        <v>470</v>
      </c>
    </row>
    <row r="14" spans="1:55" hidden="1" x14ac:dyDescent="0.25">
      <c r="A14" s="4" t="s">
        <v>487</v>
      </c>
      <c r="B14" s="5">
        <v>125</v>
      </c>
      <c r="C14" s="5">
        <v>23</v>
      </c>
      <c r="D14" s="6">
        <v>22.333333333300001</v>
      </c>
      <c r="E14" s="6">
        <f t="shared" si="0"/>
        <v>30.369</v>
      </c>
      <c r="F14" s="6">
        <f t="shared" si="1"/>
        <v>0.34906896551724137</v>
      </c>
      <c r="G14" s="6">
        <f t="shared" si="2"/>
        <v>0.13793103448275862</v>
      </c>
      <c r="H14" s="6">
        <f t="shared" si="3"/>
        <v>4.1888275862068962</v>
      </c>
      <c r="I14" s="5" t="s">
        <v>469</v>
      </c>
      <c r="J14" s="5">
        <v>180</v>
      </c>
      <c r="K14" s="5">
        <f t="shared" si="4"/>
        <v>276</v>
      </c>
      <c r="L14" s="5">
        <f t="shared" si="5"/>
        <v>145</v>
      </c>
      <c r="M14" s="5">
        <f t="shared" si="6"/>
        <v>133</v>
      </c>
      <c r="N14" s="5">
        <v>45</v>
      </c>
      <c r="O14" s="5">
        <v>0.9375</v>
      </c>
      <c r="P14" s="5">
        <v>8</v>
      </c>
      <c r="Q14" s="5">
        <v>16</v>
      </c>
      <c r="R14" s="23">
        <f t="shared" si="7"/>
        <v>11.25</v>
      </c>
      <c r="S14" s="23">
        <f t="shared" si="8"/>
        <v>16</v>
      </c>
      <c r="T14" s="23">
        <f t="shared" si="9"/>
        <v>32</v>
      </c>
      <c r="U14" s="5" t="s">
        <v>470</v>
      </c>
      <c r="V14" s="23">
        <f t="shared" si="10"/>
        <v>16</v>
      </c>
      <c r="W14" s="5">
        <f t="shared" si="11"/>
        <v>138</v>
      </c>
      <c r="X14" s="5">
        <v>107.631</v>
      </c>
      <c r="Y14" s="5">
        <v>87</v>
      </c>
      <c r="Z14" s="5">
        <v>0.375</v>
      </c>
      <c r="AA14" s="5">
        <v>45</v>
      </c>
      <c r="AB14" s="5">
        <v>8</v>
      </c>
      <c r="AC14" s="5">
        <v>107.631</v>
      </c>
      <c r="AD14" s="5">
        <v>78.309200000000004</v>
      </c>
      <c r="AE14" s="5">
        <v>84</v>
      </c>
      <c r="AF14" s="5">
        <v>0.375</v>
      </c>
      <c r="AG14" s="5">
        <v>60</v>
      </c>
      <c r="AH14" s="5">
        <v>6</v>
      </c>
      <c r="AI14" s="5">
        <v>0</v>
      </c>
      <c r="AJ14" s="5">
        <v>78.309200000000004</v>
      </c>
      <c r="AK14" s="5">
        <v>51.34375</v>
      </c>
      <c r="AL14" s="5">
        <v>77.25</v>
      </c>
      <c r="AM14" s="5">
        <v>0.5</v>
      </c>
      <c r="AN14" s="5">
        <v>90</v>
      </c>
      <c r="AO14" s="5">
        <v>4</v>
      </c>
      <c r="AP14" s="5">
        <v>60</v>
      </c>
      <c r="AQ14" s="5">
        <v>51.34375</v>
      </c>
      <c r="AR14" s="5">
        <v>48</v>
      </c>
      <c r="AS14" s="5">
        <v>19.75</v>
      </c>
      <c r="AT14" s="5">
        <v>0.5</v>
      </c>
      <c r="AU14" s="5">
        <v>36</v>
      </c>
      <c r="AV14" s="5">
        <v>10</v>
      </c>
      <c r="AW14" s="5" t="s">
        <v>470</v>
      </c>
      <c r="AX14" s="5" t="s">
        <v>470</v>
      </c>
      <c r="AY14" s="5" t="s">
        <v>470</v>
      </c>
      <c r="AZ14" s="5" t="s">
        <v>470</v>
      </c>
      <c r="BA14" s="5" t="s">
        <v>470</v>
      </c>
      <c r="BB14" s="5" t="s">
        <v>470</v>
      </c>
      <c r="BC14" s="5" t="s">
        <v>470</v>
      </c>
    </row>
    <row r="15" spans="1:55" hidden="1" x14ac:dyDescent="0.25">
      <c r="A15" s="22" t="s">
        <v>488</v>
      </c>
      <c r="B15" s="23">
        <v>125</v>
      </c>
      <c r="C15" s="23">
        <v>28</v>
      </c>
      <c r="D15" s="24">
        <v>25</v>
      </c>
      <c r="E15" s="24">
        <f t="shared" si="0"/>
        <v>34.999200000000002</v>
      </c>
      <c r="F15" s="24">
        <f t="shared" si="1"/>
        <v>0.41665714285714289</v>
      </c>
      <c r="G15" s="24">
        <f t="shared" si="2"/>
        <v>0.14285714285714285</v>
      </c>
      <c r="H15" s="24">
        <f t="shared" si="3"/>
        <v>4.999885714285714</v>
      </c>
      <c r="I15" s="23" t="s">
        <v>469</v>
      </c>
      <c r="J15" s="23">
        <v>180</v>
      </c>
      <c r="K15" s="23">
        <f t="shared" si="4"/>
        <v>336</v>
      </c>
      <c r="L15" s="23">
        <f t="shared" si="5"/>
        <v>175</v>
      </c>
      <c r="M15" s="23">
        <f t="shared" si="6"/>
        <v>163</v>
      </c>
      <c r="N15" s="23">
        <v>40</v>
      </c>
      <c r="O15" s="23">
        <v>0.875</v>
      </c>
      <c r="P15" s="23">
        <v>9</v>
      </c>
      <c r="Q15" s="23">
        <v>20</v>
      </c>
      <c r="R15" s="23">
        <f t="shared" si="7"/>
        <v>9</v>
      </c>
      <c r="S15" s="23">
        <f t="shared" si="8"/>
        <v>20</v>
      </c>
      <c r="T15" s="23">
        <f t="shared" si="9"/>
        <v>40</v>
      </c>
      <c r="U15" s="23" t="s">
        <v>470</v>
      </c>
      <c r="V15" s="23">
        <f t="shared" si="10"/>
        <v>20</v>
      </c>
      <c r="W15" s="23">
        <f t="shared" si="11"/>
        <v>168</v>
      </c>
      <c r="X15" s="23">
        <v>133.0008</v>
      </c>
      <c r="Y15" s="23">
        <v>84</v>
      </c>
      <c r="Z15" s="23">
        <v>0.4375</v>
      </c>
      <c r="AA15" s="23">
        <v>40</v>
      </c>
      <c r="AB15" s="23">
        <v>9</v>
      </c>
      <c r="AC15" s="23">
        <v>133.0008</v>
      </c>
      <c r="AD15" s="23">
        <v>98.001599999999996</v>
      </c>
      <c r="AE15" s="23">
        <v>84</v>
      </c>
      <c r="AF15" s="23">
        <v>0.4375</v>
      </c>
      <c r="AG15" s="23">
        <v>45</v>
      </c>
      <c r="AH15" s="23">
        <v>8</v>
      </c>
      <c r="AI15" s="23">
        <v>0</v>
      </c>
      <c r="AJ15" s="23">
        <v>98.001599999999996</v>
      </c>
      <c r="AK15" s="23">
        <v>63.002499999999998</v>
      </c>
      <c r="AL15" s="23">
        <v>84</v>
      </c>
      <c r="AM15" s="23">
        <v>0.5625</v>
      </c>
      <c r="AN15" s="23">
        <v>60</v>
      </c>
      <c r="AO15" s="23">
        <v>6</v>
      </c>
      <c r="AP15" s="23">
        <v>0</v>
      </c>
      <c r="AQ15" s="23">
        <v>63.002499999999998</v>
      </c>
      <c r="AR15" s="23">
        <v>52.615400000000001</v>
      </c>
      <c r="AS15" s="23">
        <v>24.9375</v>
      </c>
      <c r="AT15" s="23">
        <v>0.6875</v>
      </c>
      <c r="AU15" s="23">
        <v>90</v>
      </c>
      <c r="AV15" s="23">
        <v>4</v>
      </c>
      <c r="AW15" s="23">
        <v>60</v>
      </c>
      <c r="AX15" s="23">
        <v>52.615400000000001</v>
      </c>
      <c r="AY15" s="23">
        <v>48</v>
      </c>
      <c r="AZ15" s="23">
        <v>23.0625</v>
      </c>
      <c r="BA15" s="23">
        <v>0.6875</v>
      </c>
      <c r="BB15" s="23">
        <v>36</v>
      </c>
      <c r="BC15" s="23">
        <v>10</v>
      </c>
    </row>
    <row r="16" spans="1:55" hidden="1" x14ac:dyDescent="0.25">
      <c r="A16" s="22" t="s">
        <v>489</v>
      </c>
      <c r="B16" s="23">
        <v>150</v>
      </c>
      <c r="C16" s="23">
        <v>21</v>
      </c>
      <c r="D16" s="24">
        <v>22.333333333300001</v>
      </c>
      <c r="E16" s="24">
        <f t="shared" si="0"/>
        <v>26.183899999999994</v>
      </c>
      <c r="F16" s="24">
        <f t="shared" si="1"/>
        <v>0.30096436781609187</v>
      </c>
      <c r="G16" s="24">
        <f t="shared" si="2"/>
        <v>0.13793103448275862</v>
      </c>
      <c r="H16" s="24">
        <f t="shared" si="3"/>
        <v>3.6115724137931027</v>
      </c>
      <c r="I16" s="23" t="s">
        <v>469</v>
      </c>
      <c r="J16" s="23">
        <v>180</v>
      </c>
      <c r="K16" s="23">
        <f t="shared" si="4"/>
        <v>252</v>
      </c>
      <c r="L16" s="23">
        <f t="shared" si="5"/>
        <v>133</v>
      </c>
      <c r="M16" s="23">
        <f t="shared" si="6"/>
        <v>121</v>
      </c>
      <c r="N16" s="23">
        <v>45</v>
      </c>
      <c r="O16" s="23">
        <v>1</v>
      </c>
      <c r="P16" s="23">
        <v>8</v>
      </c>
      <c r="Q16" s="23">
        <v>12</v>
      </c>
      <c r="R16" s="23">
        <f t="shared" si="7"/>
        <v>15</v>
      </c>
      <c r="S16" s="23">
        <f t="shared" si="8"/>
        <v>12</v>
      </c>
      <c r="T16" s="23">
        <f t="shared" si="9"/>
        <v>24</v>
      </c>
      <c r="U16" s="23" t="s">
        <v>470</v>
      </c>
      <c r="V16" s="23">
        <f t="shared" si="10"/>
        <v>12</v>
      </c>
      <c r="W16" s="23">
        <f t="shared" si="11"/>
        <v>126</v>
      </c>
      <c r="X16" s="23">
        <v>99.816100000000006</v>
      </c>
      <c r="Y16" s="23">
        <v>87</v>
      </c>
      <c r="Z16" s="23">
        <v>0.375</v>
      </c>
      <c r="AA16" s="23">
        <v>45</v>
      </c>
      <c r="AB16" s="23">
        <v>8</v>
      </c>
      <c r="AC16" s="23">
        <v>99.816100000000006</v>
      </c>
      <c r="AD16" s="23">
        <v>74.5351</v>
      </c>
      <c r="AE16" s="23">
        <v>84</v>
      </c>
      <c r="AF16" s="23">
        <v>0.375</v>
      </c>
      <c r="AG16" s="23">
        <v>60</v>
      </c>
      <c r="AH16" s="23">
        <v>6</v>
      </c>
      <c r="AI16" s="23">
        <v>0</v>
      </c>
      <c r="AJ16" s="23">
        <v>74.5351</v>
      </c>
      <c r="AK16" s="23">
        <v>50.545699999999997</v>
      </c>
      <c r="AL16" s="23">
        <v>79.6875</v>
      </c>
      <c r="AM16" s="23">
        <v>0.5</v>
      </c>
      <c r="AN16" s="23">
        <v>90</v>
      </c>
      <c r="AO16" s="23">
        <v>4</v>
      </c>
      <c r="AP16" s="23"/>
      <c r="AQ16" s="23">
        <v>50.545699999999997</v>
      </c>
      <c r="AR16" s="23">
        <v>48</v>
      </c>
      <c r="AS16" s="23">
        <v>19.75</v>
      </c>
      <c r="AT16" s="23">
        <v>0.5</v>
      </c>
      <c r="AU16" s="23">
        <v>36</v>
      </c>
      <c r="AV16" s="23">
        <v>10</v>
      </c>
      <c r="AW16" s="23" t="s">
        <v>470</v>
      </c>
      <c r="AX16" s="23" t="s">
        <v>470</v>
      </c>
      <c r="AY16" s="23" t="s">
        <v>470</v>
      </c>
      <c r="AZ16" s="23" t="s">
        <v>470</v>
      </c>
      <c r="BA16" s="23" t="s">
        <v>470</v>
      </c>
      <c r="BB16" s="23" t="s">
        <v>470</v>
      </c>
      <c r="BC16" s="23" t="s">
        <v>470</v>
      </c>
    </row>
    <row r="17" spans="1:55" hidden="1" x14ac:dyDescent="0.25">
      <c r="A17" s="22" t="s">
        <v>490</v>
      </c>
      <c r="B17" s="23">
        <v>150</v>
      </c>
      <c r="C17" s="23">
        <v>23</v>
      </c>
      <c r="D17" s="24">
        <v>22.333333333300001</v>
      </c>
      <c r="E17" s="24">
        <f t="shared" si="0"/>
        <v>30.369</v>
      </c>
      <c r="F17" s="24">
        <f t="shared" si="1"/>
        <v>0.34906896551724137</v>
      </c>
      <c r="G17" s="24">
        <f t="shared" si="2"/>
        <v>0.13793103448275862</v>
      </c>
      <c r="H17" s="24">
        <f t="shared" si="3"/>
        <v>4.1888275862068962</v>
      </c>
      <c r="I17" s="23" t="s">
        <v>469</v>
      </c>
      <c r="J17" s="23">
        <v>180</v>
      </c>
      <c r="K17" s="23">
        <f t="shared" si="4"/>
        <v>276</v>
      </c>
      <c r="L17" s="23">
        <f t="shared" si="5"/>
        <v>145</v>
      </c>
      <c r="M17" s="23">
        <f t="shared" si="6"/>
        <v>133</v>
      </c>
      <c r="N17" s="23">
        <v>45</v>
      </c>
      <c r="O17" s="23">
        <v>1</v>
      </c>
      <c r="P17" s="23">
        <v>8</v>
      </c>
      <c r="Q17" s="23">
        <v>12</v>
      </c>
      <c r="R17" s="23">
        <f t="shared" si="7"/>
        <v>15</v>
      </c>
      <c r="S17" s="23">
        <f t="shared" si="8"/>
        <v>12</v>
      </c>
      <c r="T17" s="23">
        <f t="shared" si="9"/>
        <v>24</v>
      </c>
      <c r="U17" s="23" t="s">
        <v>470</v>
      </c>
      <c r="V17" s="23">
        <f t="shared" si="10"/>
        <v>12</v>
      </c>
      <c r="W17" s="23">
        <f t="shared" si="11"/>
        <v>138</v>
      </c>
      <c r="X17" s="23">
        <v>107.631</v>
      </c>
      <c r="Y17" s="23">
        <v>87</v>
      </c>
      <c r="Z17" s="23">
        <v>0.4375</v>
      </c>
      <c r="AA17" s="23">
        <v>45</v>
      </c>
      <c r="AB17" s="23">
        <v>8</v>
      </c>
      <c r="AC17" s="23">
        <v>107.631</v>
      </c>
      <c r="AD17" s="23">
        <v>78.309200000000004</v>
      </c>
      <c r="AE17" s="23">
        <v>84</v>
      </c>
      <c r="AF17" s="23">
        <v>0.4375</v>
      </c>
      <c r="AG17" s="23">
        <v>60</v>
      </c>
      <c r="AH17" s="23">
        <v>6</v>
      </c>
      <c r="AI17" s="23">
        <v>0</v>
      </c>
      <c r="AJ17" s="23">
        <v>78.309200000000004</v>
      </c>
      <c r="AK17" s="23">
        <v>51.34375</v>
      </c>
      <c r="AL17" s="23">
        <v>77.25</v>
      </c>
      <c r="AM17" s="23">
        <v>0.5</v>
      </c>
      <c r="AN17" s="23">
        <v>90</v>
      </c>
      <c r="AO17" s="23">
        <v>4</v>
      </c>
      <c r="AP17" s="23"/>
      <c r="AQ17" s="23">
        <v>51.34375</v>
      </c>
      <c r="AR17" s="23">
        <v>48</v>
      </c>
      <c r="AS17" s="23">
        <v>19.75</v>
      </c>
      <c r="AT17" s="23">
        <v>0.5625</v>
      </c>
      <c r="AU17" s="23">
        <v>36</v>
      </c>
      <c r="AV17" s="23">
        <v>10</v>
      </c>
      <c r="AW17" s="23" t="s">
        <v>470</v>
      </c>
      <c r="AX17" s="23" t="s">
        <v>470</v>
      </c>
      <c r="AY17" s="23" t="s">
        <v>470</v>
      </c>
      <c r="AZ17" s="23" t="s">
        <v>470</v>
      </c>
      <c r="BA17" s="23" t="s">
        <v>470</v>
      </c>
      <c r="BB17" s="23" t="s">
        <v>470</v>
      </c>
      <c r="BC17" s="23" t="s">
        <v>470</v>
      </c>
    </row>
    <row r="18" spans="1:55" hidden="1" x14ac:dyDescent="0.25">
      <c r="A18" s="22" t="s">
        <v>491</v>
      </c>
      <c r="B18" s="23">
        <v>150</v>
      </c>
      <c r="C18" s="23">
        <v>25</v>
      </c>
      <c r="D18" s="24">
        <v>25</v>
      </c>
      <c r="E18" s="24">
        <f t="shared" si="0"/>
        <v>29.570599999999999</v>
      </c>
      <c r="F18" s="24">
        <f t="shared" si="1"/>
        <v>0.35203095238095239</v>
      </c>
      <c r="G18" s="24">
        <f t="shared" si="2"/>
        <v>0.14285714285714285</v>
      </c>
      <c r="H18" s="24">
        <f t="shared" si="3"/>
        <v>4.2243714285714278</v>
      </c>
      <c r="I18" s="23" t="s">
        <v>469</v>
      </c>
      <c r="J18" s="23">
        <v>180</v>
      </c>
      <c r="K18" s="23">
        <f t="shared" si="4"/>
        <v>300</v>
      </c>
      <c r="L18" s="23">
        <f t="shared" si="5"/>
        <v>157</v>
      </c>
      <c r="M18" s="23">
        <f t="shared" si="6"/>
        <v>145</v>
      </c>
      <c r="N18" s="23">
        <v>40</v>
      </c>
      <c r="O18" s="23">
        <v>1</v>
      </c>
      <c r="P18" s="23">
        <v>9</v>
      </c>
      <c r="Q18" s="23">
        <v>20</v>
      </c>
      <c r="R18" s="23">
        <f t="shared" si="7"/>
        <v>9</v>
      </c>
      <c r="S18" s="23">
        <f t="shared" si="8"/>
        <v>20</v>
      </c>
      <c r="T18" s="23">
        <f t="shared" si="9"/>
        <v>40</v>
      </c>
      <c r="U18" s="23" t="s">
        <v>470</v>
      </c>
      <c r="V18" s="23">
        <f t="shared" si="10"/>
        <v>20</v>
      </c>
      <c r="W18" s="23">
        <f t="shared" si="11"/>
        <v>150</v>
      </c>
      <c r="X18" s="23">
        <v>120.4294</v>
      </c>
      <c r="Y18" s="23">
        <v>84</v>
      </c>
      <c r="Z18" s="23">
        <v>0.4375</v>
      </c>
      <c r="AA18" s="23">
        <v>40</v>
      </c>
      <c r="AB18" s="23">
        <v>9</v>
      </c>
      <c r="AC18" s="23">
        <v>120.4294</v>
      </c>
      <c r="AD18" s="23">
        <v>90.858800000000002</v>
      </c>
      <c r="AE18" s="23">
        <v>84</v>
      </c>
      <c r="AF18" s="23">
        <v>0.4375</v>
      </c>
      <c r="AG18" s="23">
        <v>60</v>
      </c>
      <c r="AH18" s="23">
        <v>6</v>
      </c>
      <c r="AI18" s="23">
        <v>0</v>
      </c>
      <c r="AJ18" s="23">
        <v>90.858800000000002</v>
      </c>
      <c r="AK18" s="23">
        <v>61.2883</v>
      </c>
      <c r="AL18" s="23">
        <v>84</v>
      </c>
      <c r="AM18" s="23">
        <v>0.5625</v>
      </c>
      <c r="AN18" s="23">
        <v>60</v>
      </c>
      <c r="AO18" s="23">
        <v>6</v>
      </c>
      <c r="AP18" s="23">
        <v>0</v>
      </c>
      <c r="AQ18" s="23">
        <v>61.2883</v>
      </c>
      <c r="AR18" s="23">
        <v>51.40625</v>
      </c>
      <c r="AS18" s="23">
        <v>28.0625</v>
      </c>
      <c r="AT18" s="23">
        <v>0.625</v>
      </c>
      <c r="AU18" s="23">
        <v>90</v>
      </c>
      <c r="AV18" s="23">
        <v>4</v>
      </c>
      <c r="AW18" s="23">
        <v>60</v>
      </c>
      <c r="AX18" s="23">
        <v>51.40625</v>
      </c>
      <c r="AY18" s="23">
        <v>48</v>
      </c>
      <c r="AZ18" s="23">
        <v>19.9375</v>
      </c>
      <c r="BA18" s="23">
        <v>0.625</v>
      </c>
      <c r="BB18" s="23">
        <v>36</v>
      </c>
      <c r="BC18" s="23">
        <v>10</v>
      </c>
    </row>
    <row r="19" spans="1:55" hidden="1" x14ac:dyDescent="0.25">
      <c r="A19" s="22" t="s">
        <v>493</v>
      </c>
      <c r="B19" s="23">
        <v>150</v>
      </c>
      <c r="C19" s="23">
        <v>28</v>
      </c>
      <c r="D19" s="24">
        <v>25</v>
      </c>
      <c r="E19" s="24">
        <f t="shared" si="0"/>
        <v>34.999200000000002</v>
      </c>
      <c r="F19" s="24">
        <f t="shared" si="1"/>
        <v>0.41665714285714289</v>
      </c>
      <c r="G19" s="24">
        <f t="shared" si="2"/>
        <v>0.14285714285714285</v>
      </c>
      <c r="H19" s="24">
        <f t="shared" si="3"/>
        <v>4.999885714285714</v>
      </c>
      <c r="I19" s="23" t="s">
        <v>469</v>
      </c>
      <c r="J19" s="23">
        <v>180</v>
      </c>
      <c r="K19" s="23">
        <f t="shared" si="4"/>
        <v>336</v>
      </c>
      <c r="L19" s="23">
        <f t="shared" si="5"/>
        <v>175</v>
      </c>
      <c r="M19" s="23">
        <f t="shared" si="6"/>
        <v>163</v>
      </c>
      <c r="N19" s="23">
        <v>40</v>
      </c>
      <c r="O19" s="23">
        <v>1</v>
      </c>
      <c r="P19" s="23">
        <v>9</v>
      </c>
      <c r="Q19" s="23">
        <v>12</v>
      </c>
      <c r="R19" s="23">
        <f t="shared" si="7"/>
        <v>15</v>
      </c>
      <c r="S19" s="23">
        <f t="shared" si="8"/>
        <v>12</v>
      </c>
      <c r="T19" s="23">
        <f t="shared" si="9"/>
        <v>24</v>
      </c>
      <c r="U19" s="23" t="s">
        <v>470</v>
      </c>
      <c r="V19" s="23">
        <f t="shared" si="10"/>
        <v>12</v>
      </c>
      <c r="W19" s="23">
        <f t="shared" si="11"/>
        <v>168</v>
      </c>
      <c r="X19" s="23">
        <v>133.0008</v>
      </c>
      <c r="Y19" s="23">
        <v>84</v>
      </c>
      <c r="Z19" s="23">
        <v>0.375</v>
      </c>
      <c r="AA19" s="23">
        <v>40</v>
      </c>
      <c r="AB19" s="23">
        <v>9</v>
      </c>
      <c r="AC19" s="23">
        <v>133.0008</v>
      </c>
      <c r="AD19" s="23">
        <v>98.001599999999996</v>
      </c>
      <c r="AE19" s="23">
        <v>84</v>
      </c>
      <c r="AF19" s="23">
        <v>0.375</v>
      </c>
      <c r="AG19" s="23">
        <v>45</v>
      </c>
      <c r="AH19" s="23">
        <v>8</v>
      </c>
      <c r="AI19" s="23">
        <v>0</v>
      </c>
      <c r="AJ19" s="23">
        <v>98.001599999999996</v>
      </c>
      <c r="AK19" s="23">
        <v>63.002499999999998</v>
      </c>
      <c r="AL19" s="23">
        <v>84</v>
      </c>
      <c r="AM19" s="23">
        <v>0.5</v>
      </c>
      <c r="AN19" s="23">
        <v>60</v>
      </c>
      <c r="AO19" s="23">
        <v>6</v>
      </c>
      <c r="AP19" s="23">
        <v>0</v>
      </c>
      <c r="AQ19" s="23">
        <v>63.002499999999998</v>
      </c>
      <c r="AR19" s="23">
        <v>52.615400000000001</v>
      </c>
      <c r="AS19" s="23">
        <v>24.9375</v>
      </c>
      <c r="AT19" s="23">
        <v>0.5625</v>
      </c>
      <c r="AU19" s="23">
        <v>90</v>
      </c>
      <c r="AV19" s="23">
        <v>4</v>
      </c>
      <c r="AW19" s="23"/>
      <c r="AX19" s="23">
        <v>52.615400000000001</v>
      </c>
      <c r="AY19" s="23">
        <v>48</v>
      </c>
      <c r="AZ19" s="23">
        <v>23.0625</v>
      </c>
      <c r="BA19" s="23">
        <v>0.5625</v>
      </c>
      <c r="BB19" s="23">
        <v>36</v>
      </c>
      <c r="BC19" s="23">
        <v>10</v>
      </c>
    </row>
    <row r="20" spans="1:55" hidden="1" x14ac:dyDescent="0.25">
      <c r="A20" s="22" t="s">
        <v>494</v>
      </c>
      <c r="B20" s="23">
        <v>200</v>
      </c>
      <c r="C20" s="23">
        <v>21</v>
      </c>
      <c r="D20" s="24">
        <v>22.333333333300001</v>
      </c>
      <c r="E20" s="24">
        <f t="shared" si="0"/>
        <v>26.1875</v>
      </c>
      <c r="F20" s="24">
        <f t="shared" si="1"/>
        <v>0.3010057471264368</v>
      </c>
      <c r="G20" s="24">
        <f t="shared" si="2"/>
        <v>0.13793103448275862</v>
      </c>
      <c r="H20" s="24">
        <f t="shared" si="3"/>
        <v>3.6120689655172415</v>
      </c>
      <c r="I20" s="23" t="s">
        <v>469</v>
      </c>
      <c r="J20" s="23">
        <v>180</v>
      </c>
      <c r="K20" s="23">
        <f t="shared" si="4"/>
        <v>252</v>
      </c>
      <c r="L20" s="23">
        <f t="shared" si="5"/>
        <v>133</v>
      </c>
      <c r="M20" s="23">
        <f t="shared" si="6"/>
        <v>121</v>
      </c>
      <c r="N20" s="23">
        <v>45</v>
      </c>
      <c r="O20" s="23">
        <v>0.875</v>
      </c>
      <c r="P20" s="23">
        <v>8</v>
      </c>
      <c r="Q20" s="23">
        <v>12</v>
      </c>
      <c r="R20" s="23">
        <f t="shared" si="7"/>
        <v>15</v>
      </c>
      <c r="S20" s="23">
        <f t="shared" si="8"/>
        <v>12</v>
      </c>
      <c r="T20" s="23">
        <f t="shared" si="9"/>
        <v>24</v>
      </c>
      <c r="U20" s="23" t="s">
        <v>470</v>
      </c>
      <c r="V20" s="23">
        <f t="shared" si="10"/>
        <v>12</v>
      </c>
      <c r="W20" s="23">
        <f t="shared" si="11"/>
        <v>126</v>
      </c>
      <c r="X20" s="23">
        <v>99.8125</v>
      </c>
      <c r="Y20" s="23">
        <v>87</v>
      </c>
      <c r="Z20" s="23">
        <v>0.375</v>
      </c>
      <c r="AA20" s="23">
        <v>45</v>
      </c>
      <c r="AB20" s="23">
        <v>8</v>
      </c>
      <c r="AC20" s="23">
        <v>99.8125</v>
      </c>
      <c r="AD20" s="23">
        <v>74.515600000000006</v>
      </c>
      <c r="AE20" s="23">
        <v>84</v>
      </c>
      <c r="AF20" s="23">
        <v>0.4375</v>
      </c>
      <c r="AG20" s="23">
        <v>60</v>
      </c>
      <c r="AH20" s="23">
        <v>6</v>
      </c>
      <c r="AI20" s="23">
        <v>0</v>
      </c>
      <c r="AJ20" s="23">
        <v>74.515600000000006</v>
      </c>
      <c r="AK20" s="23">
        <v>50.53125</v>
      </c>
      <c r="AL20" s="23">
        <v>79.6875</v>
      </c>
      <c r="AM20" s="23">
        <v>0.5625</v>
      </c>
      <c r="AN20" s="23">
        <v>90</v>
      </c>
      <c r="AO20" s="23">
        <v>4</v>
      </c>
      <c r="AP20" s="23"/>
      <c r="AQ20" s="23">
        <v>50.53125</v>
      </c>
      <c r="AR20" s="23">
        <v>48</v>
      </c>
      <c r="AS20" s="23">
        <v>17.3125</v>
      </c>
      <c r="AT20" s="23">
        <v>0.5625</v>
      </c>
      <c r="AU20" s="23">
        <v>36</v>
      </c>
      <c r="AV20" s="23">
        <v>10</v>
      </c>
      <c r="AW20" s="23" t="s">
        <v>470</v>
      </c>
      <c r="AX20" s="23" t="s">
        <v>470</v>
      </c>
      <c r="AY20" s="23" t="s">
        <v>470</v>
      </c>
      <c r="AZ20" s="23" t="s">
        <v>470</v>
      </c>
      <c r="BA20" s="23" t="s">
        <v>470</v>
      </c>
      <c r="BB20" s="23" t="s">
        <v>470</v>
      </c>
      <c r="BC20" s="23" t="s">
        <v>470</v>
      </c>
    </row>
    <row r="21" spans="1:55" hidden="1" x14ac:dyDescent="0.25">
      <c r="A21" s="22" t="s">
        <v>498</v>
      </c>
      <c r="B21" s="23">
        <v>200</v>
      </c>
      <c r="C21" s="23">
        <v>25</v>
      </c>
      <c r="D21" s="24">
        <v>25</v>
      </c>
      <c r="E21" s="24">
        <f t="shared" si="0"/>
        <v>29.570599999999999</v>
      </c>
      <c r="F21" s="24">
        <f t="shared" si="1"/>
        <v>0.35203095238095239</v>
      </c>
      <c r="G21" s="24">
        <f t="shared" si="2"/>
        <v>0.14285714285714285</v>
      </c>
      <c r="H21" s="24">
        <f t="shared" si="3"/>
        <v>4.2243714285714278</v>
      </c>
      <c r="I21" s="23" t="s">
        <v>469</v>
      </c>
      <c r="J21" s="23">
        <v>180</v>
      </c>
      <c r="K21" s="23">
        <f t="shared" si="4"/>
        <v>300</v>
      </c>
      <c r="L21" s="23">
        <f t="shared" si="5"/>
        <v>157</v>
      </c>
      <c r="M21" s="23">
        <f t="shared" si="6"/>
        <v>145</v>
      </c>
      <c r="N21" s="23">
        <v>40</v>
      </c>
      <c r="O21" s="23">
        <v>1.125</v>
      </c>
      <c r="P21" s="23">
        <v>9</v>
      </c>
      <c r="Q21" s="23">
        <v>20</v>
      </c>
      <c r="R21" s="23">
        <f t="shared" si="7"/>
        <v>9</v>
      </c>
      <c r="S21" s="23">
        <f t="shared" si="8"/>
        <v>20</v>
      </c>
      <c r="T21" s="23">
        <f t="shared" si="9"/>
        <v>40</v>
      </c>
      <c r="U21" s="23" t="s">
        <v>470</v>
      </c>
      <c r="V21" s="23">
        <f t="shared" si="10"/>
        <v>20</v>
      </c>
      <c r="W21" s="23">
        <f t="shared" si="11"/>
        <v>150</v>
      </c>
      <c r="X21" s="23">
        <v>120.4294</v>
      </c>
      <c r="Y21" s="23">
        <v>84</v>
      </c>
      <c r="Z21" s="23">
        <v>0.5</v>
      </c>
      <c r="AA21" s="23">
        <v>40</v>
      </c>
      <c r="AB21" s="23">
        <v>9</v>
      </c>
      <c r="AC21" s="23">
        <v>120.4294</v>
      </c>
      <c r="AD21" s="23">
        <v>90.858800000000002</v>
      </c>
      <c r="AE21" s="23">
        <v>84</v>
      </c>
      <c r="AF21" s="23">
        <v>0.5625</v>
      </c>
      <c r="AG21" s="23">
        <v>60</v>
      </c>
      <c r="AH21" s="23">
        <v>6</v>
      </c>
      <c r="AI21" s="23">
        <v>0</v>
      </c>
      <c r="AJ21" s="23">
        <v>90.858800000000002</v>
      </c>
      <c r="AK21" s="23">
        <v>61.2883</v>
      </c>
      <c r="AL21" s="23">
        <v>84</v>
      </c>
      <c r="AM21" s="23">
        <v>0.75</v>
      </c>
      <c r="AN21" s="23">
        <v>60</v>
      </c>
      <c r="AO21" s="23">
        <v>6</v>
      </c>
      <c r="AP21" s="23">
        <v>0</v>
      </c>
      <c r="AQ21" s="23">
        <v>61.2883</v>
      </c>
      <c r="AR21" s="23">
        <v>51.40625</v>
      </c>
      <c r="AS21" s="23">
        <v>28.0625</v>
      </c>
      <c r="AT21" s="23">
        <v>0.875</v>
      </c>
      <c r="AU21" s="23">
        <v>90</v>
      </c>
      <c r="AV21" s="23">
        <v>4</v>
      </c>
      <c r="AW21" s="23">
        <v>60</v>
      </c>
      <c r="AX21" s="23">
        <v>51.40625</v>
      </c>
      <c r="AY21" s="23">
        <v>48</v>
      </c>
      <c r="AZ21" s="23">
        <v>19.9375</v>
      </c>
      <c r="BA21" s="23">
        <v>0.875</v>
      </c>
      <c r="BB21" s="23">
        <v>36</v>
      </c>
      <c r="BC21" s="23">
        <v>10</v>
      </c>
    </row>
    <row r="22" spans="1:55" hidden="1" x14ac:dyDescent="0.25">
      <c r="A22" s="22" t="s">
        <v>499</v>
      </c>
      <c r="B22" s="23">
        <v>200</v>
      </c>
      <c r="C22" s="23">
        <v>28</v>
      </c>
      <c r="D22" s="24">
        <v>25</v>
      </c>
      <c r="E22" s="24">
        <f t="shared" si="0"/>
        <v>34.999200000000002</v>
      </c>
      <c r="F22" s="24">
        <f t="shared" si="1"/>
        <v>0.41665714285714289</v>
      </c>
      <c r="G22" s="24">
        <f t="shared" si="2"/>
        <v>0.14285714285714285</v>
      </c>
      <c r="H22" s="24">
        <f t="shared" si="3"/>
        <v>4.999885714285714</v>
      </c>
      <c r="I22" s="23" t="s">
        <v>469</v>
      </c>
      <c r="J22" s="23">
        <v>180</v>
      </c>
      <c r="K22" s="23">
        <f t="shared" si="4"/>
        <v>336</v>
      </c>
      <c r="L22" s="23">
        <f t="shared" si="5"/>
        <v>175</v>
      </c>
      <c r="M22" s="23">
        <f t="shared" si="6"/>
        <v>163</v>
      </c>
      <c r="N22" s="23">
        <v>40</v>
      </c>
      <c r="O22" s="23">
        <v>1</v>
      </c>
      <c r="P22" s="23">
        <v>9</v>
      </c>
      <c r="Q22" s="23">
        <v>28</v>
      </c>
      <c r="R22" s="23">
        <f t="shared" si="7"/>
        <v>6.4285714285714288</v>
      </c>
      <c r="S22" s="23">
        <f t="shared" si="8"/>
        <v>28</v>
      </c>
      <c r="T22" s="23">
        <f t="shared" si="9"/>
        <v>56</v>
      </c>
      <c r="U22" s="23" t="s">
        <v>470</v>
      </c>
      <c r="V22" s="23">
        <f t="shared" si="10"/>
        <v>28</v>
      </c>
      <c r="W22" s="23">
        <f t="shared" si="11"/>
        <v>168</v>
      </c>
      <c r="X22" s="23">
        <v>133.0008</v>
      </c>
      <c r="Y22" s="23">
        <v>84</v>
      </c>
      <c r="Z22" s="23">
        <v>0.4375</v>
      </c>
      <c r="AA22" s="23">
        <v>40</v>
      </c>
      <c r="AB22" s="23">
        <v>9</v>
      </c>
      <c r="AC22" s="23">
        <v>133.0008</v>
      </c>
      <c r="AD22" s="23">
        <v>98.000159999999994</v>
      </c>
      <c r="AE22" s="23">
        <v>84</v>
      </c>
      <c r="AF22" s="23">
        <v>0.4375</v>
      </c>
      <c r="AG22" s="23">
        <v>45</v>
      </c>
      <c r="AH22" s="23">
        <v>8</v>
      </c>
      <c r="AI22" s="23">
        <v>0</v>
      </c>
      <c r="AJ22" s="23">
        <v>98.001599999999996</v>
      </c>
      <c r="AK22" s="23">
        <v>63.002499999999998</v>
      </c>
      <c r="AL22" s="23">
        <v>84</v>
      </c>
      <c r="AM22" s="23">
        <v>0.5625</v>
      </c>
      <c r="AN22" s="23">
        <v>60</v>
      </c>
      <c r="AO22" s="23">
        <v>6</v>
      </c>
      <c r="AP22" s="23">
        <v>0</v>
      </c>
      <c r="AQ22" s="23">
        <v>63.002499999999998</v>
      </c>
      <c r="AR22" s="23">
        <v>52.615400000000001</v>
      </c>
      <c r="AS22" s="23">
        <v>24.9375</v>
      </c>
      <c r="AT22" s="23">
        <v>0.6875</v>
      </c>
      <c r="AU22" s="23">
        <v>90</v>
      </c>
      <c r="AV22" s="23">
        <v>4</v>
      </c>
      <c r="AW22" s="23"/>
      <c r="AX22" s="23">
        <v>52.615400000000001</v>
      </c>
      <c r="AY22" s="23">
        <v>48</v>
      </c>
      <c r="AZ22" s="23">
        <v>23.0625</v>
      </c>
      <c r="BA22" s="23">
        <v>0.6875</v>
      </c>
      <c r="BB22" s="23">
        <v>36</v>
      </c>
      <c r="BC22" s="23">
        <v>10</v>
      </c>
    </row>
    <row r="23" spans="1:55" hidden="1" x14ac:dyDescent="0.25">
      <c r="A23" s="22" t="s">
        <v>500</v>
      </c>
      <c r="B23" s="23">
        <v>200</v>
      </c>
      <c r="C23" s="23">
        <v>30</v>
      </c>
      <c r="D23" s="24">
        <v>30</v>
      </c>
      <c r="E23" s="24">
        <f t="shared" si="0"/>
        <v>31.767300000000006</v>
      </c>
      <c r="F23" s="24">
        <f t="shared" si="1"/>
        <v>0.37818214285714291</v>
      </c>
      <c r="G23" s="24">
        <f t="shared" si="2"/>
        <v>0.14285714285714285</v>
      </c>
      <c r="H23" s="24">
        <f t="shared" si="3"/>
        <v>4.5381857142857145</v>
      </c>
      <c r="I23" s="23" t="s">
        <v>469</v>
      </c>
      <c r="J23" s="23">
        <v>180</v>
      </c>
      <c r="K23" s="23">
        <f t="shared" si="4"/>
        <v>360</v>
      </c>
      <c r="L23" s="23">
        <f t="shared" si="5"/>
        <v>187</v>
      </c>
      <c r="M23" s="23">
        <f t="shared" si="6"/>
        <v>175</v>
      </c>
      <c r="N23" s="23">
        <v>40</v>
      </c>
      <c r="O23" s="23">
        <v>1.125</v>
      </c>
      <c r="P23" s="23">
        <v>9</v>
      </c>
      <c r="Q23" s="23">
        <v>16</v>
      </c>
      <c r="R23" s="23">
        <f t="shared" si="7"/>
        <v>11.25</v>
      </c>
      <c r="S23" s="23">
        <f t="shared" si="8"/>
        <v>16</v>
      </c>
      <c r="T23" s="23">
        <f t="shared" si="9"/>
        <v>32</v>
      </c>
      <c r="U23" s="23"/>
      <c r="V23" s="23">
        <f t="shared" si="10"/>
        <v>16</v>
      </c>
      <c r="W23" s="23">
        <f t="shared" si="11"/>
        <v>180</v>
      </c>
      <c r="X23" s="23">
        <v>148.23269999999999</v>
      </c>
      <c r="Y23" s="23">
        <v>84</v>
      </c>
      <c r="Z23" s="23">
        <v>0.4375</v>
      </c>
      <c r="AA23" s="23">
        <v>40</v>
      </c>
      <c r="AB23" s="23">
        <v>9</v>
      </c>
      <c r="AC23" s="23">
        <v>148.23269999999999</v>
      </c>
      <c r="AD23" s="23">
        <v>116.46550000000001</v>
      </c>
      <c r="AE23" s="23">
        <v>84</v>
      </c>
      <c r="AF23" s="23">
        <v>0.4375</v>
      </c>
      <c r="AG23" s="23">
        <v>45</v>
      </c>
      <c r="AH23" s="23">
        <v>8</v>
      </c>
      <c r="AI23" s="23">
        <v>0</v>
      </c>
      <c r="AJ23" s="23">
        <v>116.46550000000001</v>
      </c>
      <c r="AK23" s="23">
        <v>84.6982</v>
      </c>
      <c r="AL23" s="23">
        <v>84</v>
      </c>
      <c r="AM23" s="23">
        <v>0.5</v>
      </c>
      <c r="AN23" s="23">
        <v>60</v>
      </c>
      <c r="AO23" s="23">
        <v>6</v>
      </c>
      <c r="AP23" s="23">
        <v>0</v>
      </c>
      <c r="AQ23" s="23">
        <v>84.6982</v>
      </c>
      <c r="AR23" s="23">
        <v>51.890900000000002</v>
      </c>
      <c r="AS23" s="23">
        <v>86.75</v>
      </c>
      <c r="AT23" s="23">
        <v>0.625</v>
      </c>
      <c r="AU23" s="23">
        <v>60</v>
      </c>
      <c r="AV23" s="23">
        <v>6</v>
      </c>
      <c r="AW23" s="23"/>
      <c r="AX23" s="23">
        <v>51.890900000000002</v>
      </c>
      <c r="AY23" s="23">
        <v>48</v>
      </c>
      <c r="AZ23" s="23">
        <v>21.25</v>
      </c>
      <c r="BA23" s="23">
        <v>0.625</v>
      </c>
      <c r="BB23" s="23">
        <v>36</v>
      </c>
      <c r="BC23" s="23">
        <v>10</v>
      </c>
    </row>
    <row r="24" spans="1:55" hidden="1" x14ac:dyDescent="0.25">
      <c r="A24" s="22" t="s">
        <v>501</v>
      </c>
      <c r="B24" s="23">
        <v>200</v>
      </c>
      <c r="C24" s="23">
        <v>32</v>
      </c>
      <c r="D24" s="24">
        <v>30</v>
      </c>
      <c r="E24" s="24">
        <f t="shared" si="0"/>
        <v>34.750699999999995</v>
      </c>
      <c r="F24" s="24">
        <f t="shared" si="1"/>
        <v>0.41369880952380944</v>
      </c>
      <c r="G24" s="24">
        <f t="shared" si="2"/>
        <v>0.14285714285714285</v>
      </c>
      <c r="H24" s="24">
        <f t="shared" si="3"/>
        <v>4.9643857142857133</v>
      </c>
      <c r="I24" s="23" t="s">
        <v>469</v>
      </c>
      <c r="J24" s="23">
        <v>180</v>
      </c>
      <c r="K24" s="23">
        <f t="shared" si="4"/>
        <v>384</v>
      </c>
      <c r="L24" s="23">
        <f t="shared" si="5"/>
        <v>199</v>
      </c>
      <c r="M24" s="23">
        <f t="shared" si="6"/>
        <v>187</v>
      </c>
      <c r="N24" s="23">
        <v>30</v>
      </c>
      <c r="O24" s="23">
        <v>1</v>
      </c>
      <c r="P24" s="23">
        <v>12</v>
      </c>
      <c r="Q24" s="23">
        <v>12</v>
      </c>
      <c r="R24" s="23">
        <f t="shared" si="7"/>
        <v>15</v>
      </c>
      <c r="S24" s="23">
        <f t="shared" si="8"/>
        <v>12</v>
      </c>
      <c r="T24" s="23">
        <f t="shared" si="9"/>
        <v>24</v>
      </c>
      <c r="U24" s="23" t="s">
        <v>470</v>
      </c>
      <c r="V24" s="23">
        <f t="shared" si="10"/>
        <v>12</v>
      </c>
      <c r="W24" s="23">
        <f t="shared" si="11"/>
        <v>192</v>
      </c>
      <c r="X24" s="23">
        <v>157.24930000000001</v>
      </c>
      <c r="Y24" s="23">
        <v>84</v>
      </c>
      <c r="Z24" s="23">
        <v>0.5</v>
      </c>
      <c r="AA24" s="23">
        <v>30</v>
      </c>
      <c r="AB24" s="23">
        <v>12</v>
      </c>
      <c r="AC24" s="23">
        <v>157.24930000000001</v>
      </c>
      <c r="AD24" s="23">
        <v>122.49850000000001</v>
      </c>
      <c r="AE24" s="23">
        <v>84</v>
      </c>
      <c r="AF24" s="23">
        <v>0.5</v>
      </c>
      <c r="AG24" s="23">
        <v>40</v>
      </c>
      <c r="AH24" s="23">
        <v>9</v>
      </c>
      <c r="AI24" s="23">
        <v>0</v>
      </c>
      <c r="AJ24" s="23">
        <v>122.49850000000001</v>
      </c>
      <c r="AK24" s="23">
        <v>87.747799999999998</v>
      </c>
      <c r="AL24" s="23">
        <v>84</v>
      </c>
      <c r="AM24" s="23">
        <v>0.5</v>
      </c>
      <c r="AN24" s="23">
        <v>45</v>
      </c>
      <c r="AO24" s="23">
        <v>8</v>
      </c>
      <c r="AP24" s="23">
        <v>0</v>
      </c>
      <c r="AQ24" s="23">
        <v>87.747799999999998</v>
      </c>
      <c r="AR24" s="23">
        <v>52.557200000000002</v>
      </c>
      <c r="AS24" s="23">
        <v>85.0625</v>
      </c>
      <c r="AT24" s="23">
        <v>0.625</v>
      </c>
      <c r="AU24" s="23">
        <v>60</v>
      </c>
      <c r="AV24" s="23">
        <v>6</v>
      </c>
      <c r="AW24" s="23"/>
      <c r="AX24" s="23">
        <v>52.557200000000002</v>
      </c>
      <c r="AY24" s="23">
        <v>48</v>
      </c>
      <c r="AZ24" s="23">
        <v>22.9375</v>
      </c>
      <c r="BA24" s="23">
        <v>0.75</v>
      </c>
      <c r="BB24" s="23">
        <v>36</v>
      </c>
      <c r="BC24" s="23">
        <v>10</v>
      </c>
    </row>
    <row r="25" spans="1:55" x14ac:dyDescent="0.25">
      <c r="A25" s="93" t="s">
        <v>502</v>
      </c>
      <c r="B25" s="94">
        <v>250</v>
      </c>
      <c r="C25" s="94">
        <v>23</v>
      </c>
      <c r="D25" s="95">
        <v>22.333333333300001</v>
      </c>
      <c r="E25" s="95">
        <f t="shared" si="0"/>
        <v>27.296875</v>
      </c>
      <c r="F25" s="95">
        <f t="shared" si="1"/>
        <v>0.32496279761904762</v>
      </c>
      <c r="G25" s="95">
        <f t="shared" si="2"/>
        <v>0.14285714285714285</v>
      </c>
      <c r="H25" s="95">
        <f t="shared" si="3"/>
        <v>3.8995535714285712</v>
      </c>
      <c r="I25" s="94" t="s">
        <v>469</v>
      </c>
      <c r="J25" s="94">
        <v>180</v>
      </c>
      <c r="K25" s="94">
        <f t="shared" si="4"/>
        <v>276</v>
      </c>
      <c r="L25" s="94">
        <f t="shared" si="5"/>
        <v>145</v>
      </c>
      <c r="M25" s="94">
        <f t="shared" si="6"/>
        <v>133</v>
      </c>
      <c r="N25" s="94">
        <v>45</v>
      </c>
      <c r="O25" s="94">
        <v>1.125</v>
      </c>
      <c r="P25" s="94">
        <v>8</v>
      </c>
      <c r="Q25" s="94">
        <v>16</v>
      </c>
      <c r="R25" s="94">
        <f t="shared" si="7"/>
        <v>11.25</v>
      </c>
      <c r="S25" s="94">
        <f t="shared" si="8"/>
        <v>16</v>
      </c>
      <c r="T25" s="94">
        <f t="shared" si="9"/>
        <v>32</v>
      </c>
      <c r="U25" s="94" t="s">
        <v>470</v>
      </c>
      <c r="V25" s="94">
        <f t="shared" si="10"/>
        <v>16</v>
      </c>
      <c r="W25" s="94">
        <v>138</v>
      </c>
      <c r="X25" s="94">
        <v>110.703125</v>
      </c>
      <c r="Y25" s="94">
        <v>84</v>
      </c>
      <c r="Z25" s="94">
        <v>0.4375</v>
      </c>
      <c r="AA25" s="94">
        <v>45</v>
      </c>
      <c r="AB25" s="94">
        <v>8</v>
      </c>
      <c r="AC25" s="94">
        <v>110.703125</v>
      </c>
      <c r="AD25" s="94">
        <v>83.40625</v>
      </c>
      <c r="AE25" s="94">
        <v>84</v>
      </c>
      <c r="AF25" s="94">
        <v>0.5</v>
      </c>
      <c r="AG25" s="94">
        <v>36</v>
      </c>
      <c r="AH25" s="94">
        <v>6</v>
      </c>
      <c r="AI25" s="94">
        <v>0</v>
      </c>
      <c r="AJ25" s="94">
        <v>83.40625</v>
      </c>
      <c r="AK25" s="94">
        <v>56.9375</v>
      </c>
      <c r="AL25" s="94">
        <v>81.4375</v>
      </c>
      <c r="AM25" s="94">
        <v>0.625</v>
      </c>
      <c r="AN25" s="94">
        <v>90</v>
      </c>
      <c r="AO25" s="94">
        <v>4</v>
      </c>
      <c r="AP25" s="94">
        <v>60</v>
      </c>
      <c r="AQ25" s="94">
        <v>56.9375</v>
      </c>
      <c r="AR25" s="94">
        <v>54</v>
      </c>
      <c r="AS25" s="94">
        <v>18.5625</v>
      </c>
      <c r="AT25" s="94">
        <v>0.625</v>
      </c>
      <c r="AU25" s="94">
        <v>36</v>
      </c>
      <c r="AV25" s="94">
        <v>10</v>
      </c>
      <c r="AW25" s="94"/>
      <c r="AX25" s="94"/>
      <c r="AY25" s="94"/>
      <c r="AZ25" s="94"/>
      <c r="BA25" s="94"/>
      <c r="BB25" s="94"/>
      <c r="BC25" s="94"/>
    </row>
    <row r="26" spans="1:55" x14ac:dyDescent="0.25">
      <c r="A26" s="93" t="s">
        <v>503</v>
      </c>
      <c r="B26" s="94">
        <v>250</v>
      </c>
      <c r="C26" s="94">
        <v>25</v>
      </c>
      <c r="D26" s="95">
        <v>25</v>
      </c>
      <c r="E26" s="95">
        <f t="shared" si="0"/>
        <v>27.774500000000003</v>
      </c>
      <c r="F26" s="95">
        <f t="shared" si="1"/>
        <v>0.33064880952380954</v>
      </c>
      <c r="G26" s="95">
        <f t="shared" si="2"/>
        <v>0.14285714285714285</v>
      </c>
      <c r="H26" s="95">
        <f t="shared" si="3"/>
        <v>3.9677857142857147</v>
      </c>
      <c r="I26" s="94" t="s">
        <v>469</v>
      </c>
      <c r="J26" s="94">
        <v>180</v>
      </c>
      <c r="K26" s="94">
        <f t="shared" si="4"/>
        <v>300</v>
      </c>
      <c r="L26" s="94">
        <f t="shared" si="5"/>
        <v>157</v>
      </c>
      <c r="M26" s="94">
        <f t="shared" si="6"/>
        <v>145</v>
      </c>
      <c r="N26" s="94">
        <v>40</v>
      </c>
      <c r="O26" s="94">
        <v>1</v>
      </c>
      <c r="P26" s="94">
        <v>9</v>
      </c>
      <c r="Q26" s="94">
        <v>12</v>
      </c>
      <c r="R26" s="94">
        <f t="shared" si="7"/>
        <v>15</v>
      </c>
      <c r="S26" s="94">
        <f t="shared" si="8"/>
        <v>12</v>
      </c>
      <c r="T26" s="94">
        <f t="shared" si="9"/>
        <v>24</v>
      </c>
      <c r="U26" s="94" t="s">
        <v>470</v>
      </c>
      <c r="V26" s="94">
        <f t="shared" si="10"/>
        <v>12</v>
      </c>
      <c r="W26" s="94">
        <f t="shared" ref="W26:W63" si="12">L26-7</f>
        <v>150</v>
      </c>
      <c r="X26" s="94">
        <v>122.2255</v>
      </c>
      <c r="Y26" s="94">
        <v>84</v>
      </c>
      <c r="Z26" s="94">
        <v>0.5</v>
      </c>
      <c r="AA26" s="94">
        <v>40</v>
      </c>
      <c r="AB26" s="94">
        <v>9</v>
      </c>
      <c r="AC26" s="94">
        <v>122.2255</v>
      </c>
      <c r="AD26" s="94">
        <v>94.450900000000004</v>
      </c>
      <c r="AE26" s="94">
        <v>84</v>
      </c>
      <c r="AF26" s="94">
        <v>0.5</v>
      </c>
      <c r="AG26" s="94">
        <v>60</v>
      </c>
      <c r="AH26" s="94">
        <v>6</v>
      </c>
      <c r="AI26" s="94">
        <v>0</v>
      </c>
      <c r="AJ26" s="94">
        <v>94.450900000000004</v>
      </c>
      <c r="AK26" s="94">
        <v>66.675399999999996</v>
      </c>
      <c r="AL26" s="94">
        <v>84</v>
      </c>
      <c r="AM26" s="94">
        <v>0.5</v>
      </c>
      <c r="AN26" s="94">
        <v>90</v>
      </c>
      <c r="AO26" s="94">
        <v>4</v>
      </c>
      <c r="AP26" s="94">
        <v>0</v>
      </c>
      <c r="AQ26" s="94">
        <v>66.676400000000001</v>
      </c>
      <c r="AR26" s="94">
        <v>57.033299999999997</v>
      </c>
      <c r="AS26" s="94">
        <v>29.1875</v>
      </c>
      <c r="AT26" s="94">
        <v>0.5</v>
      </c>
      <c r="AU26" s="94">
        <v>90</v>
      </c>
      <c r="AV26" s="94">
        <v>4</v>
      </c>
      <c r="AW26" s="94">
        <v>54</v>
      </c>
      <c r="AX26" s="94">
        <v>57.033299999999997</v>
      </c>
      <c r="AY26" s="94">
        <v>54</v>
      </c>
      <c r="AZ26" s="94">
        <v>18.8125</v>
      </c>
      <c r="BA26" s="94">
        <v>0.5625</v>
      </c>
      <c r="BB26" s="94">
        <v>36</v>
      </c>
      <c r="BC26" s="94">
        <v>10</v>
      </c>
    </row>
    <row r="27" spans="1:55" x14ac:dyDescent="0.25">
      <c r="A27" s="93" t="s">
        <v>505</v>
      </c>
      <c r="B27" s="94">
        <v>250</v>
      </c>
      <c r="C27" s="94">
        <v>28</v>
      </c>
      <c r="D27" s="95">
        <v>25</v>
      </c>
      <c r="E27" s="95">
        <f t="shared" si="0"/>
        <v>33.182649999999995</v>
      </c>
      <c r="F27" s="95">
        <f t="shared" si="1"/>
        <v>0.39503154761904757</v>
      </c>
      <c r="G27" s="95">
        <f t="shared" si="2"/>
        <v>0.14285714285714285</v>
      </c>
      <c r="H27" s="95">
        <f t="shared" si="3"/>
        <v>4.7403785714285709</v>
      </c>
      <c r="I27" s="94" t="s">
        <v>469</v>
      </c>
      <c r="J27" s="94">
        <v>180</v>
      </c>
      <c r="K27" s="94">
        <f t="shared" si="4"/>
        <v>336</v>
      </c>
      <c r="L27" s="94">
        <f t="shared" si="5"/>
        <v>175</v>
      </c>
      <c r="M27" s="94">
        <f t="shared" si="6"/>
        <v>163</v>
      </c>
      <c r="N27" s="94">
        <v>40</v>
      </c>
      <c r="O27" s="94">
        <v>1.125</v>
      </c>
      <c r="P27" s="94">
        <v>9</v>
      </c>
      <c r="Q27" s="94">
        <v>16</v>
      </c>
      <c r="R27" s="94">
        <f t="shared" si="7"/>
        <v>11.25</v>
      </c>
      <c r="S27" s="94">
        <f t="shared" si="8"/>
        <v>16</v>
      </c>
      <c r="T27" s="94">
        <f t="shared" si="9"/>
        <v>32</v>
      </c>
      <c r="U27" s="94" t="s">
        <v>470</v>
      </c>
      <c r="V27" s="94">
        <f t="shared" si="10"/>
        <v>16</v>
      </c>
      <c r="W27" s="94">
        <f t="shared" si="12"/>
        <v>168</v>
      </c>
      <c r="X27" s="94">
        <v>134.81735</v>
      </c>
      <c r="Y27" s="94">
        <v>84</v>
      </c>
      <c r="Z27" s="94">
        <v>0.4375</v>
      </c>
      <c r="AA27" s="94">
        <v>40</v>
      </c>
      <c r="AB27" s="94">
        <v>9</v>
      </c>
      <c r="AC27" s="94">
        <v>134.81735</v>
      </c>
      <c r="AD27" s="94">
        <v>101.6347</v>
      </c>
      <c r="AE27" s="94">
        <v>84</v>
      </c>
      <c r="AF27" s="94">
        <v>0.5</v>
      </c>
      <c r="AG27" s="94">
        <v>45</v>
      </c>
      <c r="AH27" s="94">
        <v>8</v>
      </c>
      <c r="AI27" s="94">
        <v>0</v>
      </c>
      <c r="AJ27" s="94">
        <v>101.6347</v>
      </c>
      <c r="AK27" s="94">
        <v>68.45205</v>
      </c>
      <c r="AL27" s="94">
        <v>84</v>
      </c>
      <c r="AM27" s="94">
        <v>0.5625</v>
      </c>
      <c r="AN27" s="94">
        <v>60</v>
      </c>
      <c r="AO27" s="94">
        <v>6</v>
      </c>
      <c r="AP27" s="94">
        <v>0</v>
      </c>
      <c r="AQ27" s="94">
        <v>68.45205</v>
      </c>
      <c r="AR27" s="94">
        <v>58.205950000000001</v>
      </c>
      <c r="AS27" s="94">
        <v>25.9375</v>
      </c>
      <c r="AT27" s="94">
        <v>0.6825</v>
      </c>
      <c r="AU27" s="94">
        <v>90</v>
      </c>
      <c r="AV27" s="94">
        <v>4</v>
      </c>
      <c r="AW27" s="94">
        <v>54</v>
      </c>
      <c r="AX27" s="94">
        <v>58.205950000000001</v>
      </c>
      <c r="AY27" s="94">
        <v>54</v>
      </c>
      <c r="AZ27" s="94">
        <v>22.0625</v>
      </c>
      <c r="BA27" s="94">
        <v>0.6875</v>
      </c>
      <c r="BB27" s="94">
        <v>36</v>
      </c>
      <c r="BC27" s="94">
        <v>10</v>
      </c>
    </row>
    <row r="28" spans="1:55" x14ac:dyDescent="0.25">
      <c r="A28" s="93" t="s">
        <v>506</v>
      </c>
      <c r="B28" s="94">
        <v>250</v>
      </c>
      <c r="C28" s="94">
        <v>30</v>
      </c>
      <c r="D28" s="95">
        <v>25</v>
      </c>
      <c r="E28" s="95">
        <f t="shared" si="0"/>
        <v>36.816599999999994</v>
      </c>
      <c r="F28" s="95">
        <f t="shared" si="1"/>
        <v>0.4382928571428571</v>
      </c>
      <c r="G28" s="95">
        <f t="shared" si="2"/>
        <v>0.14285714285714285</v>
      </c>
      <c r="H28" s="95">
        <f t="shared" si="3"/>
        <v>5.2595142857142845</v>
      </c>
      <c r="I28" s="94" t="s">
        <v>469</v>
      </c>
      <c r="J28" s="94">
        <v>180</v>
      </c>
      <c r="K28" s="94">
        <f t="shared" si="4"/>
        <v>360</v>
      </c>
      <c r="L28" s="94">
        <f t="shared" si="5"/>
        <v>187</v>
      </c>
      <c r="M28" s="94">
        <f t="shared" si="6"/>
        <v>175</v>
      </c>
      <c r="N28" s="94">
        <v>30</v>
      </c>
      <c r="O28" s="94">
        <v>1.0625</v>
      </c>
      <c r="P28" s="94">
        <v>12</v>
      </c>
      <c r="Q28" s="94">
        <v>20</v>
      </c>
      <c r="R28" s="94">
        <f t="shared" si="7"/>
        <v>9</v>
      </c>
      <c r="S28" s="94">
        <f t="shared" si="8"/>
        <v>20</v>
      </c>
      <c r="T28" s="94">
        <f t="shared" si="9"/>
        <v>40</v>
      </c>
      <c r="U28" s="94" t="s">
        <v>470</v>
      </c>
      <c r="V28" s="94">
        <f t="shared" si="10"/>
        <v>20</v>
      </c>
      <c r="W28" s="94">
        <f t="shared" si="12"/>
        <v>180</v>
      </c>
      <c r="X28" s="94">
        <v>143.18340000000001</v>
      </c>
      <c r="Y28" s="94">
        <v>84</v>
      </c>
      <c r="Z28" s="94">
        <v>0.5</v>
      </c>
      <c r="AA28" s="94">
        <v>30</v>
      </c>
      <c r="AB28" s="94">
        <v>12</v>
      </c>
      <c r="AC28" s="94">
        <v>143.18340000000001</v>
      </c>
      <c r="AD28" s="94">
        <v>106.3668</v>
      </c>
      <c r="AE28" s="94">
        <v>84</v>
      </c>
      <c r="AF28" s="94">
        <v>0.5</v>
      </c>
      <c r="AG28" s="94">
        <v>36</v>
      </c>
      <c r="AH28" s="94">
        <v>10</v>
      </c>
      <c r="AI28" s="94">
        <v>0</v>
      </c>
      <c r="AJ28" s="94">
        <v>106.3668</v>
      </c>
      <c r="AK28" s="94">
        <v>69.550200000000004</v>
      </c>
      <c r="AL28" s="94">
        <v>84</v>
      </c>
      <c r="AM28" s="94">
        <v>0.625</v>
      </c>
      <c r="AN28" s="94">
        <v>45</v>
      </c>
      <c r="AO28" s="94">
        <v>8</v>
      </c>
      <c r="AP28" s="94">
        <v>0</v>
      </c>
      <c r="AQ28" s="94">
        <v>69.550200000000004</v>
      </c>
      <c r="AR28" s="94">
        <v>59.048200000000001</v>
      </c>
      <c r="AS28" s="94">
        <v>23.910599999999999</v>
      </c>
      <c r="AT28" s="94">
        <v>0.75</v>
      </c>
      <c r="AU28" s="94">
        <v>60</v>
      </c>
      <c r="AV28" s="94">
        <v>6</v>
      </c>
      <c r="AW28" s="94">
        <v>54</v>
      </c>
      <c r="AX28" s="94">
        <v>59.048499999999997</v>
      </c>
      <c r="AY28" s="94">
        <v>54</v>
      </c>
      <c r="AZ28" s="94">
        <v>24.089400000000001</v>
      </c>
      <c r="BA28" s="94">
        <v>0.75</v>
      </c>
      <c r="BB28" s="94">
        <v>36</v>
      </c>
      <c r="BC28" s="94">
        <v>10</v>
      </c>
    </row>
    <row r="29" spans="1:55" x14ac:dyDescent="0.25">
      <c r="A29" s="93" t="s">
        <v>507</v>
      </c>
      <c r="B29" s="94">
        <v>250</v>
      </c>
      <c r="C29" s="94">
        <v>30</v>
      </c>
      <c r="D29" s="95">
        <v>30</v>
      </c>
      <c r="E29" s="95">
        <f t="shared" si="0"/>
        <v>30.281900000000007</v>
      </c>
      <c r="F29" s="95">
        <f t="shared" si="1"/>
        <v>0.36049880952380964</v>
      </c>
      <c r="G29" s="95">
        <f t="shared" si="2"/>
        <v>0.14285714285714285</v>
      </c>
      <c r="H29" s="95">
        <f t="shared" si="3"/>
        <v>4.3259857142857152</v>
      </c>
      <c r="I29" s="94" t="s">
        <v>469</v>
      </c>
      <c r="J29" s="94">
        <v>180</v>
      </c>
      <c r="K29" s="94">
        <f t="shared" si="4"/>
        <v>360</v>
      </c>
      <c r="L29" s="94">
        <f t="shared" si="5"/>
        <v>187</v>
      </c>
      <c r="M29" s="94">
        <f t="shared" si="6"/>
        <v>175</v>
      </c>
      <c r="N29" s="94">
        <v>30</v>
      </c>
      <c r="O29" s="94">
        <v>1.125</v>
      </c>
      <c r="P29" s="94">
        <v>12</v>
      </c>
      <c r="Q29" s="94">
        <v>26</v>
      </c>
      <c r="R29" s="94">
        <f t="shared" si="7"/>
        <v>6.9230769230769234</v>
      </c>
      <c r="S29" s="94">
        <f t="shared" si="8"/>
        <v>26</v>
      </c>
      <c r="T29" s="94">
        <f t="shared" si="9"/>
        <v>52</v>
      </c>
      <c r="U29" s="94" t="s">
        <v>470</v>
      </c>
      <c r="V29" s="94">
        <f t="shared" si="10"/>
        <v>26</v>
      </c>
      <c r="W29" s="94">
        <f t="shared" si="12"/>
        <v>180</v>
      </c>
      <c r="X29" s="94">
        <v>149.71809999999999</v>
      </c>
      <c r="Y29" s="94">
        <v>84</v>
      </c>
      <c r="Z29" s="94">
        <v>0.5</v>
      </c>
      <c r="AA29" s="94">
        <v>30</v>
      </c>
      <c r="AB29" s="94">
        <v>12</v>
      </c>
      <c r="AC29" s="94">
        <v>149.71809999999999</v>
      </c>
      <c r="AD29" s="94">
        <v>119.4361</v>
      </c>
      <c r="AE29" s="94">
        <v>84</v>
      </c>
      <c r="AF29" s="94">
        <v>0.5</v>
      </c>
      <c r="AG29" s="94">
        <v>36</v>
      </c>
      <c r="AH29" s="94">
        <v>10</v>
      </c>
      <c r="AI29" s="94">
        <v>0</v>
      </c>
      <c r="AJ29" s="94">
        <v>119.4361</v>
      </c>
      <c r="AK29" s="94">
        <v>89.154200000000003</v>
      </c>
      <c r="AL29" s="94">
        <v>84</v>
      </c>
      <c r="AM29" s="94">
        <v>0.625</v>
      </c>
      <c r="AN29" s="94">
        <v>45</v>
      </c>
      <c r="AO29" s="94">
        <v>8</v>
      </c>
      <c r="AP29" s="94">
        <v>0</v>
      </c>
      <c r="AQ29" s="94">
        <v>89.154200000000003</v>
      </c>
      <c r="AR29" s="94">
        <v>57.555700000000002</v>
      </c>
      <c r="AS29" s="94">
        <v>87.625</v>
      </c>
      <c r="AT29" s="94">
        <v>0.75</v>
      </c>
      <c r="AU29" s="94">
        <v>60</v>
      </c>
      <c r="AV29" s="94">
        <v>6</v>
      </c>
      <c r="AW29" s="94">
        <v>54</v>
      </c>
      <c r="AX29" s="94">
        <v>57.555700000000002</v>
      </c>
      <c r="AY29" s="94">
        <v>54</v>
      </c>
      <c r="AZ29" s="94">
        <v>20.375</v>
      </c>
      <c r="BA29" s="94">
        <v>0.9375</v>
      </c>
      <c r="BB29" s="94">
        <v>36</v>
      </c>
      <c r="BC29" s="94">
        <v>10</v>
      </c>
    </row>
    <row r="30" spans="1:55" x14ac:dyDescent="0.25">
      <c r="A30" s="93" t="s">
        <v>508</v>
      </c>
      <c r="B30" s="94">
        <v>250</v>
      </c>
      <c r="C30" s="94">
        <v>32</v>
      </c>
      <c r="D30" s="95">
        <v>25</v>
      </c>
      <c r="E30" s="95">
        <f t="shared" si="0"/>
        <v>40.489900000000006</v>
      </c>
      <c r="F30" s="95">
        <f t="shared" si="1"/>
        <v>0.48202261904761912</v>
      </c>
      <c r="G30" s="95">
        <f t="shared" si="2"/>
        <v>0.14285714285714285</v>
      </c>
      <c r="H30" s="95">
        <f t="shared" si="3"/>
        <v>5.7842714285714294</v>
      </c>
      <c r="I30" s="94" t="s">
        <v>469</v>
      </c>
      <c r="J30" s="94">
        <v>180</v>
      </c>
      <c r="K30" s="94">
        <f t="shared" si="4"/>
        <v>384</v>
      </c>
      <c r="L30" s="94">
        <f t="shared" si="5"/>
        <v>199</v>
      </c>
      <c r="M30" s="94">
        <f t="shared" si="6"/>
        <v>187</v>
      </c>
      <c r="N30" s="94">
        <v>30</v>
      </c>
      <c r="O30" s="94">
        <v>1.0625</v>
      </c>
      <c r="P30" s="94">
        <v>12</v>
      </c>
      <c r="Q30" s="94">
        <v>16</v>
      </c>
      <c r="R30" s="94">
        <f t="shared" si="7"/>
        <v>11.25</v>
      </c>
      <c r="S30" s="94">
        <f t="shared" si="8"/>
        <v>16</v>
      </c>
      <c r="T30" s="94">
        <f t="shared" si="9"/>
        <v>32</v>
      </c>
      <c r="U30" s="94" t="s">
        <v>470</v>
      </c>
      <c r="V30" s="94">
        <f t="shared" si="10"/>
        <v>16</v>
      </c>
      <c r="W30" s="94">
        <f t="shared" si="12"/>
        <v>192</v>
      </c>
      <c r="X30" s="94">
        <v>151.51009999999999</v>
      </c>
      <c r="Y30" s="94">
        <v>84</v>
      </c>
      <c r="Z30" s="94">
        <v>0.5</v>
      </c>
      <c r="AA30" s="94">
        <v>30</v>
      </c>
      <c r="AB30" s="94">
        <v>12</v>
      </c>
      <c r="AC30" s="94">
        <v>151.51009999999999</v>
      </c>
      <c r="AD30" s="94">
        <v>111.02030000000001</v>
      </c>
      <c r="AE30" s="94">
        <v>84</v>
      </c>
      <c r="AF30" s="94">
        <v>0.5</v>
      </c>
      <c r="AG30" s="94">
        <v>40</v>
      </c>
      <c r="AH30" s="94">
        <v>9</v>
      </c>
      <c r="AI30" s="94">
        <v>0</v>
      </c>
      <c r="AJ30" s="94">
        <v>111.02030000000001</v>
      </c>
      <c r="AK30" s="94">
        <v>70.5304</v>
      </c>
      <c r="AL30" s="94">
        <v>84</v>
      </c>
      <c r="AM30" s="94">
        <v>0.625</v>
      </c>
      <c r="AN30" s="94">
        <v>45</v>
      </c>
      <c r="AO30" s="94">
        <v>8</v>
      </c>
      <c r="AP30" s="94">
        <v>0</v>
      </c>
      <c r="AQ30" s="94">
        <v>70.5304</v>
      </c>
      <c r="AR30" s="94">
        <v>59.951300000000003</v>
      </c>
      <c r="AS30" s="94">
        <v>21.9375</v>
      </c>
      <c r="AT30" s="94">
        <v>0.75</v>
      </c>
      <c r="AU30" s="94">
        <v>90</v>
      </c>
      <c r="AV30" s="94">
        <v>4</v>
      </c>
      <c r="AW30" s="94">
        <v>54</v>
      </c>
      <c r="AX30" s="94">
        <v>59.951300000000003</v>
      </c>
      <c r="AY30" s="94">
        <v>54</v>
      </c>
      <c r="AZ30" s="94">
        <v>26.0625</v>
      </c>
      <c r="BA30" s="94">
        <v>0.75</v>
      </c>
      <c r="BB30" s="94">
        <v>36</v>
      </c>
      <c r="BC30" s="94">
        <v>10</v>
      </c>
    </row>
    <row r="31" spans="1:55" x14ac:dyDescent="0.25">
      <c r="A31" s="93" t="s">
        <v>509</v>
      </c>
      <c r="B31" s="94">
        <v>250</v>
      </c>
      <c r="C31" s="94">
        <v>34</v>
      </c>
      <c r="D31" s="95">
        <v>30</v>
      </c>
      <c r="E31" s="95">
        <f t="shared" si="0"/>
        <v>36.247899999999987</v>
      </c>
      <c r="F31" s="95">
        <f t="shared" si="1"/>
        <v>0.4315226190476189</v>
      </c>
      <c r="G31" s="95">
        <f t="shared" si="2"/>
        <v>0.14285714285714285</v>
      </c>
      <c r="H31" s="95">
        <f t="shared" si="3"/>
        <v>5.1782714285714269</v>
      </c>
      <c r="I31" s="94" t="s">
        <v>469</v>
      </c>
      <c r="J31" s="94">
        <v>180</v>
      </c>
      <c r="K31" s="94">
        <f t="shared" si="4"/>
        <v>408</v>
      </c>
      <c r="L31" s="94">
        <f t="shared" si="5"/>
        <v>211</v>
      </c>
      <c r="M31" s="94">
        <f t="shared" si="6"/>
        <v>199</v>
      </c>
      <c r="N31" s="94">
        <v>30</v>
      </c>
      <c r="O31" s="94">
        <v>1</v>
      </c>
      <c r="P31" s="94">
        <v>12</v>
      </c>
      <c r="Q31" s="94">
        <v>16</v>
      </c>
      <c r="R31" s="94">
        <f t="shared" si="7"/>
        <v>11.25</v>
      </c>
      <c r="S31" s="94">
        <f t="shared" si="8"/>
        <v>16</v>
      </c>
      <c r="T31" s="94">
        <f t="shared" si="9"/>
        <v>32</v>
      </c>
      <c r="U31" s="94" t="s">
        <v>470</v>
      </c>
      <c r="V31" s="94">
        <f t="shared" si="10"/>
        <v>16</v>
      </c>
      <c r="W31" s="94">
        <f t="shared" si="12"/>
        <v>204</v>
      </c>
      <c r="X31" s="94">
        <v>167.75210000000001</v>
      </c>
      <c r="Y31" s="94">
        <v>84</v>
      </c>
      <c r="Z31" s="94">
        <v>0.5</v>
      </c>
      <c r="AA31" s="94">
        <v>30</v>
      </c>
      <c r="AB31" s="94">
        <v>12</v>
      </c>
      <c r="AC31" s="94">
        <v>167.75210000000001</v>
      </c>
      <c r="AD31" s="94">
        <v>131.5043</v>
      </c>
      <c r="AE31" s="94">
        <v>84</v>
      </c>
      <c r="AF31" s="94">
        <v>0.5</v>
      </c>
      <c r="AG31" s="94">
        <v>36</v>
      </c>
      <c r="AH31" s="94">
        <v>10</v>
      </c>
      <c r="AI31" s="94">
        <v>0</v>
      </c>
      <c r="AJ31" s="94">
        <v>131.5043</v>
      </c>
      <c r="AK31" s="94">
        <v>95.256399999999999</v>
      </c>
      <c r="AL31" s="94">
        <v>84</v>
      </c>
      <c r="AM31" s="94">
        <v>0.5</v>
      </c>
      <c r="AN31" s="94">
        <v>45</v>
      </c>
      <c r="AO31" s="94">
        <v>8</v>
      </c>
      <c r="AP31" s="94">
        <v>0</v>
      </c>
      <c r="AQ31" s="94">
        <v>95.256399999999999</v>
      </c>
      <c r="AR31" s="94">
        <v>58.910299999999999</v>
      </c>
      <c r="AS31" s="94">
        <v>84.25</v>
      </c>
      <c r="AT31" s="94">
        <v>0.6875</v>
      </c>
      <c r="AU31" s="94">
        <v>60</v>
      </c>
      <c r="AV31" s="94">
        <v>6</v>
      </c>
      <c r="AW31" s="94">
        <v>60</v>
      </c>
      <c r="AX31" s="94">
        <v>58.910299999999999</v>
      </c>
      <c r="AY31" s="94">
        <v>54</v>
      </c>
      <c r="AZ31" s="94">
        <v>23.75</v>
      </c>
      <c r="BA31" s="94">
        <v>0.75</v>
      </c>
      <c r="BB31" s="94">
        <v>36</v>
      </c>
      <c r="BC31" s="94">
        <v>10</v>
      </c>
    </row>
    <row r="32" spans="1:55" x14ac:dyDescent="0.25">
      <c r="A32" s="93" t="s">
        <v>510</v>
      </c>
      <c r="B32" s="94">
        <v>250</v>
      </c>
      <c r="C32" s="94">
        <v>40</v>
      </c>
      <c r="D32" s="95">
        <v>30</v>
      </c>
      <c r="E32" s="95">
        <f t="shared" si="0"/>
        <v>45.306600000000003</v>
      </c>
      <c r="F32" s="95">
        <f t="shared" si="1"/>
        <v>0.53936428571428574</v>
      </c>
      <c r="G32" s="95">
        <f t="shared" si="2"/>
        <v>0.14285714285714285</v>
      </c>
      <c r="H32" s="95">
        <f t="shared" si="3"/>
        <v>6.4723714285714289</v>
      </c>
      <c r="I32" s="94" t="s">
        <v>469</v>
      </c>
      <c r="J32" s="94">
        <v>180</v>
      </c>
      <c r="K32" s="94">
        <f t="shared" si="4"/>
        <v>480</v>
      </c>
      <c r="L32" s="94">
        <f t="shared" si="5"/>
        <v>247</v>
      </c>
      <c r="M32" s="94">
        <f t="shared" si="6"/>
        <v>235</v>
      </c>
      <c r="N32" s="94">
        <v>25.714285714285701</v>
      </c>
      <c r="O32" s="94">
        <v>1</v>
      </c>
      <c r="P32" s="94">
        <v>14</v>
      </c>
      <c r="Q32" s="94">
        <v>16</v>
      </c>
      <c r="R32" s="94">
        <f t="shared" si="7"/>
        <v>11.25</v>
      </c>
      <c r="S32" s="94">
        <f t="shared" si="8"/>
        <v>16</v>
      </c>
      <c r="T32" s="94">
        <f t="shared" si="9"/>
        <v>32</v>
      </c>
      <c r="U32" s="94" t="s">
        <v>470</v>
      </c>
      <c r="V32" s="94">
        <f t="shared" si="10"/>
        <v>16</v>
      </c>
      <c r="W32" s="94">
        <f t="shared" si="12"/>
        <v>240</v>
      </c>
      <c r="X32" s="94">
        <v>194.6934</v>
      </c>
      <c r="Y32" s="94">
        <v>84</v>
      </c>
      <c r="Z32" s="94">
        <v>0.5</v>
      </c>
      <c r="AA32" s="94">
        <v>25.714285714285701</v>
      </c>
      <c r="AB32" s="94">
        <v>14</v>
      </c>
      <c r="AC32" s="94">
        <v>194.6934</v>
      </c>
      <c r="AD32" s="94">
        <v>149.3869</v>
      </c>
      <c r="AE32" s="94">
        <v>84</v>
      </c>
      <c r="AF32" s="94">
        <v>0.5</v>
      </c>
      <c r="AG32" s="94">
        <v>30</v>
      </c>
      <c r="AH32" s="94">
        <v>12</v>
      </c>
      <c r="AI32" s="94">
        <v>0</v>
      </c>
      <c r="AJ32" s="94">
        <v>149.3869</v>
      </c>
      <c r="AK32" s="94">
        <v>104.08029999999999</v>
      </c>
      <c r="AL32" s="94">
        <v>84</v>
      </c>
      <c r="AM32" s="94">
        <v>0.5</v>
      </c>
      <c r="AN32" s="94">
        <v>36</v>
      </c>
      <c r="AO32" s="94">
        <v>10</v>
      </c>
      <c r="AP32" s="94">
        <v>0</v>
      </c>
      <c r="AQ32" s="94">
        <v>104.08029999999999</v>
      </c>
      <c r="AR32" s="94">
        <v>61.191600000000001</v>
      </c>
      <c r="AS32" s="94">
        <v>79.5</v>
      </c>
      <c r="AT32" s="94">
        <v>0.5</v>
      </c>
      <c r="AU32" s="94">
        <v>60</v>
      </c>
      <c r="AV32" s="94">
        <v>6</v>
      </c>
      <c r="AW32" s="94">
        <v>60</v>
      </c>
      <c r="AX32" s="94">
        <v>61.191600000000001</v>
      </c>
      <c r="AY32" s="94">
        <v>54</v>
      </c>
      <c r="AZ32" s="94">
        <v>28.5</v>
      </c>
      <c r="BA32" s="94">
        <v>0.5625</v>
      </c>
      <c r="BB32" s="94">
        <v>36</v>
      </c>
      <c r="BC32" s="94">
        <v>10</v>
      </c>
    </row>
    <row r="33" spans="1:55" x14ac:dyDescent="0.25">
      <c r="A33" s="93" t="s">
        <v>511</v>
      </c>
      <c r="B33" s="94">
        <v>300</v>
      </c>
      <c r="C33" s="94">
        <v>21</v>
      </c>
      <c r="D33" s="95">
        <v>22.333333333300001</v>
      </c>
      <c r="E33" s="95">
        <f t="shared" si="0"/>
        <v>24.107100000000003</v>
      </c>
      <c r="F33" s="95">
        <f t="shared" si="1"/>
        <v>0.27709310344827587</v>
      </c>
      <c r="G33" s="95">
        <f t="shared" si="2"/>
        <v>0.13793103448275862</v>
      </c>
      <c r="H33" s="95">
        <f>E33*G33</f>
        <v>3.3251172413793109</v>
      </c>
      <c r="I33" s="94" t="s">
        <v>469</v>
      </c>
      <c r="J33" s="94">
        <v>180</v>
      </c>
      <c r="K33" s="94">
        <f t="shared" si="4"/>
        <v>252</v>
      </c>
      <c r="L33" s="94">
        <f t="shared" si="5"/>
        <v>133</v>
      </c>
      <c r="M33" s="94">
        <f t="shared" si="6"/>
        <v>121</v>
      </c>
      <c r="N33" s="94">
        <v>45</v>
      </c>
      <c r="O33" s="94">
        <v>1.4375</v>
      </c>
      <c r="P33" s="94">
        <v>8</v>
      </c>
      <c r="Q33" s="94">
        <v>16</v>
      </c>
      <c r="R33" s="94">
        <f t="shared" si="7"/>
        <v>11.25</v>
      </c>
      <c r="S33" s="94">
        <f t="shared" si="8"/>
        <v>16</v>
      </c>
      <c r="T33" s="94">
        <f t="shared" si="9"/>
        <v>32</v>
      </c>
      <c r="U33" s="94" t="s">
        <v>470</v>
      </c>
      <c r="V33" s="94">
        <f t="shared" si="10"/>
        <v>16</v>
      </c>
      <c r="W33" s="94">
        <f t="shared" si="12"/>
        <v>126</v>
      </c>
      <c r="X33" s="94">
        <v>101.8929</v>
      </c>
      <c r="Y33" s="94">
        <v>87</v>
      </c>
      <c r="Z33" s="94">
        <v>0.5625</v>
      </c>
      <c r="AA33" s="94">
        <v>45</v>
      </c>
      <c r="AB33" s="94">
        <v>8</v>
      </c>
      <c r="AC33" s="94">
        <v>101.8929</v>
      </c>
      <c r="AD33" s="94">
        <v>78.617199999999997</v>
      </c>
      <c r="AE33" s="94">
        <v>84</v>
      </c>
      <c r="AF33" s="94">
        <v>0.625</v>
      </c>
      <c r="AG33" s="94">
        <v>60</v>
      </c>
      <c r="AH33" s="94">
        <v>6</v>
      </c>
      <c r="AI33" s="94">
        <v>0</v>
      </c>
      <c r="AJ33" s="94">
        <v>78.617199999999997</v>
      </c>
      <c r="AK33" s="94">
        <v>56.178699999999999</v>
      </c>
      <c r="AL33" s="94">
        <v>81</v>
      </c>
      <c r="AM33" s="94">
        <v>0.6875</v>
      </c>
      <c r="AN33" s="94">
        <v>90</v>
      </c>
      <c r="AO33" s="94">
        <v>4</v>
      </c>
      <c r="AP33" s="94"/>
      <c r="AQ33" s="94">
        <v>56.178699999999999</v>
      </c>
      <c r="AR33" s="94">
        <v>54</v>
      </c>
      <c r="AS33" s="94">
        <v>16</v>
      </c>
      <c r="AT33" s="94">
        <v>0.75</v>
      </c>
      <c r="AU33" s="94">
        <v>36</v>
      </c>
      <c r="AV33" s="94">
        <v>10</v>
      </c>
      <c r="AW33" s="94" t="s">
        <v>470</v>
      </c>
      <c r="AX33" s="94" t="s">
        <v>470</v>
      </c>
      <c r="AY33" s="94" t="s">
        <v>470</v>
      </c>
      <c r="AZ33" s="94" t="s">
        <v>470</v>
      </c>
      <c r="BA33" s="94" t="s">
        <v>470</v>
      </c>
      <c r="BB33" s="94" t="s">
        <v>470</v>
      </c>
      <c r="BC33" s="94" t="s">
        <v>470</v>
      </c>
    </row>
    <row r="34" spans="1:55" x14ac:dyDescent="0.25">
      <c r="A34" s="93" t="s">
        <v>513</v>
      </c>
      <c r="B34" s="94">
        <v>300</v>
      </c>
      <c r="C34" s="94">
        <v>23</v>
      </c>
      <c r="D34" s="95">
        <v>22.333333333300001</v>
      </c>
      <c r="E34" s="95">
        <f t="shared" si="0"/>
        <v>27.296875</v>
      </c>
      <c r="F34" s="95">
        <f t="shared" si="1"/>
        <v>0.32496279761904762</v>
      </c>
      <c r="G34" s="95">
        <f t="shared" si="2"/>
        <v>0.14285714285714285</v>
      </c>
      <c r="H34" s="95">
        <f t="shared" si="3"/>
        <v>3.8995535714285712</v>
      </c>
      <c r="I34" s="94" t="s">
        <v>469</v>
      </c>
      <c r="J34" s="94">
        <v>180</v>
      </c>
      <c r="K34" s="94">
        <f t="shared" si="4"/>
        <v>276</v>
      </c>
      <c r="L34" s="94">
        <f t="shared" si="5"/>
        <v>145</v>
      </c>
      <c r="M34" s="94">
        <f t="shared" si="6"/>
        <v>133</v>
      </c>
      <c r="N34" s="94">
        <v>45</v>
      </c>
      <c r="O34" s="94">
        <v>1.125</v>
      </c>
      <c r="P34" s="94">
        <v>8</v>
      </c>
      <c r="Q34" s="94">
        <v>16</v>
      </c>
      <c r="R34" s="94">
        <f t="shared" si="7"/>
        <v>11.25</v>
      </c>
      <c r="S34" s="94">
        <f t="shared" si="8"/>
        <v>16</v>
      </c>
      <c r="T34" s="94">
        <f t="shared" si="9"/>
        <v>32</v>
      </c>
      <c r="U34" s="94"/>
      <c r="V34" s="94">
        <f t="shared" si="10"/>
        <v>16</v>
      </c>
      <c r="W34" s="94">
        <f t="shared" si="12"/>
        <v>138</v>
      </c>
      <c r="X34" s="94">
        <v>110.703125</v>
      </c>
      <c r="Y34" s="94">
        <v>84</v>
      </c>
      <c r="Z34" s="94">
        <v>0.4375</v>
      </c>
      <c r="AA34" s="94">
        <v>45</v>
      </c>
      <c r="AB34" s="94">
        <v>8</v>
      </c>
      <c r="AC34" s="94">
        <v>110.703125</v>
      </c>
      <c r="AD34" s="94">
        <v>83.40625</v>
      </c>
      <c r="AE34" s="94">
        <v>84</v>
      </c>
      <c r="AF34" s="94">
        <v>0.5</v>
      </c>
      <c r="AG34" s="94">
        <v>60</v>
      </c>
      <c r="AH34" s="94">
        <v>6</v>
      </c>
      <c r="AI34" s="94">
        <v>0</v>
      </c>
      <c r="AJ34" s="94">
        <v>83.40625</v>
      </c>
      <c r="AK34" s="94">
        <v>56.9375</v>
      </c>
      <c r="AL34" s="94">
        <v>81.4375</v>
      </c>
      <c r="AM34" s="94">
        <v>0.625</v>
      </c>
      <c r="AN34" s="94">
        <v>90</v>
      </c>
      <c r="AO34" s="94">
        <v>4</v>
      </c>
      <c r="AP34" s="94"/>
      <c r="AQ34" s="94">
        <v>56.9375</v>
      </c>
      <c r="AR34" s="94">
        <v>54</v>
      </c>
      <c r="AS34" s="94">
        <v>18.5625</v>
      </c>
      <c r="AT34" s="94">
        <v>0.625</v>
      </c>
      <c r="AU34" s="94">
        <v>36</v>
      </c>
      <c r="AV34" s="94">
        <v>10</v>
      </c>
      <c r="AW34" s="94" t="s">
        <v>470</v>
      </c>
      <c r="AX34" s="94" t="s">
        <v>470</v>
      </c>
      <c r="AY34" s="94" t="s">
        <v>470</v>
      </c>
      <c r="AZ34" s="94" t="s">
        <v>470</v>
      </c>
      <c r="BA34" s="94" t="s">
        <v>470</v>
      </c>
      <c r="BB34" s="94" t="s">
        <v>470</v>
      </c>
      <c r="BC34" s="94" t="s">
        <v>470</v>
      </c>
    </row>
    <row r="35" spans="1:55" x14ac:dyDescent="0.25">
      <c r="A35" s="93" t="s">
        <v>514</v>
      </c>
      <c r="B35" s="94">
        <v>300</v>
      </c>
      <c r="C35" s="94">
        <v>25</v>
      </c>
      <c r="D35" s="95">
        <v>25</v>
      </c>
      <c r="E35" s="95">
        <f t="shared" ref="E35:E63" si="13">W35-X35</f>
        <v>27.774500000000003</v>
      </c>
      <c r="F35" s="95">
        <f t="shared" ref="F35:F63" si="14">E35/Y35</f>
        <v>0.33064880952380954</v>
      </c>
      <c r="G35" s="95">
        <f t="shared" ref="G35:G63" si="15">12/Y35</f>
        <v>0.14285714285714285</v>
      </c>
      <c r="H35" s="95">
        <f t="shared" ref="H35:H63" si="16">E35*G35</f>
        <v>3.9677857142857147</v>
      </c>
      <c r="I35" s="94" t="s">
        <v>469</v>
      </c>
      <c r="J35" s="94">
        <v>180</v>
      </c>
      <c r="K35" s="94">
        <f t="shared" ref="K35:K63" si="17">C35*12</f>
        <v>300</v>
      </c>
      <c r="L35" s="94">
        <f t="shared" ref="L35:L63" si="18">C35*12/2+7</f>
        <v>157</v>
      </c>
      <c r="M35" s="94">
        <f t="shared" ref="M35:M63" si="19">L35-12</f>
        <v>145</v>
      </c>
      <c r="N35" s="94">
        <v>40</v>
      </c>
      <c r="O35" s="94">
        <v>1.25</v>
      </c>
      <c r="P35" s="94">
        <v>9</v>
      </c>
      <c r="Q35" s="94">
        <v>20</v>
      </c>
      <c r="R35" s="94">
        <f t="shared" ref="R35:R63" si="20">360/Q35/2</f>
        <v>9</v>
      </c>
      <c r="S35" s="94">
        <f t="shared" ref="S35:S63" si="21">Q35</f>
        <v>20</v>
      </c>
      <c r="T35" s="94">
        <f t="shared" ref="T35:T63" si="22">Q35*2</f>
        <v>40</v>
      </c>
      <c r="U35" s="94" t="s">
        <v>470</v>
      </c>
      <c r="V35" s="94">
        <f t="shared" ref="V35:V63" si="23">Q35</f>
        <v>20</v>
      </c>
      <c r="W35" s="94">
        <f t="shared" si="12"/>
        <v>150</v>
      </c>
      <c r="X35" s="94">
        <v>122.2255</v>
      </c>
      <c r="Y35" s="94">
        <v>84</v>
      </c>
      <c r="Z35" s="94">
        <v>0.5</v>
      </c>
      <c r="AA35" s="94">
        <v>40</v>
      </c>
      <c r="AB35" s="94">
        <v>9</v>
      </c>
      <c r="AC35" s="94">
        <v>122.2255</v>
      </c>
      <c r="AD35" s="94">
        <v>94.450900000000004</v>
      </c>
      <c r="AE35" s="94">
        <v>84</v>
      </c>
      <c r="AF35" s="94">
        <v>0.5625</v>
      </c>
      <c r="AG35" s="94">
        <v>60</v>
      </c>
      <c r="AH35" s="94">
        <v>6</v>
      </c>
      <c r="AI35" s="94">
        <v>0</v>
      </c>
      <c r="AJ35" s="94">
        <v>94.450900000000004</v>
      </c>
      <c r="AK35" s="94">
        <v>66.676400000000001</v>
      </c>
      <c r="AL35" s="94">
        <v>84</v>
      </c>
      <c r="AM35" s="94">
        <v>0.6875</v>
      </c>
      <c r="AN35" s="94">
        <v>90</v>
      </c>
      <c r="AO35" s="94">
        <v>4</v>
      </c>
      <c r="AP35" s="94">
        <v>0</v>
      </c>
      <c r="AQ35" s="94">
        <v>66.676400000000001</v>
      </c>
      <c r="AR35" s="94">
        <v>57.033299999999997</v>
      </c>
      <c r="AS35" s="94">
        <v>29.1875</v>
      </c>
      <c r="AT35" s="94">
        <v>0.8125</v>
      </c>
      <c r="AU35" s="94">
        <v>90</v>
      </c>
      <c r="AV35" s="94">
        <v>4</v>
      </c>
      <c r="AW35" s="94">
        <v>60</v>
      </c>
      <c r="AX35" s="94">
        <v>57.033299999999997</v>
      </c>
      <c r="AY35" s="94">
        <v>54</v>
      </c>
      <c r="AZ35" s="94">
        <v>18.8125</v>
      </c>
      <c r="BA35" s="94">
        <v>0.8125</v>
      </c>
      <c r="BB35" s="94">
        <v>36</v>
      </c>
      <c r="BC35" s="94">
        <v>10</v>
      </c>
    </row>
    <row r="36" spans="1:55" x14ac:dyDescent="0.25">
      <c r="A36" s="93" t="s">
        <v>516</v>
      </c>
      <c r="B36" s="94">
        <v>300</v>
      </c>
      <c r="C36" s="94">
        <v>28</v>
      </c>
      <c r="D36" s="95">
        <v>25</v>
      </c>
      <c r="E36" s="95">
        <f t="shared" si="13"/>
        <v>33.182649999999995</v>
      </c>
      <c r="F36" s="95">
        <f t="shared" si="14"/>
        <v>0.39503154761904757</v>
      </c>
      <c r="G36" s="95">
        <f t="shared" si="15"/>
        <v>0.14285714285714285</v>
      </c>
      <c r="H36" s="95">
        <f t="shared" si="16"/>
        <v>4.7403785714285709</v>
      </c>
      <c r="I36" s="94" t="s">
        <v>469</v>
      </c>
      <c r="J36" s="94">
        <v>180</v>
      </c>
      <c r="K36" s="94">
        <f t="shared" si="17"/>
        <v>336</v>
      </c>
      <c r="L36" s="94">
        <f t="shared" si="18"/>
        <v>175</v>
      </c>
      <c r="M36" s="94">
        <f t="shared" si="19"/>
        <v>163</v>
      </c>
      <c r="N36" s="94">
        <v>40</v>
      </c>
      <c r="O36" s="94">
        <v>1.1875</v>
      </c>
      <c r="P36" s="94">
        <v>9</v>
      </c>
      <c r="Q36" s="94">
        <v>16</v>
      </c>
      <c r="R36" s="94">
        <f t="shared" si="20"/>
        <v>11.25</v>
      </c>
      <c r="S36" s="94">
        <f t="shared" si="21"/>
        <v>16</v>
      </c>
      <c r="T36" s="94">
        <f t="shared" si="22"/>
        <v>32</v>
      </c>
      <c r="U36" s="94" t="s">
        <v>470</v>
      </c>
      <c r="V36" s="94">
        <f t="shared" si="23"/>
        <v>16</v>
      </c>
      <c r="W36" s="94">
        <f t="shared" si="12"/>
        <v>168</v>
      </c>
      <c r="X36" s="94">
        <v>134.81735</v>
      </c>
      <c r="Y36" s="94">
        <v>84</v>
      </c>
      <c r="Z36" s="94">
        <v>0.5</v>
      </c>
      <c r="AA36" s="94">
        <v>40</v>
      </c>
      <c r="AB36" s="94">
        <v>9</v>
      </c>
      <c r="AC36" s="94">
        <v>134.81735</v>
      </c>
      <c r="AD36" s="94">
        <v>101.6347</v>
      </c>
      <c r="AE36" s="94">
        <v>84</v>
      </c>
      <c r="AF36" s="94">
        <v>0.5</v>
      </c>
      <c r="AG36" s="94">
        <v>45</v>
      </c>
      <c r="AH36" s="94">
        <v>8</v>
      </c>
      <c r="AI36" s="94">
        <v>0</v>
      </c>
      <c r="AJ36" s="94">
        <v>101.6347</v>
      </c>
      <c r="AK36" s="94">
        <v>68.45205</v>
      </c>
      <c r="AL36" s="94">
        <v>84</v>
      </c>
      <c r="AM36" s="94">
        <v>0.625</v>
      </c>
      <c r="AN36" s="94">
        <v>60</v>
      </c>
      <c r="AO36" s="94">
        <v>6</v>
      </c>
      <c r="AP36" s="94">
        <v>0</v>
      </c>
      <c r="AQ36" s="94">
        <v>68.45205</v>
      </c>
      <c r="AR36" s="94">
        <v>58.205950000000001</v>
      </c>
      <c r="AS36" s="94">
        <v>25.9375</v>
      </c>
      <c r="AT36" s="94">
        <v>0.6875</v>
      </c>
      <c r="AU36" s="94">
        <v>90</v>
      </c>
      <c r="AV36" s="94">
        <v>4</v>
      </c>
      <c r="AW36" s="94"/>
      <c r="AX36" s="94">
        <v>58.205950000000001</v>
      </c>
      <c r="AY36" s="94">
        <v>54</v>
      </c>
      <c r="AZ36" s="94">
        <v>22.0625</v>
      </c>
      <c r="BA36" s="94">
        <v>0.6875</v>
      </c>
      <c r="BB36" s="94">
        <v>36</v>
      </c>
      <c r="BC36" s="94">
        <v>10</v>
      </c>
    </row>
    <row r="37" spans="1:55" x14ac:dyDescent="0.25">
      <c r="A37" s="93" t="s">
        <v>517</v>
      </c>
      <c r="B37" s="94">
        <v>300</v>
      </c>
      <c r="C37" s="94">
        <v>30</v>
      </c>
      <c r="D37" s="95">
        <v>30</v>
      </c>
      <c r="E37" s="95">
        <f t="shared" si="13"/>
        <v>30.281599999999997</v>
      </c>
      <c r="F37" s="95">
        <f t="shared" si="14"/>
        <v>0.36049523809523809</v>
      </c>
      <c r="G37" s="95">
        <f t="shared" si="15"/>
        <v>0.14285714285714285</v>
      </c>
      <c r="H37" s="95">
        <f t="shared" si="16"/>
        <v>4.3259428571428566</v>
      </c>
      <c r="I37" s="94" t="s">
        <v>469</v>
      </c>
      <c r="J37" s="94">
        <v>180</v>
      </c>
      <c r="K37" s="94">
        <f t="shared" si="17"/>
        <v>360</v>
      </c>
      <c r="L37" s="94">
        <f t="shared" si="18"/>
        <v>187</v>
      </c>
      <c r="M37" s="94">
        <f t="shared" si="19"/>
        <v>175</v>
      </c>
      <c r="N37" s="94">
        <v>30</v>
      </c>
      <c r="O37" s="94">
        <v>1.1875</v>
      </c>
      <c r="P37" s="94">
        <v>12</v>
      </c>
      <c r="Q37" s="94">
        <v>24</v>
      </c>
      <c r="R37" s="94">
        <f t="shared" si="20"/>
        <v>7.5</v>
      </c>
      <c r="S37" s="94">
        <f t="shared" si="21"/>
        <v>24</v>
      </c>
      <c r="T37" s="94">
        <f t="shared" si="22"/>
        <v>48</v>
      </c>
      <c r="U37" s="94" t="s">
        <v>470</v>
      </c>
      <c r="V37" s="94">
        <f t="shared" si="23"/>
        <v>24</v>
      </c>
      <c r="W37" s="94">
        <f t="shared" si="12"/>
        <v>180</v>
      </c>
      <c r="X37" s="94">
        <v>149.7184</v>
      </c>
      <c r="Y37" s="94">
        <v>84</v>
      </c>
      <c r="Z37" s="94">
        <v>0.5</v>
      </c>
      <c r="AA37" s="94">
        <v>30</v>
      </c>
      <c r="AB37" s="94">
        <v>12</v>
      </c>
      <c r="AC37" s="94">
        <v>149.7184</v>
      </c>
      <c r="AD37" s="94">
        <v>119.4367</v>
      </c>
      <c r="AE37" s="94">
        <v>84</v>
      </c>
      <c r="AF37" s="94">
        <v>0.5</v>
      </c>
      <c r="AG37" s="94">
        <v>36</v>
      </c>
      <c r="AH37" s="94">
        <v>10</v>
      </c>
      <c r="AI37" s="94">
        <v>0</v>
      </c>
      <c r="AJ37" s="94">
        <v>119.4367</v>
      </c>
      <c r="AK37" s="94">
        <v>89.155100000000004</v>
      </c>
      <c r="AL37" s="94">
        <v>84</v>
      </c>
      <c r="AM37" s="94">
        <v>0.5</v>
      </c>
      <c r="AN37" s="94">
        <v>45</v>
      </c>
      <c r="AO37" s="94">
        <v>8</v>
      </c>
      <c r="AP37" s="94">
        <v>0</v>
      </c>
      <c r="AQ37" s="94">
        <v>89.155100000000004</v>
      </c>
      <c r="AR37" s="94">
        <v>57.566699999999997</v>
      </c>
      <c r="AS37" s="94">
        <v>87.625</v>
      </c>
      <c r="AT37" s="94">
        <v>0.625</v>
      </c>
      <c r="AU37" s="94">
        <v>60</v>
      </c>
      <c r="AV37" s="94">
        <v>6</v>
      </c>
      <c r="AW37" s="94"/>
      <c r="AX37" s="94">
        <v>57.566699999999997</v>
      </c>
      <c r="AY37" s="94">
        <v>54</v>
      </c>
      <c r="AZ37" s="94">
        <v>20.375</v>
      </c>
      <c r="BA37" s="94">
        <v>0.6875</v>
      </c>
      <c r="BB37" s="94">
        <v>36</v>
      </c>
      <c r="BC37" s="94">
        <v>10</v>
      </c>
    </row>
    <row r="38" spans="1:55" x14ac:dyDescent="0.25">
      <c r="A38" s="93" t="s">
        <v>518</v>
      </c>
      <c r="B38" s="94">
        <v>300</v>
      </c>
      <c r="C38" s="94">
        <v>32</v>
      </c>
      <c r="D38" s="95">
        <v>25</v>
      </c>
      <c r="E38" s="95">
        <f t="shared" si="13"/>
        <v>40.489299999999986</v>
      </c>
      <c r="F38" s="95">
        <f t="shared" si="14"/>
        <v>0.48201547619047602</v>
      </c>
      <c r="G38" s="95">
        <f t="shared" si="15"/>
        <v>0.14285714285714285</v>
      </c>
      <c r="H38" s="95">
        <f t="shared" si="16"/>
        <v>5.7841857142857123</v>
      </c>
      <c r="I38" s="94" t="s">
        <v>469</v>
      </c>
      <c r="J38" s="94">
        <v>180</v>
      </c>
      <c r="K38" s="94">
        <f t="shared" si="17"/>
        <v>384</v>
      </c>
      <c r="L38" s="94">
        <f t="shared" si="18"/>
        <v>199</v>
      </c>
      <c r="M38" s="94">
        <f t="shared" si="19"/>
        <v>187</v>
      </c>
      <c r="N38" s="94">
        <v>30</v>
      </c>
      <c r="O38" s="94">
        <v>2</v>
      </c>
      <c r="P38" s="94">
        <v>12</v>
      </c>
      <c r="Q38" s="94">
        <v>24</v>
      </c>
      <c r="R38" s="94">
        <f t="shared" si="20"/>
        <v>7.5</v>
      </c>
      <c r="S38" s="94">
        <f t="shared" si="21"/>
        <v>24</v>
      </c>
      <c r="T38" s="94">
        <f t="shared" si="22"/>
        <v>48</v>
      </c>
      <c r="U38" s="94" t="s">
        <v>470</v>
      </c>
      <c r="V38" s="94">
        <f t="shared" si="23"/>
        <v>24</v>
      </c>
      <c r="W38" s="94">
        <f t="shared" si="12"/>
        <v>192</v>
      </c>
      <c r="X38" s="94">
        <v>151.51070000000001</v>
      </c>
      <c r="Y38" s="94">
        <v>84</v>
      </c>
      <c r="Z38" s="94">
        <v>0.5</v>
      </c>
      <c r="AA38" s="94">
        <v>30</v>
      </c>
      <c r="AB38" s="94">
        <v>12</v>
      </c>
      <c r="AC38" s="94">
        <v>151.51070000000001</v>
      </c>
      <c r="AD38" s="94">
        <v>111.0215</v>
      </c>
      <c r="AE38" s="94">
        <v>84</v>
      </c>
      <c r="AF38" s="94">
        <v>0.5</v>
      </c>
      <c r="AG38" s="94">
        <v>40</v>
      </c>
      <c r="AH38" s="94">
        <v>9</v>
      </c>
      <c r="AI38" s="94">
        <v>0</v>
      </c>
      <c r="AJ38" s="94">
        <v>111.0215</v>
      </c>
      <c r="AK38" s="94">
        <v>70.532200000000003</v>
      </c>
      <c r="AL38" s="94">
        <v>84</v>
      </c>
      <c r="AM38" s="94">
        <v>0.6875</v>
      </c>
      <c r="AN38" s="94">
        <v>45</v>
      </c>
      <c r="AO38" s="94">
        <v>8</v>
      </c>
      <c r="AP38" s="94">
        <v>0</v>
      </c>
      <c r="AQ38" s="94">
        <v>70.532200000000003</v>
      </c>
      <c r="AR38" s="94">
        <v>59.895499999999998</v>
      </c>
      <c r="AS38" s="94">
        <v>21.9375</v>
      </c>
      <c r="AT38" s="94">
        <v>0.8125</v>
      </c>
      <c r="AU38" s="94">
        <v>90</v>
      </c>
      <c r="AV38" s="94">
        <v>4</v>
      </c>
      <c r="AW38" s="94"/>
      <c r="AX38" s="94">
        <v>59.895499999999998</v>
      </c>
      <c r="AY38" s="94">
        <v>54</v>
      </c>
      <c r="AZ38" s="94">
        <v>26.0625</v>
      </c>
      <c r="BA38" s="94">
        <v>0.8125</v>
      </c>
      <c r="BB38" s="94">
        <v>36</v>
      </c>
      <c r="BC38" s="94">
        <v>10</v>
      </c>
    </row>
    <row r="39" spans="1:55" x14ac:dyDescent="0.25">
      <c r="A39" s="93" t="s">
        <v>519</v>
      </c>
      <c r="B39" s="94">
        <v>300</v>
      </c>
      <c r="C39" s="94">
        <v>32</v>
      </c>
      <c r="D39" s="95">
        <v>30</v>
      </c>
      <c r="E39" s="95">
        <f t="shared" si="13"/>
        <v>31.767699999999991</v>
      </c>
      <c r="F39" s="95">
        <f t="shared" si="14"/>
        <v>0.37818690476190464</v>
      </c>
      <c r="G39" s="95">
        <f t="shared" si="15"/>
        <v>0.14285714285714285</v>
      </c>
      <c r="H39" s="95">
        <f t="shared" si="16"/>
        <v>4.5382428571428557</v>
      </c>
      <c r="I39" s="94" t="s">
        <v>469</v>
      </c>
      <c r="J39" s="94">
        <v>180</v>
      </c>
      <c r="K39" s="94">
        <f t="shared" si="17"/>
        <v>384</v>
      </c>
      <c r="L39" s="94">
        <f t="shared" si="18"/>
        <v>199</v>
      </c>
      <c r="M39" s="94">
        <f t="shared" si="19"/>
        <v>187</v>
      </c>
      <c r="N39" s="94">
        <v>30</v>
      </c>
      <c r="O39" s="94">
        <v>1.375</v>
      </c>
      <c r="P39" s="94">
        <v>12</v>
      </c>
      <c r="Q39" s="94">
        <v>24</v>
      </c>
      <c r="R39" s="94">
        <f t="shared" si="20"/>
        <v>7.5</v>
      </c>
      <c r="S39" s="94">
        <f t="shared" si="21"/>
        <v>24</v>
      </c>
      <c r="T39" s="94">
        <f t="shared" si="22"/>
        <v>48</v>
      </c>
      <c r="U39" s="94" t="s">
        <v>470</v>
      </c>
      <c r="V39" s="94">
        <f t="shared" si="23"/>
        <v>24</v>
      </c>
      <c r="W39" s="94">
        <f t="shared" si="12"/>
        <v>192</v>
      </c>
      <c r="X39" s="94">
        <v>160.23230000000001</v>
      </c>
      <c r="Y39" s="94">
        <v>84</v>
      </c>
      <c r="Z39" s="94">
        <v>0.625</v>
      </c>
      <c r="AA39" s="94">
        <v>30</v>
      </c>
      <c r="AB39" s="94">
        <v>12</v>
      </c>
      <c r="AC39" s="94">
        <v>160.23230000000001</v>
      </c>
      <c r="AD39" s="94">
        <v>128.46449999999999</v>
      </c>
      <c r="AE39" s="94">
        <v>84</v>
      </c>
      <c r="AF39" s="94">
        <v>0.6875</v>
      </c>
      <c r="AG39" s="94">
        <v>36</v>
      </c>
      <c r="AH39" s="94">
        <v>10</v>
      </c>
      <c r="AI39" s="94">
        <v>0</v>
      </c>
      <c r="AJ39" s="94">
        <v>128.46449999999999</v>
      </c>
      <c r="AK39" s="94">
        <v>96.696799999999996</v>
      </c>
      <c r="AL39" s="94">
        <v>84</v>
      </c>
      <c r="AM39" s="94">
        <v>0.75</v>
      </c>
      <c r="AN39" s="94">
        <v>45</v>
      </c>
      <c r="AO39" s="94">
        <v>8</v>
      </c>
      <c r="AP39" s="94">
        <v>0</v>
      </c>
      <c r="AQ39" s="94">
        <v>96.696799999999996</v>
      </c>
      <c r="AR39" s="94">
        <v>63.879300000000001</v>
      </c>
      <c r="AS39" s="94">
        <v>86.75</v>
      </c>
      <c r="AT39" s="94">
        <v>1</v>
      </c>
      <c r="AU39" s="94">
        <v>60</v>
      </c>
      <c r="AV39" s="94">
        <v>6</v>
      </c>
      <c r="AW39" s="94"/>
      <c r="AX39" s="94">
        <v>63.879300000000001</v>
      </c>
      <c r="AY39" s="94">
        <v>60</v>
      </c>
      <c r="AZ39" s="94">
        <v>21.25</v>
      </c>
      <c r="BA39" s="94">
        <v>1.125</v>
      </c>
      <c r="BB39" s="94">
        <v>36</v>
      </c>
      <c r="BC39" s="94">
        <v>10</v>
      </c>
    </row>
    <row r="40" spans="1:55" x14ac:dyDescent="0.25">
      <c r="A40" s="93" t="s">
        <v>520</v>
      </c>
      <c r="B40" s="94">
        <v>300</v>
      </c>
      <c r="C40" s="94">
        <v>34</v>
      </c>
      <c r="D40" s="95">
        <v>30</v>
      </c>
      <c r="E40" s="95">
        <f t="shared" si="13"/>
        <v>36.247899999999987</v>
      </c>
      <c r="F40" s="95">
        <f t="shared" si="14"/>
        <v>0.4315226190476189</v>
      </c>
      <c r="G40" s="95">
        <f t="shared" si="15"/>
        <v>0.14285714285714285</v>
      </c>
      <c r="H40" s="95">
        <f t="shared" si="16"/>
        <v>5.1782714285714269</v>
      </c>
      <c r="I40" s="94" t="s">
        <v>469</v>
      </c>
      <c r="J40" s="94">
        <v>180</v>
      </c>
      <c r="K40" s="94">
        <f t="shared" si="17"/>
        <v>408</v>
      </c>
      <c r="L40" s="94">
        <f t="shared" si="18"/>
        <v>211</v>
      </c>
      <c r="M40" s="94">
        <f t="shared" si="19"/>
        <v>199</v>
      </c>
      <c r="N40" s="94">
        <v>30</v>
      </c>
      <c r="O40" s="94">
        <v>1.125</v>
      </c>
      <c r="P40" s="94">
        <v>12</v>
      </c>
      <c r="Q40" s="94">
        <v>28</v>
      </c>
      <c r="R40" s="94">
        <f t="shared" si="20"/>
        <v>6.4285714285714288</v>
      </c>
      <c r="S40" s="94">
        <f t="shared" si="21"/>
        <v>28</v>
      </c>
      <c r="T40" s="94">
        <f t="shared" si="22"/>
        <v>56</v>
      </c>
      <c r="U40" s="94" t="s">
        <v>470</v>
      </c>
      <c r="V40" s="94">
        <f t="shared" si="23"/>
        <v>28</v>
      </c>
      <c r="W40" s="94">
        <f t="shared" si="12"/>
        <v>204</v>
      </c>
      <c r="X40" s="94">
        <v>167.75210000000001</v>
      </c>
      <c r="Y40" s="94">
        <v>84</v>
      </c>
      <c r="Z40" s="94">
        <v>0.625</v>
      </c>
      <c r="AA40" s="94">
        <v>30</v>
      </c>
      <c r="AB40" s="94">
        <v>12</v>
      </c>
      <c r="AC40" s="94">
        <v>167.75210000000001</v>
      </c>
      <c r="AD40" s="94">
        <v>131.5043</v>
      </c>
      <c r="AE40" s="94">
        <v>84</v>
      </c>
      <c r="AF40" s="94">
        <v>0.625</v>
      </c>
      <c r="AG40" s="94">
        <v>36</v>
      </c>
      <c r="AH40" s="94">
        <v>10</v>
      </c>
      <c r="AI40" s="94">
        <v>0</v>
      </c>
      <c r="AJ40" s="94">
        <v>131.5043</v>
      </c>
      <c r="AK40" s="94">
        <v>95.256399999999999</v>
      </c>
      <c r="AL40" s="94">
        <v>84</v>
      </c>
      <c r="AM40" s="94">
        <v>0.8125</v>
      </c>
      <c r="AN40" s="94">
        <v>45</v>
      </c>
      <c r="AO40" s="94">
        <v>8</v>
      </c>
      <c r="AP40" s="94">
        <v>0</v>
      </c>
      <c r="AQ40" s="94">
        <v>95.256399999999999</v>
      </c>
      <c r="AR40" s="94">
        <v>58.910299999999999</v>
      </c>
      <c r="AS40" s="94">
        <v>84.25</v>
      </c>
      <c r="AT40" s="94">
        <v>1.1875</v>
      </c>
      <c r="AU40" s="94">
        <v>60</v>
      </c>
      <c r="AV40" s="94">
        <v>6</v>
      </c>
      <c r="AW40" s="94"/>
      <c r="AX40" s="94">
        <v>58.910299999999999</v>
      </c>
      <c r="AY40" s="94">
        <v>54</v>
      </c>
      <c r="AZ40" s="94">
        <v>23.75</v>
      </c>
      <c r="BA40" s="94">
        <v>1.625</v>
      </c>
      <c r="BB40" s="94">
        <v>36</v>
      </c>
      <c r="BC40" s="94">
        <v>10</v>
      </c>
    </row>
    <row r="41" spans="1:55" x14ac:dyDescent="0.25">
      <c r="A41" s="93" t="s">
        <v>521</v>
      </c>
      <c r="B41" s="94">
        <v>300</v>
      </c>
      <c r="C41" s="94">
        <v>38</v>
      </c>
      <c r="D41" s="95">
        <v>30</v>
      </c>
      <c r="E41" s="95">
        <f t="shared" si="13"/>
        <v>42.281200000000013</v>
      </c>
      <c r="F41" s="95">
        <f t="shared" si="14"/>
        <v>0.50334761904761915</v>
      </c>
      <c r="G41" s="95">
        <f t="shared" si="15"/>
        <v>0.14285714285714285</v>
      </c>
      <c r="H41" s="95">
        <f t="shared" si="16"/>
        <v>6.0401714285714299</v>
      </c>
      <c r="I41" s="94" t="s">
        <v>469</v>
      </c>
      <c r="J41" s="94">
        <v>180</v>
      </c>
      <c r="K41" s="94">
        <f t="shared" si="17"/>
        <v>456</v>
      </c>
      <c r="L41" s="94">
        <f t="shared" si="18"/>
        <v>235</v>
      </c>
      <c r="M41" s="94">
        <f t="shared" si="19"/>
        <v>223</v>
      </c>
      <c r="N41" s="94">
        <v>22.5</v>
      </c>
      <c r="O41" s="94">
        <v>1.0625</v>
      </c>
      <c r="P41" s="94">
        <v>16</v>
      </c>
      <c r="Q41" s="94">
        <v>16</v>
      </c>
      <c r="R41" s="94">
        <f t="shared" si="20"/>
        <v>11.25</v>
      </c>
      <c r="S41" s="94">
        <f t="shared" si="21"/>
        <v>16</v>
      </c>
      <c r="T41" s="94">
        <f t="shared" si="22"/>
        <v>32</v>
      </c>
      <c r="U41" s="94"/>
      <c r="V41" s="94">
        <f t="shared" si="23"/>
        <v>16</v>
      </c>
      <c r="W41" s="94">
        <f t="shared" si="12"/>
        <v>228</v>
      </c>
      <c r="X41" s="94">
        <v>185.71879999999999</v>
      </c>
      <c r="Y41" s="94">
        <v>84</v>
      </c>
      <c r="Z41" s="94">
        <v>0.5625</v>
      </c>
      <c r="AA41" s="94">
        <v>22.5</v>
      </c>
      <c r="AB41" s="94">
        <v>16</v>
      </c>
      <c r="AC41" s="94">
        <v>185.71879999999999</v>
      </c>
      <c r="AD41" s="94">
        <v>143.46870000000001</v>
      </c>
      <c r="AE41" s="94">
        <v>84</v>
      </c>
      <c r="AF41" s="94">
        <v>0.5625</v>
      </c>
      <c r="AG41" s="94">
        <v>30</v>
      </c>
      <c r="AH41" s="94">
        <v>12</v>
      </c>
      <c r="AI41" s="94">
        <v>0</v>
      </c>
      <c r="AJ41" s="94">
        <v>143.46870000000001</v>
      </c>
      <c r="AK41" s="94">
        <v>101.1875</v>
      </c>
      <c r="AL41" s="94">
        <v>84</v>
      </c>
      <c r="AM41" s="94">
        <v>0.5625</v>
      </c>
      <c r="AN41" s="94">
        <v>36</v>
      </c>
      <c r="AO41" s="94">
        <v>10</v>
      </c>
      <c r="AP41" s="94">
        <v>0</v>
      </c>
      <c r="AQ41" s="94">
        <v>101.1875</v>
      </c>
      <c r="AR41" s="94">
        <v>60.40625</v>
      </c>
      <c r="AS41" s="94">
        <v>81</v>
      </c>
      <c r="AT41" s="94">
        <v>0.6875</v>
      </c>
      <c r="AU41" s="94">
        <v>45</v>
      </c>
      <c r="AV41" s="94">
        <v>8</v>
      </c>
      <c r="AW41" s="94"/>
      <c r="AX41" s="94">
        <v>60.40625</v>
      </c>
      <c r="AY41" s="94">
        <v>54</v>
      </c>
      <c r="AZ41" s="94">
        <v>27</v>
      </c>
      <c r="BA41" s="94">
        <v>0.8125</v>
      </c>
      <c r="BB41" s="94">
        <v>36</v>
      </c>
      <c r="BC41" s="94">
        <v>10</v>
      </c>
    </row>
    <row r="42" spans="1:55" hidden="1" x14ac:dyDescent="0.25">
      <c r="A42" s="93" t="s">
        <v>522</v>
      </c>
      <c r="B42" s="94">
        <v>325</v>
      </c>
      <c r="C42" s="94">
        <v>25</v>
      </c>
      <c r="D42" s="95">
        <v>25</v>
      </c>
      <c r="E42" s="95">
        <f t="shared" si="13"/>
        <v>27.78125</v>
      </c>
      <c r="F42" s="95">
        <f t="shared" si="14"/>
        <v>0.33072916666666669</v>
      </c>
      <c r="G42" s="95">
        <f t="shared" si="15"/>
        <v>0.14285714285714285</v>
      </c>
      <c r="H42" s="95">
        <f t="shared" si="16"/>
        <v>3.96875</v>
      </c>
      <c r="I42" s="94" t="s">
        <v>469</v>
      </c>
      <c r="J42" s="94">
        <v>180</v>
      </c>
      <c r="K42" s="94">
        <f t="shared" si="17"/>
        <v>300</v>
      </c>
      <c r="L42" s="94">
        <f t="shared" si="18"/>
        <v>157</v>
      </c>
      <c r="M42" s="94">
        <f t="shared" si="19"/>
        <v>145</v>
      </c>
      <c r="N42" s="94">
        <v>40</v>
      </c>
      <c r="O42" s="94">
        <v>1.5</v>
      </c>
      <c r="P42" s="94">
        <v>9</v>
      </c>
      <c r="Q42" s="94">
        <v>16</v>
      </c>
      <c r="R42" s="94">
        <f t="shared" si="20"/>
        <v>11.25</v>
      </c>
      <c r="S42" s="94">
        <f t="shared" si="21"/>
        <v>16</v>
      </c>
      <c r="T42" s="94">
        <f t="shared" si="22"/>
        <v>32</v>
      </c>
      <c r="U42" s="94" t="s">
        <v>470</v>
      </c>
      <c r="V42" s="94">
        <f t="shared" si="23"/>
        <v>16</v>
      </c>
      <c r="W42" s="94">
        <f t="shared" si="12"/>
        <v>150</v>
      </c>
      <c r="X42" s="94">
        <v>122.21875</v>
      </c>
      <c r="Y42" s="94">
        <v>84</v>
      </c>
      <c r="Z42" s="94">
        <v>0.5</v>
      </c>
      <c r="AA42" s="94">
        <v>40</v>
      </c>
      <c r="AB42" s="94">
        <v>9</v>
      </c>
      <c r="AC42" s="94">
        <v>122.21875</v>
      </c>
      <c r="AD42" s="94">
        <v>94.4375</v>
      </c>
      <c r="AE42" s="94">
        <v>84</v>
      </c>
      <c r="AF42" s="94">
        <v>0.5</v>
      </c>
      <c r="AG42" s="94">
        <v>60</v>
      </c>
      <c r="AH42" s="94">
        <v>6</v>
      </c>
      <c r="AI42" s="94">
        <v>0</v>
      </c>
      <c r="AJ42" s="94">
        <v>94.4375</v>
      </c>
      <c r="AK42" s="94">
        <v>66.6875</v>
      </c>
      <c r="AL42" s="94">
        <v>84</v>
      </c>
      <c r="AM42" s="94">
        <v>0.5625</v>
      </c>
      <c r="AN42" s="94">
        <v>90</v>
      </c>
      <c r="AO42" s="94">
        <v>4</v>
      </c>
      <c r="AP42" s="94">
        <v>0</v>
      </c>
      <c r="AQ42" s="94">
        <v>66.6875</v>
      </c>
      <c r="AR42" s="94">
        <v>57.03125</v>
      </c>
      <c r="AS42" s="94">
        <v>29.1875</v>
      </c>
      <c r="AT42" s="94">
        <v>0.625</v>
      </c>
      <c r="AU42" s="94">
        <v>90</v>
      </c>
      <c r="AV42" s="94">
        <v>4</v>
      </c>
      <c r="AW42" s="94">
        <v>60</v>
      </c>
      <c r="AX42" s="94">
        <v>57.03125</v>
      </c>
      <c r="AY42" s="94">
        <v>54</v>
      </c>
      <c r="AZ42" s="94">
        <v>18.8125</v>
      </c>
      <c r="BA42" s="94">
        <v>0.625</v>
      </c>
      <c r="BB42" s="94">
        <v>36</v>
      </c>
      <c r="BC42" s="94">
        <v>10</v>
      </c>
    </row>
    <row r="43" spans="1:55" hidden="1" x14ac:dyDescent="0.25">
      <c r="A43" s="22" t="s">
        <v>524</v>
      </c>
      <c r="B43" s="23">
        <v>400</v>
      </c>
      <c r="C43" s="23">
        <v>25</v>
      </c>
      <c r="D43" s="24">
        <v>25</v>
      </c>
      <c r="E43" s="24">
        <f t="shared" si="13"/>
        <v>25.985500000000002</v>
      </c>
      <c r="F43" s="24">
        <f t="shared" si="14"/>
        <v>0.30935119047619047</v>
      </c>
      <c r="G43" s="24">
        <f t="shared" si="15"/>
        <v>0.14285714285714285</v>
      </c>
      <c r="H43" s="24">
        <f t="shared" si="16"/>
        <v>3.7122142857142859</v>
      </c>
      <c r="I43" s="23" t="s">
        <v>469</v>
      </c>
      <c r="J43" s="23">
        <v>180</v>
      </c>
      <c r="K43" s="23">
        <f t="shared" si="17"/>
        <v>300</v>
      </c>
      <c r="L43" s="23">
        <f t="shared" si="18"/>
        <v>157</v>
      </c>
      <c r="M43" s="23">
        <f t="shared" si="19"/>
        <v>145</v>
      </c>
      <c r="N43" s="23">
        <v>40</v>
      </c>
      <c r="O43" s="23">
        <v>1.5</v>
      </c>
      <c r="P43" s="23">
        <v>9</v>
      </c>
      <c r="Q43" s="23">
        <v>20</v>
      </c>
      <c r="R43" s="23">
        <f t="shared" si="20"/>
        <v>9</v>
      </c>
      <c r="S43" s="23">
        <f t="shared" si="21"/>
        <v>20</v>
      </c>
      <c r="T43" s="23">
        <f t="shared" si="22"/>
        <v>40</v>
      </c>
      <c r="U43" s="23" t="s">
        <v>470</v>
      </c>
      <c r="V43" s="23">
        <f t="shared" si="23"/>
        <v>20</v>
      </c>
      <c r="W43" s="23">
        <f t="shared" si="12"/>
        <v>150</v>
      </c>
      <c r="X43" s="23">
        <v>124.0145</v>
      </c>
      <c r="Y43" s="23">
        <v>84</v>
      </c>
      <c r="Z43" s="23">
        <v>0.625</v>
      </c>
      <c r="AA43" s="23">
        <v>40</v>
      </c>
      <c r="AB43" s="23">
        <v>9</v>
      </c>
      <c r="AC43" s="23">
        <v>124.0145</v>
      </c>
      <c r="AD43" s="23">
        <v>98.028999999999996</v>
      </c>
      <c r="AE43" s="23">
        <v>84</v>
      </c>
      <c r="AF43" s="23">
        <v>0.6875</v>
      </c>
      <c r="AG43" s="23">
        <v>60</v>
      </c>
      <c r="AH43" s="23">
        <v>6</v>
      </c>
      <c r="AI43" s="23">
        <v>0</v>
      </c>
      <c r="AJ43" s="23">
        <v>98.028999999999996</v>
      </c>
      <c r="AK43" s="23">
        <v>72.043499999999995</v>
      </c>
      <c r="AL43" s="23">
        <v>84</v>
      </c>
      <c r="AM43" s="23">
        <v>0.875</v>
      </c>
      <c r="AN43" s="23">
        <v>60</v>
      </c>
      <c r="AO43" s="23">
        <v>6</v>
      </c>
      <c r="AP43" s="23">
        <v>0</v>
      </c>
      <c r="AQ43" s="23">
        <v>72.043499999999995</v>
      </c>
      <c r="AR43" s="23">
        <v>62.680100000000003</v>
      </c>
      <c r="AS43" s="23">
        <v>30.25</v>
      </c>
      <c r="AT43" s="23">
        <v>1</v>
      </c>
      <c r="AU43" s="23">
        <v>90</v>
      </c>
      <c r="AV43" s="23">
        <v>4</v>
      </c>
      <c r="AW43" s="23">
        <v>60</v>
      </c>
      <c r="AX43" s="23">
        <v>62.680100000000003</v>
      </c>
      <c r="AY43" s="23">
        <v>60</v>
      </c>
      <c r="AZ43" s="23">
        <v>17.75</v>
      </c>
      <c r="BA43" s="23">
        <v>1</v>
      </c>
      <c r="BB43" s="23">
        <v>36</v>
      </c>
      <c r="BC43" s="23">
        <v>10</v>
      </c>
    </row>
    <row r="44" spans="1:55" hidden="1" x14ac:dyDescent="0.25">
      <c r="A44" s="22" t="s">
        <v>526</v>
      </c>
      <c r="B44" s="23">
        <v>400</v>
      </c>
      <c r="C44" s="23">
        <v>28</v>
      </c>
      <c r="D44" s="24">
        <v>25</v>
      </c>
      <c r="E44" s="24">
        <f t="shared" si="13"/>
        <v>31.373500000000007</v>
      </c>
      <c r="F44" s="24">
        <f t="shared" si="14"/>
        <v>0.3734940476190477</v>
      </c>
      <c r="G44" s="24">
        <f t="shared" si="15"/>
        <v>0.14285714285714285</v>
      </c>
      <c r="H44" s="24">
        <f t="shared" si="16"/>
        <v>4.4819285714285719</v>
      </c>
      <c r="I44" s="23" t="s">
        <v>469</v>
      </c>
      <c r="J44" s="23">
        <v>180</v>
      </c>
      <c r="K44" s="23">
        <f t="shared" si="17"/>
        <v>336</v>
      </c>
      <c r="L44" s="23">
        <f t="shared" si="18"/>
        <v>175</v>
      </c>
      <c r="M44" s="23">
        <f t="shared" si="19"/>
        <v>163</v>
      </c>
      <c r="N44" s="23">
        <v>40</v>
      </c>
      <c r="O44" s="23">
        <v>1.375</v>
      </c>
      <c r="P44" s="23">
        <v>9</v>
      </c>
      <c r="Q44" s="23">
        <v>24</v>
      </c>
      <c r="R44" s="23">
        <f t="shared" si="20"/>
        <v>7.5</v>
      </c>
      <c r="S44" s="23">
        <f t="shared" si="21"/>
        <v>24</v>
      </c>
      <c r="T44" s="23">
        <f t="shared" si="22"/>
        <v>48</v>
      </c>
      <c r="U44" s="23" t="s">
        <v>470</v>
      </c>
      <c r="V44" s="23">
        <f t="shared" si="23"/>
        <v>24</v>
      </c>
      <c r="W44" s="23">
        <f t="shared" si="12"/>
        <v>168</v>
      </c>
      <c r="X44" s="23">
        <v>136.62649999999999</v>
      </c>
      <c r="Y44" s="23">
        <v>84</v>
      </c>
      <c r="Z44" s="23">
        <v>0.5625</v>
      </c>
      <c r="AA44" s="23">
        <v>40</v>
      </c>
      <c r="AB44" s="23">
        <v>9</v>
      </c>
      <c r="AC44" s="23">
        <v>136.62649999999999</v>
      </c>
      <c r="AD44" s="23">
        <v>105.2529</v>
      </c>
      <c r="AE44" s="23">
        <v>84</v>
      </c>
      <c r="AF44" s="23">
        <v>0.625</v>
      </c>
      <c r="AG44" s="23">
        <v>60</v>
      </c>
      <c r="AH44" s="23">
        <v>6</v>
      </c>
      <c r="AI44" s="23">
        <v>0</v>
      </c>
      <c r="AJ44" s="23">
        <v>105.2529</v>
      </c>
      <c r="AK44" s="23">
        <v>73.879400000000004</v>
      </c>
      <c r="AL44" s="23">
        <v>84</v>
      </c>
      <c r="AM44" s="23">
        <v>0.75</v>
      </c>
      <c r="AN44" s="23">
        <v>60</v>
      </c>
      <c r="AO44" s="23">
        <v>6</v>
      </c>
      <c r="AP44" s="23">
        <v>0</v>
      </c>
      <c r="AQ44" s="23">
        <v>73.879400000000004</v>
      </c>
      <c r="AR44" s="23">
        <v>63.792499999999997</v>
      </c>
      <c r="AS44" s="23">
        <v>27</v>
      </c>
      <c r="AT44" s="23">
        <v>0.875</v>
      </c>
      <c r="AU44" s="23">
        <v>90</v>
      </c>
      <c r="AV44" s="23">
        <v>4</v>
      </c>
      <c r="AW44" s="23"/>
      <c r="AX44" s="23">
        <v>63.792499999999997</v>
      </c>
      <c r="AY44" s="23">
        <v>60</v>
      </c>
      <c r="AZ44" s="23">
        <v>21</v>
      </c>
      <c r="BA44" s="23">
        <v>0.875</v>
      </c>
      <c r="BB44" s="23">
        <v>36</v>
      </c>
      <c r="BC44" s="23">
        <v>10</v>
      </c>
    </row>
    <row r="45" spans="1:55" hidden="1" x14ac:dyDescent="0.25">
      <c r="A45" s="22" t="s">
        <v>527</v>
      </c>
      <c r="B45" s="23">
        <v>400</v>
      </c>
      <c r="C45" s="23">
        <v>30</v>
      </c>
      <c r="D45" s="24">
        <v>30</v>
      </c>
      <c r="E45" s="24">
        <f t="shared" si="13"/>
        <v>28.800000000000011</v>
      </c>
      <c r="F45" s="24">
        <f t="shared" si="14"/>
        <v>0.34285714285714297</v>
      </c>
      <c r="G45" s="24">
        <f t="shared" si="15"/>
        <v>0.14285714285714285</v>
      </c>
      <c r="H45" s="24">
        <f t="shared" si="16"/>
        <v>4.1142857142857157</v>
      </c>
      <c r="I45" s="23" t="s">
        <v>469</v>
      </c>
      <c r="J45" s="23">
        <v>180</v>
      </c>
      <c r="K45" s="23">
        <f t="shared" si="17"/>
        <v>360</v>
      </c>
      <c r="L45" s="23">
        <f t="shared" si="18"/>
        <v>187</v>
      </c>
      <c r="M45" s="23">
        <f t="shared" si="19"/>
        <v>175</v>
      </c>
      <c r="N45" s="23">
        <v>30</v>
      </c>
      <c r="O45" s="23">
        <v>1.3125</v>
      </c>
      <c r="P45" s="23">
        <v>12</v>
      </c>
      <c r="Q45" s="23">
        <v>20</v>
      </c>
      <c r="R45" s="23">
        <f t="shared" si="20"/>
        <v>9</v>
      </c>
      <c r="S45" s="23">
        <f t="shared" si="21"/>
        <v>20</v>
      </c>
      <c r="T45" s="23">
        <f t="shared" si="22"/>
        <v>40</v>
      </c>
      <c r="U45" s="23" t="s">
        <v>470</v>
      </c>
      <c r="V45" s="23">
        <f t="shared" si="23"/>
        <v>20</v>
      </c>
      <c r="W45" s="23">
        <f t="shared" si="12"/>
        <v>180</v>
      </c>
      <c r="X45" s="23">
        <v>151.19999999999999</v>
      </c>
      <c r="Y45" s="23">
        <v>84</v>
      </c>
      <c r="Z45" s="23">
        <v>0.5625</v>
      </c>
      <c r="AA45" s="23">
        <v>30</v>
      </c>
      <c r="AB45" s="23">
        <v>12</v>
      </c>
      <c r="AC45" s="23">
        <v>151.19999999999999</v>
      </c>
      <c r="AD45" s="23">
        <v>122.4</v>
      </c>
      <c r="AE45" s="23">
        <v>84</v>
      </c>
      <c r="AF45" s="23">
        <v>0.5625</v>
      </c>
      <c r="AG45" s="23">
        <v>45</v>
      </c>
      <c r="AH45" s="23">
        <v>8</v>
      </c>
      <c r="AI45" s="23">
        <v>0</v>
      </c>
      <c r="AJ45" s="23">
        <v>122.4</v>
      </c>
      <c r="AK45" s="23">
        <v>92.914299999999997</v>
      </c>
      <c r="AL45" s="23">
        <v>86</v>
      </c>
      <c r="AM45" s="23">
        <v>0.625</v>
      </c>
      <c r="AN45" s="23">
        <v>60</v>
      </c>
      <c r="AO45" s="23">
        <v>6</v>
      </c>
      <c r="AP45" s="23">
        <v>0</v>
      </c>
      <c r="AQ45" s="23">
        <v>92.914299999999997</v>
      </c>
      <c r="AR45" s="23">
        <v>63.243200000000002</v>
      </c>
      <c r="AS45" s="23">
        <v>86.5625</v>
      </c>
      <c r="AT45" s="23">
        <v>0.75</v>
      </c>
      <c r="AU45" s="23">
        <v>90</v>
      </c>
      <c r="AV45" s="23">
        <v>4</v>
      </c>
      <c r="AW45" s="23"/>
      <c r="AX45" s="23">
        <v>63.243200000000002</v>
      </c>
      <c r="AY45" s="23">
        <v>60</v>
      </c>
      <c r="AZ45" s="23">
        <v>19.4375</v>
      </c>
      <c r="BA45" s="23">
        <v>0.75</v>
      </c>
      <c r="BB45" s="23">
        <v>36</v>
      </c>
      <c r="BC45" s="23">
        <v>10</v>
      </c>
    </row>
    <row r="46" spans="1:55" hidden="1" x14ac:dyDescent="0.25">
      <c r="A46" s="22" t="s">
        <v>529</v>
      </c>
      <c r="B46" s="23">
        <v>400</v>
      </c>
      <c r="C46" s="23">
        <v>32</v>
      </c>
      <c r="D46" s="24">
        <v>25</v>
      </c>
      <c r="E46" s="24">
        <f t="shared" si="13"/>
        <v>38.65625</v>
      </c>
      <c r="F46" s="24">
        <f t="shared" si="14"/>
        <v>0.46019345238095238</v>
      </c>
      <c r="G46" s="24">
        <f t="shared" si="15"/>
        <v>0.14285714285714285</v>
      </c>
      <c r="H46" s="24">
        <f t="shared" si="16"/>
        <v>5.5223214285714279</v>
      </c>
      <c r="I46" s="23" t="s">
        <v>469</v>
      </c>
      <c r="J46" s="23">
        <v>180</v>
      </c>
      <c r="K46" s="23">
        <f t="shared" si="17"/>
        <v>384</v>
      </c>
      <c r="L46" s="23">
        <f t="shared" si="18"/>
        <v>199</v>
      </c>
      <c r="M46" s="23">
        <f t="shared" si="19"/>
        <v>187</v>
      </c>
      <c r="N46" s="23">
        <v>30</v>
      </c>
      <c r="O46" s="23">
        <v>1.6875</v>
      </c>
      <c r="P46" s="23">
        <v>12</v>
      </c>
      <c r="Q46" s="23">
        <v>36</v>
      </c>
      <c r="R46" s="23">
        <f t="shared" si="20"/>
        <v>5</v>
      </c>
      <c r="S46" s="23">
        <f t="shared" si="21"/>
        <v>36</v>
      </c>
      <c r="T46" s="23">
        <f t="shared" si="22"/>
        <v>72</v>
      </c>
      <c r="U46" s="23" t="s">
        <v>470</v>
      </c>
      <c r="V46" s="23">
        <f t="shared" si="23"/>
        <v>36</v>
      </c>
      <c r="W46" s="23">
        <f t="shared" si="12"/>
        <v>192</v>
      </c>
      <c r="X46" s="23">
        <v>153.34375</v>
      </c>
      <c r="Y46" s="23">
        <v>84</v>
      </c>
      <c r="Z46" s="23">
        <v>0.6875</v>
      </c>
      <c r="AA46" s="23">
        <v>30</v>
      </c>
      <c r="AB46" s="23">
        <v>12</v>
      </c>
      <c r="AC46" s="23">
        <v>153.34375</v>
      </c>
      <c r="AD46" s="23">
        <v>114.6875</v>
      </c>
      <c r="AE46" s="23">
        <v>84</v>
      </c>
      <c r="AF46" s="23">
        <v>0.8125</v>
      </c>
      <c r="AG46" s="23">
        <v>36</v>
      </c>
      <c r="AH46" s="23">
        <v>10</v>
      </c>
      <c r="AI46" s="23">
        <v>0</v>
      </c>
      <c r="AJ46" s="23">
        <v>114.6875</v>
      </c>
      <c r="AK46" s="23">
        <v>76.0625</v>
      </c>
      <c r="AL46" s="23">
        <v>84</v>
      </c>
      <c r="AM46" s="23">
        <v>1</v>
      </c>
      <c r="AN46" s="23">
        <v>45</v>
      </c>
      <c r="AO46" s="23">
        <v>8</v>
      </c>
      <c r="AP46" s="23">
        <v>0</v>
      </c>
      <c r="AQ46" s="23">
        <v>76.0625</v>
      </c>
      <c r="AR46" s="23">
        <v>65.5</v>
      </c>
      <c r="AS46" s="23">
        <v>22.9375</v>
      </c>
      <c r="AT46" s="23">
        <v>1.5</v>
      </c>
      <c r="AU46" s="23">
        <v>60</v>
      </c>
      <c r="AV46" s="23">
        <v>6</v>
      </c>
      <c r="AW46" s="23"/>
      <c r="AX46" s="23">
        <v>65.5</v>
      </c>
      <c r="AY46" s="23">
        <v>60</v>
      </c>
      <c r="AZ46" s="23">
        <v>25.0625</v>
      </c>
      <c r="BA46" s="23">
        <v>1.5</v>
      </c>
      <c r="BB46" s="23">
        <v>36</v>
      </c>
      <c r="BC46" s="23">
        <v>10</v>
      </c>
    </row>
    <row r="47" spans="1:55" hidden="1" x14ac:dyDescent="0.25">
      <c r="A47" s="22" t="s">
        <v>530</v>
      </c>
      <c r="B47" s="23">
        <v>400</v>
      </c>
      <c r="C47" s="23">
        <v>32</v>
      </c>
      <c r="D47" s="24">
        <v>30</v>
      </c>
      <c r="E47" s="24">
        <f t="shared" si="13"/>
        <v>31.767699999999991</v>
      </c>
      <c r="F47" s="24">
        <f t="shared" si="14"/>
        <v>0.37818690476190464</v>
      </c>
      <c r="G47" s="24">
        <f t="shared" si="15"/>
        <v>0.14285714285714285</v>
      </c>
      <c r="H47" s="24">
        <f t="shared" si="16"/>
        <v>4.5382428571428557</v>
      </c>
      <c r="I47" s="23" t="s">
        <v>469</v>
      </c>
      <c r="J47" s="23">
        <v>180</v>
      </c>
      <c r="K47" s="23">
        <f t="shared" si="17"/>
        <v>384</v>
      </c>
      <c r="L47" s="23">
        <f t="shared" si="18"/>
        <v>199</v>
      </c>
      <c r="M47" s="23">
        <f t="shared" si="19"/>
        <v>187</v>
      </c>
      <c r="N47" s="23">
        <v>30</v>
      </c>
      <c r="O47" s="23">
        <v>1.3125</v>
      </c>
      <c r="P47" s="23">
        <v>12</v>
      </c>
      <c r="Q47" s="23">
        <v>36</v>
      </c>
      <c r="R47" s="23">
        <f t="shared" si="20"/>
        <v>5</v>
      </c>
      <c r="S47" s="23">
        <f t="shared" si="21"/>
        <v>36</v>
      </c>
      <c r="T47" s="23">
        <f t="shared" si="22"/>
        <v>72</v>
      </c>
      <c r="U47" s="23" t="s">
        <v>470</v>
      </c>
      <c r="V47" s="23">
        <f t="shared" si="23"/>
        <v>36</v>
      </c>
      <c r="W47" s="23">
        <f t="shared" si="12"/>
        <v>192</v>
      </c>
      <c r="X47" s="23">
        <v>160.23230000000001</v>
      </c>
      <c r="Y47" s="23">
        <v>84</v>
      </c>
      <c r="Z47" s="23">
        <v>0.625</v>
      </c>
      <c r="AA47" s="23">
        <v>30</v>
      </c>
      <c r="AB47" s="23">
        <v>12</v>
      </c>
      <c r="AC47" s="23">
        <v>160.23230000000001</v>
      </c>
      <c r="AD47" s="23">
        <v>128.46449999999999</v>
      </c>
      <c r="AE47" s="23">
        <v>84</v>
      </c>
      <c r="AF47" s="23">
        <v>0.6875</v>
      </c>
      <c r="AG47" s="23">
        <v>36</v>
      </c>
      <c r="AH47" s="23">
        <v>10</v>
      </c>
      <c r="AI47" s="23">
        <v>0</v>
      </c>
      <c r="AJ47" s="23">
        <v>128.46449999999999</v>
      </c>
      <c r="AK47" s="23">
        <v>96.696799999999996</v>
      </c>
      <c r="AL47" s="23">
        <v>84</v>
      </c>
      <c r="AM47" s="23">
        <v>0.8125</v>
      </c>
      <c r="AN47" s="23">
        <v>60</v>
      </c>
      <c r="AO47" s="23">
        <v>6</v>
      </c>
      <c r="AP47" s="23">
        <v>0</v>
      </c>
      <c r="AQ47" s="23">
        <v>96.696799999999996</v>
      </c>
      <c r="AR47" s="23">
        <v>63.879300000000001</v>
      </c>
      <c r="AS47" s="23">
        <v>86.75</v>
      </c>
      <c r="AT47" s="23">
        <v>1.0625</v>
      </c>
      <c r="AU47" s="23">
        <v>60</v>
      </c>
      <c r="AV47" s="23">
        <v>6</v>
      </c>
      <c r="AW47" s="23"/>
      <c r="AX47" s="23">
        <v>63.879300000000001</v>
      </c>
      <c r="AY47" s="23">
        <v>60</v>
      </c>
      <c r="AZ47" s="23">
        <v>21.25</v>
      </c>
      <c r="BA47" s="23">
        <v>1.1875</v>
      </c>
      <c r="BB47" s="23">
        <v>36</v>
      </c>
      <c r="BC47" s="23">
        <v>10</v>
      </c>
    </row>
    <row r="48" spans="1:55" hidden="1" x14ac:dyDescent="0.25">
      <c r="A48" s="22" t="s">
        <v>531</v>
      </c>
      <c r="B48" s="23">
        <v>400</v>
      </c>
      <c r="C48" s="23">
        <v>40</v>
      </c>
      <c r="D48" s="24">
        <v>30</v>
      </c>
      <c r="E48" s="24">
        <f t="shared" si="13"/>
        <v>43.788000000000011</v>
      </c>
      <c r="F48" s="24">
        <f t="shared" si="14"/>
        <v>0.52128571428571446</v>
      </c>
      <c r="G48" s="24">
        <f t="shared" si="15"/>
        <v>0.14285714285714285</v>
      </c>
      <c r="H48" s="24">
        <f t="shared" si="16"/>
        <v>6.2554285714285722</v>
      </c>
      <c r="I48" s="23" t="s">
        <v>469</v>
      </c>
      <c r="J48" s="23">
        <v>180</v>
      </c>
      <c r="K48" s="23">
        <f t="shared" si="17"/>
        <v>480</v>
      </c>
      <c r="L48" s="23">
        <f t="shared" si="18"/>
        <v>247</v>
      </c>
      <c r="M48" s="23">
        <f t="shared" si="19"/>
        <v>235</v>
      </c>
      <c r="N48" s="23">
        <v>25.713999999999999</v>
      </c>
      <c r="O48" s="23">
        <v>1.5625</v>
      </c>
      <c r="P48" s="23">
        <v>14</v>
      </c>
      <c r="Q48" s="23">
        <v>20</v>
      </c>
      <c r="R48" s="23">
        <f t="shared" si="20"/>
        <v>9</v>
      </c>
      <c r="S48" s="23">
        <f t="shared" si="21"/>
        <v>20</v>
      </c>
      <c r="T48" s="23">
        <f t="shared" si="22"/>
        <v>40</v>
      </c>
      <c r="U48" s="23" t="s">
        <v>470</v>
      </c>
      <c r="V48" s="23">
        <f t="shared" si="23"/>
        <v>20</v>
      </c>
      <c r="W48" s="23">
        <f t="shared" si="12"/>
        <v>240</v>
      </c>
      <c r="X48" s="23">
        <v>196.21199999999999</v>
      </c>
      <c r="Y48" s="23">
        <v>84</v>
      </c>
      <c r="Z48" s="23">
        <v>0.625</v>
      </c>
      <c r="AA48" s="23">
        <v>25.713999999999999</v>
      </c>
      <c r="AB48" s="23">
        <v>14</v>
      </c>
      <c r="AC48" s="23">
        <v>196.21199999999999</v>
      </c>
      <c r="AD48" s="23">
        <v>152.42400000000001</v>
      </c>
      <c r="AE48" s="23">
        <v>84</v>
      </c>
      <c r="AF48" s="23">
        <v>0.625</v>
      </c>
      <c r="AG48" s="23">
        <v>36</v>
      </c>
      <c r="AH48" s="23">
        <v>10</v>
      </c>
      <c r="AI48" s="23">
        <v>0</v>
      </c>
      <c r="AJ48" s="23">
        <v>152.42400000000001</v>
      </c>
      <c r="AK48" s="23">
        <v>108.636</v>
      </c>
      <c r="AL48" s="23">
        <v>84</v>
      </c>
      <c r="AM48" s="23">
        <v>0.6875</v>
      </c>
      <c r="AN48" s="23">
        <v>45</v>
      </c>
      <c r="AO48" s="23">
        <v>8</v>
      </c>
      <c r="AP48" s="23">
        <v>0</v>
      </c>
      <c r="AQ48" s="23">
        <v>108.636</v>
      </c>
      <c r="AR48" s="23">
        <v>66.795000000000002</v>
      </c>
      <c r="AS48" s="23">
        <v>80.25</v>
      </c>
      <c r="AT48" s="23">
        <v>0.9375</v>
      </c>
      <c r="AU48" s="23">
        <v>60</v>
      </c>
      <c r="AV48" s="23">
        <v>6</v>
      </c>
      <c r="AW48" s="23"/>
      <c r="AX48" s="23">
        <v>66.795000000000002</v>
      </c>
      <c r="AY48" s="23">
        <v>60</v>
      </c>
      <c r="AZ48" s="23">
        <v>27.75</v>
      </c>
      <c r="BA48" s="23">
        <v>1.0625</v>
      </c>
      <c r="BB48" s="23">
        <v>36</v>
      </c>
      <c r="BC48" s="23">
        <v>10</v>
      </c>
    </row>
    <row r="49" spans="1:55" hidden="1" x14ac:dyDescent="0.25">
      <c r="A49" s="22" t="s">
        <v>532</v>
      </c>
      <c r="B49" s="23">
        <v>500</v>
      </c>
      <c r="C49" s="23">
        <v>25</v>
      </c>
      <c r="D49" s="24">
        <v>25</v>
      </c>
      <c r="E49" s="24">
        <f t="shared" si="13"/>
        <v>25.985500000000002</v>
      </c>
      <c r="F49" s="24">
        <f t="shared" si="14"/>
        <v>0.30935119047619047</v>
      </c>
      <c r="G49" s="24">
        <f t="shared" si="15"/>
        <v>0.14285714285714285</v>
      </c>
      <c r="H49" s="24">
        <f t="shared" si="16"/>
        <v>3.7122142857142859</v>
      </c>
      <c r="I49" s="23" t="s">
        <v>469</v>
      </c>
      <c r="J49" s="23">
        <v>180</v>
      </c>
      <c r="K49" s="23">
        <f t="shared" si="17"/>
        <v>300</v>
      </c>
      <c r="L49" s="23">
        <f t="shared" si="18"/>
        <v>157</v>
      </c>
      <c r="M49" s="23">
        <f t="shared" si="19"/>
        <v>145</v>
      </c>
      <c r="N49" s="23">
        <v>40</v>
      </c>
      <c r="O49" s="23">
        <v>1.625</v>
      </c>
      <c r="P49" s="23">
        <v>9</v>
      </c>
      <c r="Q49" s="23">
        <v>20</v>
      </c>
      <c r="R49" s="23">
        <f t="shared" si="20"/>
        <v>9</v>
      </c>
      <c r="S49" s="23">
        <f t="shared" si="21"/>
        <v>20</v>
      </c>
      <c r="T49" s="23">
        <f t="shared" si="22"/>
        <v>40</v>
      </c>
      <c r="U49" s="23" t="s">
        <v>470</v>
      </c>
      <c r="V49" s="23">
        <f t="shared" si="23"/>
        <v>20</v>
      </c>
      <c r="W49" s="23">
        <f t="shared" si="12"/>
        <v>150</v>
      </c>
      <c r="X49" s="23">
        <v>124.0145</v>
      </c>
      <c r="Y49" s="23">
        <v>84</v>
      </c>
      <c r="Z49" s="23">
        <v>0.625</v>
      </c>
      <c r="AA49" s="23">
        <v>40</v>
      </c>
      <c r="AB49" s="23">
        <v>9</v>
      </c>
      <c r="AC49" s="23">
        <v>124.0145</v>
      </c>
      <c r="AD49" s="23">
        <v>98.028999999999996</v>
      </c>
      <c r="AE49" s="23">
        <v>84</v>
      </c>
      <c r="AF49" s="23">
        <v>0.75</v>
      </c>
      <c r="AG49" s="23">
        <v>60</v>
      </c>
      <c r="AH49" s="23">
        <v>6</v>
      </c>
      <c r="AI49" s="23">
        <v>0</v>
      </c>
      <c r="AJ49" s="23">
        <v>98.028999999999996</v>
      </c>
      <c r="AK49" s="23">
        <v>72.042500000000004</v>
      </c>
      <c r="AL49" s="23">
        <v>84</v>
      </c>
      <c r="AM49" s="23">
        <v>0.875</v>
      </c>
      <c r="AN49" s="23">
        <v>60</v>
      </c>
      <c r="AO49" s="23">
        <v>6</v>
      </c>
      <c r="AP49" s="23">
        <v>0</v>
      </c>
      <c r="AQ49" s="23">
        <v>72.043499999999995</v>
      </c>
      <c r="AR49" s="23">
        <v>62.680100000000003</v>
      </c>
      <c r="AS49" s="23">
        <v>30.25</v>
      </c>
      <c r="AT49" s="23">
        <v>1.0625</v>
      </c>
      <c r="AU49" s="23">
        <v>90</v>
      </c>
      <c r="AV49" s="23">
        <v>4</v>
      </c>
      <c r="AW49" s="23">
        <v>60</v>
      </c>
      <c r="AX49" s="23">
        <v>62.680100000000003</v>
      </c>
      <c r="AY49" s="23">
        <v>60</v>
      </c>
      <c r="AZ49" s="23">
        <v>17.75</v>
      </c>
      <c r="BA49" s="23">
        <v>1.0625</v>
      </c>
      <c r="BB49" s="23">
        <v>36</v>
      </c>
      <c r="BC49" s="23">
        <v>10</v>
      </c>
    </row>
    <row r="50" spans="1:55" hidden="1" x14ac:dyDescent="0.25">
      <c r="A50" s="22" t="s">
        <v>533</v>
      </c>
      <c r="B50" s="23">
        <v>500</v>
      </c>
      <c r="C50" s="23">
        <v>28</v>
      </c>
      <c r="D50" s="24">
        <v>25</v>
      </c>
      <c r="E50" s="24">
        <f t="shared" si="13"/>
        <v>31.373500000000007</v>
      </c>
      <c r="F50" s="24">
        <f t="shared" si="14"/>
        <v>0.3734940476190477</v>
      </c>
      <c r="G50" s="24">
        <f t="shared" si="15"/>
        <v>0.14285714285714285</v>
      </c>
      <c r="H50" s="24">
        <f t="shared" si="16"/>
        <v>4.4819285714285719</v>
      </c>
      <c r="I50" s="23" t="s">
        <v>469</v>
      </c>
      <c r="J50" s="23">
        <v>180</v>
      </c>
      <c r="K50" s="23">
        <f t="shared" si="17"/>
        <v>336</v>
      </c>
      <c r="L50" s="23">
        <f t="shared" si="18"/>
        <v>175</v>
      </c>
      <c r="M50" s="23">
        <f t="shared" si="19"/>
        <v>163</v>
      </c>
      <c r="N50" s="23">
        <v>40</v>
      </c>
      <c r="O50" s="23">
        <v>1.5</v>
      </c>
      <c r="P50" s="23">
        <v>9</v>
      </c>
      <c r="Q50" s="23">
        <v>20</v>
      </c>
      <c r="R50" s="23">
        <f t="shared" si="20"/>
        <v>9</v>
      </c>
      <c r="S50" s="23">
        <f t="shared" si="21"/>
        <v>20</v>
      </c>
      <c r="T50" s="23">
        <f t="shared" si="22"/>
        <v>40</v>
      </c>
      <c r="U50" s="23" t="s">
        <v>470</v>
      </c>
      <c r="V50" s="23">
        <f t="shared" si="23"/>
        <v>20</v>
      </c>
      <c r="W50" s="23">
        <f t="shared" si="12"/>
        <v>168</v>
      </c>
      <c r="X50" s="23">
        <v>136.62649999999999</v>
      </c>
      <c r="Y50" s="23">
        <v>84</v>
      </c>
      <c r="Z50" s="23">
        <v>0.625</v>
      </c>
      <c r="AA50" s="23">
        <v>40</v>
      </c>
      <c r="AB50" s="23">
        <v>9</v>
      </c>
      <c r="AC50" s="23">
        <v>136.62649999999999</v>
      </c>
      <c r="AD50" s="23">
        <v>105.2529</v>
      </c>
      <c r="AE50" s="23">
        <v>84</v>
      </c>
      <c r="AF50" s="23">
        <v>0.6875</v>
      </c>
      <c r="AG50" s="23">
        <v>60</v>
      </c>
      <c r="AH50" s="23">
        <v>6</v>
      </c>
      <c r="AI50" s="23">
        <v>0</v>
      </c>
      <c r="AJ50" s="23">
        <v>105.2529</v>
      </c>
      <c r="AK50" s="23">
        <v>73.879400000000004</v>
      </c>
      <c r="AL50" s="23">
        <v>84</v>
      </c>
      <c r="AM50" s="23">
        <v>0.75</v>
      </c>
      <c r="AN50" s="23">
        <v>60</v>
      </c>
      <c r="AO50" s="23">
        <v>6</v>
      </c>
      <c r="AP50" s="23">
        <v>0</v>
      </c>
      <c r="AQ50" s="23">
        <v>73.879400000000004</v>
      </c>
      <c r="AR50" s="23">
        <v>63.792499999999997</v>
      </c>
      <c r="AS50" s="23">
        <v>27</v>
      </c>
      <c r="AT50" s="23">
        <v>0.8125</v>
      </c>
      <c r="AU50" s="23">
        <v>90</v>
      </c>
      <c r="AV50" s="23">
        <v>4</v>
      </c>
      <c r="AW50" s="23">
        <v>60</v>
      </c>
      <c r="AX50" s="23">
        <v>63.792499999999997</v>
      </c>
      <c r="AY50" s="23">
        <v>60</v>
      </c>
      <c r="AZ50" s="23">
        <v>21</v>
      </c>
      <c r="BA50" s="23">
        <v>0.8125</v>
      </c>
      <c r="BB50" s="23">
        <v>36</v>
      </c>
      <c r="BC50" s="23">
        <v>10</v>
      </c>
    </row>
    <row r="51" spans="1:55" hidden="1" x14ac:dyDescent="0.25">
      <c r="A51" s="22" t="s">
        <v>534</v>
      </c>
      <c r="B51" s="23">
        <v>500</v>
      </c>
      <c r="C51" s="23">
        <v>30</v>
      </c>
      <c r="D51" s="24">
        <v>30</v>
      </c>
      <c r="E51" s="24">
        <f t="shared" si="13"/>
        <v>28.800000000000011</v>
      </c>
      <c r="F51" s="24">
        <f t="shared" si="14"/>
        <v>0.34285714285714297</v>
      </c>
      <c r="G51" s="24">
        <f t="shared" si="15"/>
        <v>0.14285714285714285</v>
      </c>
      <c r="H51" s="24">
        <f t="shared" si="16"/>
        <v>4.1142857142857157</v>
      </c>
      <c r="I51" s="23" t="s">
        <v>469</v>
      </c>
      <c r="J51" s="23">
        <v>180</v>
      </c>
      <c r="K51" s="23">
        <f t="shared" si="17"/>
        <v>360</v>
      </c>
      <c r="L51" s="23">
        <f t="shared" si="18"/>
        <v>187</v>
      </c>
      <c r="M51" s="23">
        <f t="shared" si="19"/>
        <v>175</v>
      </c>
      <c r="N51" s="23">
        <v>30</v>
      </c>
      <c r="O51" s="23">
        <v>1.5</v>
      </c>
      <c r="P51" s="23">
        <v>12</v>
      </c>
      <c r="Q51" s="23">
        <v>20</v>
      </c>
      <c r="R51" s="23">
        <f t="shared" si="20"/>
        <v>9</v>
      </c>
      <c r="S51" s="23">
        <f t="shared" si="21"/>
        <v>20</v>
      </c>
      <c r="T51" s="23">
        <f t="shared" si="22"/>
        <v>40</v>
      </c>
      <c r="U51" s="23" t="s">
        <v>470</v>
      </c>
      <c r="V51" s="23">
        <f t="shared" si="23"/>
        <v>20</v>
      </c>
      <c r="W51" s="23">
        <f t="shared" si="12"/>
        <v>180</v>
      </c>
      <c r="X51" s="23">
        <v>151.19999999999999</v>
      </c>
      <c r="Y51" s="23">
        <v>84</v>
      </c>
      <c r="Z51" s="23">
        <v>0.5625</v>
      </c>
      <c r="AA51" s="23">
        <v>30</v>
      </c>
      <c r="AB51" s="23">
        <v>12</v>
      </c>
      <c r="AC51" s="23">
        <v>151.19999999999999</v>
      </c>
      <c r="AD51" s="23">
        <v>122.4</v>
      </c>
      <c r="AE51" s="23">
        <v>84</v>
      </c>
      <c r="AF51" s="23">
        <v>0.625</v>
      </c>
      <c r="AG51" s="23">
        <v>45</v>
      </c>
      <c r="AH51" s="23">
        <v>8</v>
      </c>
      <c r="AI51" s="23">
        <v>0</v>
      </c>
      <c r="AJ51" s="23">
        <v>122.4</v>
      </c>
      <c r="AK51" s="23">
        <v>92.914299999999997</v>
      </c>
      <c r="AL51" s="23">
        <v>86</v>
      </c>
      <c r="AM51" s="23">
        <v>0.6875</v>
      </c>
      <c r="AN51" s="23">
        <v>60</v>
      </c>
      <c r="AO51" s="23">
        <v>6</v>
      </c>
      <c r="AP51" s="23">
        <v>0</v>
      </c>
      <c r="AQ51" s="23">
        <v>92.914299999999997</v>
      </c>
      <c r="AR51" s="23">
        <v>63.243200000000002</v>
      </c>
      <c r="AS51" s="23">
        <v>86.5625</v>
      </c>
      <c r="AT51" s="23">
        <v>0.75</v>
      </c>
      <c r="AU51" s="23">
        <v>90</v>
      </c>
      <c r="AV51" s="23">
        <v>4</v>
      </c>
      <c r="AW51" s="23">
        <v>60</v>
      </c>
      <c r="AX51" s="23">
        <v>63.243200000000002</v>
      </c>
      <c r="AY51" s="23">
        <v>60</v>
      </c>
      <c r="AZ51" s="23">
        <v>19.4375</v>
      </c>
      <c r="BA51" s="23">
        <v>0.8125</v>
      </c>
      <c r="BB51" s="23">
        <v>36</v>
      </c>
      <c r="BC51" s="23">
        <v>10</v>
      </c>
    </row>
    <row r="52" spans="1:55" hidden="1" x14ac:dyDescent="0.25">
      <c r="A52" s="22" t="s">
        <v>535</v>
      </c>
      <c r="B52" s="23">
        <v>500</v>
      </c>
      <c r="C52" s="23">
        <v>32</v>
      </c>
      <c r="D52" s="24">
        <v>25</v>
      </c>
      <c r="E52" s="24">
        <f t="shared" si="13"/>
        <v>38.653300000000002</v>
      </c>
      <c r="F52" s="24">
        <f t="shared" si="14"/>
        <v>0.46015833333333334</v>
      </c>
      <c r="G52" s="24">
        <f t="shared" si="15"/>
        <v>0.14285714285714285</v>
      </c>
      <c r="H52" s="24">
        <f t="shared" si="16"/>
        <v>5.5218999999999996</v>
      </c>
      <c r="I52" s="23" t="s">
        <v>469</v>
      </c>
      <c r="J52" s="23">
        <v>180</v>
      </c>
      <c r="K52" s="23">
        <f t="shared" si="17"/>
        <v>384</v>
      </c>
      <c r="L52" s="23">
        <f t="shared" si="18"/>
        <v>199</v>
      </c>
      <c r="M52" s="23">
        <f t="shared" si="19"/>
        <v>187</v>
      </c>
      <c r="N52" s="23">
        <v>30</v>
      </c>
      <c r="O52" s="23">
        <v>1.6875</v>
      </c>
      <c r="P52" s="23">
        <v>12</v>
      </c>
      <c r="Q52" s="23">
        <v>20</v>
      </c>
      <c r="R52" s="23">
        <f t="shared" si="20"/>
        <v>9</v>
      </c>
      <c r="S52" s="23">
        <f t="shared" si="21"/>
        <v>20</v>
      </c>
      <c r="T52" s="23">
        <f t="shared" si="22"/>
        <v>40</v>
      </c>
      <c r="U52" s="23" t="s">
        <v>470</v>
      </c>
      <c r="V52" s="23">
        <f t="shared" si="23"/>
        <v>20</v>
      </c>
      <c r="W52" s="23">
        <f t="shared" si="12"/>
        <v>192</v>
      </c>
      <c r="X52" s="23">
        <v>153.3467</v>
      </c>
      <c r="Y52" s="23">
        <v>84</v>
      </c>
      <c r="Z52" s="23">
        <v>0.625</v>
      </c>
      <c r="AA52" s="23">
        <v>30</v>
      </c>
      <c r="AB52" s="23">
        <v>12</v>
      </c>
      <c r="AC52" s="23">
        <v>153.3467</v>
      </c>
      <c r="AD52" s="23">
        <v>114.69329999999999</v>
      </c>
      <c r="AE52" s="23">
        <v>84</v>
      </c>
      <c r="AF52" s="23">
        <v>0.6875</v>
      </c>
      <c r="AG52" s="23">
        <v>36</v>
      </c>
      <c r="AH52" s="23">
        <v>10</v>
      </c>
      <c r="AI52" s="23">
        <v>0</v>
      </c>
      <c r="AJ52" s="23">
        <v>114.69329999999999</v>
      </c>
      <c r="AK52" s="23">
        <v>76.040000000000006</v>
      </c>
      <c r="AL52" s="23">
        <v>84</v>
      </c>
      <c r="AM52" s="23">
        <v>0.75</v>
      </c>
      <c r="AN52" s="23">
        <v>45</v>
      </c>
      <c r="AO52" s="23">
        <v>8</v>
      </c>
      <c r="AP52" s="23">
        <v>0</v>
      </c>
      <c r="AQ52" s="23">
        <v>76.040000000000006</v>
      </c>
      <c r="AR52" s="23">
        <v>65.493899999999996</v>
      </c>
      <c r="AS52" s="23">
        <v>22.9375</v>
      </c>
      <c r="AT52" s="23">
        <v>0.8125</v>
      </c>
      <c r="AU52" s="23">
        <v>90</v>
      </c>
      <c r="AV52" s="23">
        <v>4</v>
      </c>
      <c r="AW52" s="23">
        <v>60</v>
      </c>
      <c r="AX52" s="23">
        <v>65.493899999999996</v>
      </c>
      <c r="AY52" s="23">
        <v>60</v>
      </c>
      <c r="AZ52" s="23">
        <v>25.0625</v>
      </c>
      <c r="BA52" s="23">
        <v>0.8125</v>
      </c>
      <c r="BB52" s="23">
        <v>36</v>
      </c>
      <c r="BC52" s="23">
        <v>10</v>
      </c>
    </row>
    <row r="53" spans="1:55" hidden="1" x14ac:dyDescent="0.25">
      <c r="A53" s="22" t="s">
        <v>536</v>
      </c>
      <c r="B53" s="23">
        <v>500</v>
      </c>
      <c r="C53" s="23">
        <v>32</v>
      </c>
      <c r="D53" s="24">
        <v>28</v>
      </c>
      <c r="E53" s="24">
        <f t="shared" si="13"/>
        <v>34.145399999999995</v>
      </c>
      <c r="F53" s="24">
        <f t="shared" si="14"/>
        <v>0.4064928571428571</v>
      </c>
      <c r="G53" s="24">
        <f t="shared" si="15"/>
        <v>0.14285714285714285</v>
      </c>
      <c r="H53" s="24">
        <f t="shared" si="16"/>
        <v>4.8779142857142848</v>
      </c>
      <c r="I53" s="23" t="s">
        <v>469</v>
      </c>
      <c r="J53" s="23">
        <v>180</v>
      </c>
      <c r="K53" s="23">
        <f t="shared" si="17"/>
        <v>384</v>
      </c>
      <c r="L53" s="23">
        <f t="shared" si="18"/>
        <v>199</v>
      </c>
      <c r="M53" s="23">
        <f t="shared" si="19"/>
        <v>187</v>
      </c>
      <c r="N53" s="23">
        <v>30</v>
      </c>
      <c r="O53" s="23">
        <v>2.875</v>
      </c>
      <c r="P53" s="23">
        <v>12</v>
      </c>
      <c r="Q53" s="23">
        <v>20</v>
      </c>
      <c r="R53" s="23">
        <f t="shared" si="20"/>
        <v>9</v>
      </c>
      <c r="S53" s="23">
        <f t="shared" si="21"/>
        <v>20</v>
      </c>
      <c r="T53" s="23">
        <f t="shared" si="22"/>
        <v>40</v>
      </c>
      <c r="U53" s="23" t="s">
        <v>470</v>
      </c>
      <c r="V53" s="23">
        <f t="shared" si="23"/>
        <v>20</v>
      </c>
      <c r="W53" s="23">
        <f t="shared" si="12"/>
        <v>192</v>
      </c>
      <c r="X53" s="23">
        <v>157.8546</v>
      </c>
      <c r="Y53" s="23">
        <v>84</v>
      </c>
      <c r="Z53" s="23">
        <v>0.625</v>
      </c>
      <c r="AA53" s="23">
        <v>30</v>
      </c>
      <c r="AB53" s="23">
        <v>12</v>
      </c>
      <c r="AC53" s="23">
        <v>157.8546</v>
      </c>
      <c r="AD53" s="23">
        <v>123.7672</v>
      </c>
      <c r="AE53" s="23">
        <v>84</v>
      </c>
      <c r="AF53" s="23">
        <v>0.6825</v>
      </c>
      <c r="AG53" s="23">
        <v>40</v>
      </c>
      <c r="AH53" s="23">
        <v>9</v>
      </c>
      <c r="AI53" s="23">
        <v>0</v>
      </c>
      <c r="AJ53" s="23">
        <v>123.7672</v>
      </c>
      <c r="AK53" s="23">
        <v>89.6798</v>
      </c>
      <c r="AL53" s="23">
        <v>84</v>
      </c>
      <c r="AM53" s="23">
        <v>0.625</v>
      </c>
      <c r="AN53" s="23">
        <v>45</v>
      </c>
      <c r="AO53" s="23">
        <v>8</v>
      </c>
      <c r="AP53" s="23">
        <v>0</v>
      </c>
      <c r="AQ53" s="23">
        <v>89.6798</v>
      </c>
      <c r="AR53" s="23">
        <v>65.852699999999999</v>
      </c>
      <c r="AS53" s="23">
        <v>57.9375</v>
      </c>
      <c r="AT53" s="23">
        <v>1.0625</v>
      </c>
      <c r="AU53" s="23">
        <v>60</v>
      </c>
      <c r="AV53" s="23">
        <v>6</v>
      </c>
      <c r="AW53" s="23">
        <v>60</v>
      </c>
      <c r="AX53" s="23">
        <v>65.852699999999999</v>
      </c>
      <c r="AY53" s="23">
        <v>60</v>
      </c>
      <c r="AZ53" s="23">
        <v>26.0625</v>
      </c>
      <c r="BA53" s="23">
        <v>1.0625</v>
      </c>
      <c r="BB53" s="23">
        <v>36</v>
      </c>
      <c r="BC53" s="23">
        <v>10</v>
      </c>
    </row>
    <row r="54" spans="1:55" hidden="1" x14ac:dyDescent="0.25">
      <c r="A54" s="22" t="s">
        <v>537</v>
      </c>
      <c r="B54" s="23">
        <v>500</v>
      </c>
      <c r="C54" s="23">
        <v>32</v>
      </c>
      <c r="D54" s="24">
        <v>30</v>
      </c>
      <c r="E54" s="24">
        <f t="shared" si="13"/>
        <v>31.767699999999991</v>
      </c>
      <c r="F54" s="24">
        <f t="shared" si="14"/>
        <v>0.37818690476190464</v>
      </c>
      <c r="G54" s="24">
        <f t="shared" si="15"/>
        <v>0.14285714285714285</v>
      </c>
      <c r="H54" s="24">
        <f t="shared" si="16"/>
        <v>4.5382428571428557</v>
      </c>
      <c r="I54" s="23" t="s">
        <v>469</v>
      </c>
      <c r="J54" s="23">
        <v>180</v>
      </c>
      <c r="K54" s="23">
        <f t="shared" si="17"/>
        <v>384</v>
      </c>
      <c r="L54" s="23">
        <f t="shared" si="18"/>
        <v>199</v>
      </c>
      <c r="M54" s="23">
        <f t="shared" si="19"/>
        <v>187</v>
      </c>
      <c r="N54" s="23">
        <v>30</v>
      </c>
      <c r="O54" s="23">
        <v>1.25</v>
      </c>
      <c r="P54" s="23">
        <v>12</v>
      </c>
      <c r="Q54" s="23">
        <v>20</v>
      </c>
      <c r="R54" s="23">
        <f t="shared" si="20"/>
        <v>9</v>
      </c>
      <c r="S54" s="23">
        <f t="shared" si="21"/>
        <v>20</v>
      </c>
      <c r="T54" s="23">
        <f t="shared" si="22"/>
        <v>40</v>
      </c>
      <c r="U54" s="23" t="s">
        <v>470</v>
      </c>
      <c r="V54" s="23">
        <f t="shared" si="23"/>
        <v>20</v>
      </c>
      <c r="W54" s="23">
        <f t="shared" si="12"/>
        <v>192</v>
      </c>
      <c r="X54" s="23">
        <v>160.23230000000001</v>
      </c>
      <c r="Y54" s="23">
        <v>84</v>
      </c>
      <c r="Z54" s="23">
        <v>0.5625</v>
      </c>
      <c r="AA54" s="23">
        <v>30</v>
      </c>
      <c r="AB54" s="23">
        <v>12</v>
      </c>
      <c r="AC54" s="23">
        <v>160.23230000000001</v>
      </c>
      <c r="AD54" s="23">
        <v>128.46449999999999</v>
      </c>
      <c r="AE54" s="23">
        <v>84</v>
      </c>
      <c r="AF54" s="23">
        <v>0.625</v>
      </c>
      <c r="AG54" s="23">
        <v>36</v>
      </c>
      <c r="AH54" s="23">
        <v>10</v>
      </c>
      <c r="AI54" s="23">
        <v>0</v>
      </c>
      <c r="AJ54" s="23">
        <v>128.46449999999999</v>
      </c>
      <c r="AK54" s="23">
        <v>96.696799999999996</v>
      </c>
      <c r="AL54" s="23">
        <v>84</v>
      </c>
      <c r="AM54" s="23">
        <v>0.75</v>
      </c>
      <c r="AN54" s="23">
        <v>45</v>
      </c>
      <c r="AO54" s="23">
        <v>8</v>
      </c>
      <c r="AP54" s="23">
        <v>0</v>
      </c>
      <c r="AQ54" s="23">
        <v>96.696799999999996</v>
      </c>
      <c r="AR54" s="23">
        <v>63.879300000000001</v>
      </c>
      <c r="AS54" s="23">
        <v>86.75</v>
      </c>
      <c r="AT54" s="23">
        <v>0.6875</v>
      </c>
      <c r="AU54" s="23">
        <v>60</v>
      </c>
      <c r="AV54" s="23">
        <v>6</v>
      </c>
      <c r="AW54" s="23">
        <v>60</v>
      </c>
      <c r="AX54" s="23">
        <v>63.879300000000001</v>
      </c>
      <c r="AY54" s="23">
        <v>60</v>
      </c>
      <c r="AZ54" s="23">
        <v>21.25</v>
      </c>
      <c r="BA54" s="23">
        <v>1.25</v>
      </c>
      <c r="BB54" s="23">
        <v>36</v>
      </c>
      <c r="BC54" s="23">
        <v>10</v>
      </c>
    </row>
    <row r="55" spans="1:55" hidden="1" x14ac:dyDescent="0.25">
      <c r="A55" s="22" t="s">
        <v>538</v>
      </c>
      <c r="B55" s="23">
        <v>500</v>
      </c>
      <c r="C55" s="23">
        <v>34</v>
      </c>
      <c r="D55" s="24">
        <v>30</v>
      </c>
      <c r="E55" s="24">
        <f t="shared" si="13"/>
        <v>34.747099999999989</v>
      </c>
      <c r="F55" s="24">
        <f t="shared" si="14"/>
        <v>0.41365595238095226</v>
      </c>
      <c r="G55" s="24">
        <f t="shared" si="15"/>
        <v>0.14285714285714285</v>
      </c>
      <c r="H55" s="24">
        <f t="shared" si="16"/>
        <v>4.9638714285714265</v>
      </c>
      <c r="I55" s="23" t="s">
        <v>469</v>
      </c>
      <c r="J55" s="23">
        <v>180</v>
      </c>
      <c r="K55" s="23">
        <f t="shared" si="17"/>
        <v>408</v>
      </c>
      <c r="L55" s="23">
        <f t="shared" si="18"/>
        <v>211</v>
      </c>
      <c r="M55" s="23">
        <f t="shared" si="19"/>
        <v>199</v>
      </c>
      <c r="N55" s="23">
        <v>30</v>
      </c>
      <c r="O55" s="23">
        <v>1.5</v>
      </c>
      <c r="P55" s="23">
        <v>12</v>
      </c>
      <c r="Q55" s="23">
        <v>20</v>
      </c>
      <c r="R55" s="23">
        <f t="shared" si="20"/>
        <v>9</v>
      </c>
      <c r="S55" s="23">
        <f t="shared" si="21"/>
        <v>20</v>
      </c>
      <c r="T55" s="23">
        <f t="shared" si="22"/>
        <v>40</v>
      </c>
      <c r="U55" s="23" t="s">
        <v>470</v>
      </c>
      <c r="V55" s="23">
        <f t="shared" si="23"/>
        <v>20</v>
      </c>
      <c r="W55" s="23">
        <f t="shared" si="12"/>
        <v>204</v>
      </c>
      <c r="X55" s="23">
        <v>169.25290000000001</v>
      </c>
      <c r="Y55" s="23">
        <v>84</v>
      </c>
      <c r="Z55" s="23">
        <v>0.625</v>
      </c>
      <c r="AA55" s="23">
        <v>30</v>
      </c>
      <c r="AB55" s="23">
        <v>12</v>
      </c>
      <c r="AC55" s="23">
        <v>169.25290000000001</v>
      </c>
      <c r="AD55" s="23">
        <v>134.50579999999999</v>
      </c>
      <c r="AE55" s="23">
        <v>84</v>
      </c>
      <c r="AF55" s="23">
        <v>0.6875</v>
      </c>
      <c r="AG55" s="23">
        <v>40</v>
      </c>
      <c r="AH55" s="23">
        <v>9</v>
      </c>
      <c r="AI55" s="23">
        <v>0</v>
      </c>
      <c r="AJ55" s="23">
        <v>134.50579999999999</v>
      </c>
      <c r="AK55" s="23">
        <v>99.758600000000001</v>
      </c>
      <c r="AL55" s="23">
        <v>84</v>
      </c>
      <c r="AM55" s="23">
        <v>0.6875</v>
      </c>
      <c r="AN55" s="23">
        <v>45</v>
      </c>
      <c r="AO55" s="23">
        <v>8</v>
      </c>
      <c r="AP55" s="23">
        <v>0</v>
      </c>
      <c r="AQ55" s="23">
        <v>99.758600000000001</v>
      </c>
      <c r="AR55" s="23">
        <v>64.5625</v>
      </c>
      <c r="AS55" s="23">
        <v>85.0625</v>
      </c>
      <c r="AT55" s="23">
        <v>0.75</v>
      </c>
      <c r="AU55" s="23">
        <v>60</v>
      </c>
      <c r="AV55" s="23">
        <v>6</v>
      </c>
      <c r="AW55" s="23">
        <v>60</v>
      </c>
      <c r="AX55" s="23">
        <v>64.5625</v>
      </c>
      <c r="AY55" s="23">
        <v>60</v>
      </c>
      <c r="AZ55" s="23">
        <v>22.9375</v>
      </c>
      <c r="BA55" s="23">
        <v>0.81125000000000003</v>
      </c>
      <c r="BB55" s="23">
        <v>36</v>
      </c>
      <c r="BC55" s="23">
        <v>10</v>
      </c>
    </row>
    <row r="56" spans="1:55" hidden="1" x14ac:dyDescent="0.25">
      <c r="A56" s="22" t="s">
        <v>539</v>
      </c>
      <c r="B56" s="23">
        <v>500</v>
      </c>
      <c r="C56" s="23">
        <v>38</v>
      </c>
      <c r="D56" s="24">
        <v>30</v>
      </c>
      <c r="E56" s="24">
        <f t="shared" si="13"/>
        <v>40.761200000000002</v>
      </c>
      <c r="F56" s="24">
        <f t="shared" si="14"/>
        <v>0.48525238095238099</v>
      </c>
      <c r="G56" s="24">
        <f t="shared" si="15"/>
        <v>0.14285714285714285</v>
      </c>
      <c r="H56" s="24">
        <f t="shared" si="16"/>
        <v>5.823028571428571</v>
      </c>
      <c r="I56" s="23" t="s">
        <v>469</v>
      </c>
      <c r="J56" s="23">
        <v>180</v>
      </c>
      <c r="K56" s="23">
        <f t="shared" si="17"/>
        <v>456</v>
      </c>
      <c r="L56" s="23">
        <f t="shared" si="18"/>
        <v>235</v>
      </c>
      <c r="M56" s="23">
        <f t="shared" si="19"/>
        <v>223</v>
      </c>
      <c r="N56" s="23">
        <v>22.5</v>
      </c>
      <c r="O56" s="23">
        <v>1.625</v>
      </c>
      <c r="P56" s="23">
        <v>16</v>
      </c>
      <c r="Q56" s="23">
        <v>20</v>
      </c>
      <c r="R56" s="23">
        <f t="shared" si="20"/>
        <v>9</v>
      </c>
      <c r="S56" s="23">
        <f t="shared" si="21"/>
        <v>20</v>
      </c>
      <c r="T56" s="23">
        <f t="shared" si="22"/>
        <v>40</v>
      </c>
      <c r="U56" s="23" t="s">
        <v>470</v>
      </c>
      <c r="V56" s="23">
        <f t="shared" si="23"/>
        <v>20</v>
      </c>
      <c r="W56" s="23">
        <f t="shared" si="12"/>
        <v>228</v>
      </c>
      <c r="X56" s="23">
        <v>187.2388</v>
      </c>
      <c r="Y56" s="23">
        <v>84</v>
      </c>
      <c r="Z56" s="23">
        <v>0.6875</v>
      </c>
      <c r="AA56" s="23">
        <v>22.5</v>
      </c>
      <c r="AB56" s="23">
        <v>16</v>
      </c>
      <c r="AC56" s="23">
        <v>187.2388</v>
      </c>
      <c r="AD56" s="23">
        <v>146.47749999999999</v>
      </c>
      <c r="AE56" s="23">
        <v>84</v>
      </c>
      <c r="AF56" s="23">
        <v>0.6875</v>
      </c>
      <c r="AG56" s="23">
        <v>30</v>
      </c>
      <c r="AH56" s="23">
        <v>12</v>
      </c>
      <c r="AI56" s="23">
        <v>0</v>
      </c>
      <c r="AJ56" s="23">
        <v>146.47749999999999</v>
      </c>
      <c r="AK56" s="23">
        <v>105.7163</v>
      </c>
      <c r="AL56" s="23">
        <v>84</v>
      </c>
      <c r="AM56" s="23">
        <v>0.75</v>
      </c>
      <c r="AN56" s="23">
        <v>36</v>
      </c>
      <c r="AO56" s="23">
        <v>10</v>
      </c>
      <c r="AP56" s="23">
        <v>0</v>
      </c>
      <c r="AQ56" s="23">
        <v>105.7163</v>
      </c>
      <c r="AR56" s="23">
        <v>66.0197</v>
      </c>
      <c r="AS56" s="23">
        <v>81.8125</v>
      </c>
      <c r="AT56" s="23">
        <v>1</v>
      </c>
      <c r="AU56" s="23">
        <v>45</v>
      </c>
      <c r="AV56" s="23">
        <v>8</v>
      </c>
      <c r="AW56" s="23">
        <v>60</v>
      </c>
      <c r="AX56" s="23">
        <v>66.0197</v>
      </c>
      <c r="AY56" s="23">
        <v>60</v>
      </c>
      <c r="AZ56" s="23">
        <v>26.1875</v>
      </c>
      <c r="BA56" s="23">
        <v>1.25</v>
      </c>
      <c r="BB56" s="23">
        <v>36</v>
      </c>
      <c r="BC56" s="23">
        <v>10</v>
      </c>
    </row>
    <row r="57" spans="1:55" hidden="1" x14ac:dyDescent="0.25">
      <c r="A57" s="22" t="s">
        <v>540</v>
      </c>
      <c r="B57" s="23">
        <v>500</v>
      </c>
      <c r="C57" s="23">
        <v>40</v>
      </c>
      <c r="D57" s="24">
        <v>30</v>
      </c>
      <c r="E57" s="24">
        <f t="shared" si="13"/>
        <v>40.761200000000002</v>
      </c>
      <c r="F57" s="24">
        <f t="shared" si="14"/>
        <v>0.48525238095238099</v>
      </c>
      <c r="G57" s="24">
        <f t="shared" si="15"/>
        <v>0.14285714285714285</v>
      </c>
      <c r="H57" s="24">
        <f t="shared" si="16"/>
        <v>5.823028571428571</v>
      </c>
      <c r="I57" s="23" t="s">
        <v>469</v>
      </c>
      <c r="J57" s="23">
        <v>180</v>
      </c>
      <c r="K57" s="23">
        <f t="shared" si="17"/>
        <v>480</v>
      </c>
      <c r="L57" s="23">
        <f t="shared" si="18"/>
        <v>247</v>
      </c>
      <c r="M57" s="23">
        <f t="shared" si="19"/>
        <v>235</v>
      </c>
      <c r="N57" s="23">
        <v>22.5</v>
      </c>
      <c r="O57" s="23">
        <v>1.8125</v>
      </c>
      <c r="P57" s="23">
        <v>16</v>
      </c>
      <c r="Q57" s="23">
        <v>20</v>
      </c>
      <c r="R57" s="23">
        <f t="shared" si="20"/>
        <v>9</v>
      </c>
      <c r="S57" s="23">
        <f t="shared" si="21"/>
        <v>20</v>
      </c>
      <c r="T57" s="23">
        <f t="shared" si="22"/>
        <v>40</v>
      </c>
      <c r="U57" s="23" t="s">
        <v>470</v>
      </c>
      <c r="V57" s="23">
        <f t="shared" si="23"/>
        <v>20</v>
      </c>
      <c r="W57" s="23">
        <f t="shared" si="12"/>
        <v>240</v>
      </c>
      <c r="X57" s="23">
        <v>199.2388</v>
      </c>
      <c r="Y57" s="23">
        <v>84</v>
      </c>
      <c r="Z57" s="23">
        <v>0.6875</v>
      </c>
      <c r="AA57" s="23">
        <v>22.5</v>
      </c>
      <c r="AB57" s="23">
        <v>16</v>
      </c>
      <c r="AC57" s="23">
        <v>19932388</v>
      </c>
      <c r="AD57" s="23">
        <v>158.47749999999999</v>
      </c>
      <c r="AE57" s="23">
        <v>84</v>
      </c>
      <c r="AF57" s="23">
        <v>0.6875</v>
      </c>
      <c r="AG57" s="23">
        <v>30</v>
      </c>
      <c r="AH57" s="23">
        <v>12</v>
      </c>
      <c r="AI57" s="23">
        <v>0</v>
      </c>
      <c r="AJ57" s="23">
        <v>158.47749999999999</v>
      </c>
      <c r="AK57" s="23">
        <v>117.7163</v>
      </c>
      <c r="AL57" s="23">
        <v>84</v>
      </c>
      <c r="AM57" s="23">
        <v>0.8125</v>
      </c>
      <c r="AN57" s="23">
        <v>36</v>
      </c>
      <c r="AO57" s="23">
        <v>10</v>
      </c>
      <c r="AP57" s="23">
        <v>0</v>
      </c>
      <c r="AQ57" s="23">
        <v>117.7163</v>
      </c>
      <c r="AR57" s="23">
        <v>78.0197</v>
      </c>
      <c r="AS57" s="23">
        <v>81.8125</v>
      </c>
      <c r="AT57" s="23">
        <v>1.0625</v>
      </c>
      <c r="AU57" s="23">
        <v>45</v>
      </c>
      <c r="AV57" s="23">
        <v>8</v>
      </c>
      <c r="AW57" s="23">
        <v>72</v>
      </c>
      <c r="AX57" s="23">
        <v>78.0197</v>
      </c>
      <c r="AY57" s="23">
        <v>72</v>
      </c>
      <c r="AZ57" s="23">
        <v>26.1875</v>
      </c>
      <c r="BA57" s="23">
        <v>1.25</v>
      </c>
      <c r="BB57" s="23">
        <v>36</v>
      </c>
      <c r="BC57" s="23">
        <v>10</v>
      </c>
    </row>
    <row r="58" spans="1:55" hidden="1" x14ac:dyDescent="0.25">
      <c r="A58" s="22" t="s">
        <v>542</v>
      </c>
      <c r="B58" s="23">
        <v>600</v>
      </c>
      <c r="C58" s="23">
        <v>28</v>
      </c>
      <c r="D58" s="24">
        <v>25</v>
      </c>
      <c r="E58" s="24">
        <f t="shared" si="13"/>
        <v>31.373500000000007</v>
      </c>
      <c r="F58" s="24">
        <f t="shared" si="14"/>
        <v>0.3734940476190477</v>
      </c>
      <c r="G58" s="24">
        <f t="shared" si="15"/>
        <v>0.14285714285714285</v>
      </c>
      <c r="H58" s="24">
        <f t="shared" si="16"/>
        <v>4.4819285714285719</v>
      </c>
      <c r="I58" s="23" t="s">
        <v>469</v>
      </c>
      <c r="J58" s="23">
        <v>180</v>
      </c>
      <c r="K58" s="23">
        <f t="shared" si="17"/>
        <v>336</v>
      </c>
      <c r="L58" s="23">
        <f t="shared" si="18"/>
        <v>175</v>
      </c>
      <c r="M58" s="23">
        <f t="shared" si="19"/>
        <v>163</v>
      </c>
      <c r="N58" s="23">
        <v>40</v>
      </c>
      <c r="O58" s="23">
        <v>1.75</v>
      </c>
      <c r="P58" s="23">
        <v>9</v>
      </c>
      <c r="Q58" s="23">
        <v>16</v>
      </c>
      <c r="R58" s="23">
        <f t="shared" si="20"/>
        <v>11.25</v>
      </c>
      <c r="S58" s="23">
        <f t="shared" si="21"/>
        <v>16</v>
      </c>
      <c r="T58" s="23">
        <f t="shared" si="22"/>
        <v>32</v>
      </c>
      <c r="U58" s="23" t="s">
        <v>470</v>
      </c>
      <c r="V58" s="23">
        <f t="shared" si="23"/>
        <v>16</v>
      </c>
      <c r="W58" s="23">
        <f t="shared" si="12"/>
        <v>168</v>
      </c>
      <c r="X58" s="23">
        <v>136.62649999999999</v>
      </c>
      <c r="Y58" s="23">
        <v>84</v>
      </c>
      <c r="Z58" s="23">
        <v>0.6875</v>
      </c>
      <c r="AA58" s="23">
        <v>40</v>
      </c>
      <c r="AB58" s="23">
        <v>9</v>
      </c>
      <c r="AC58" s="23">
        <v>136.62649999999999</v>
      </c>
      <c r="AD58" s="23">
        <v>105.2529</v>
      </c>
      <c r="AE58" s="23">
        <v>84</v>
      </c>
      <c r="AF58" s="23">
        <v>0.8125</v>
      </c>
      <c r="AG58" s="23">
        <v>60</v>
      </c>
      <c r="AH58" s="23">
        <v>6</v>
      </c>
      <c r="AI58" s="23">
        <v>0</v>
      </c>
      <c r="AJ58" s="23">
        <v>105.2529</v>
      </c>
      <c r="AK58" s="23">
        <v>73.879400000000004</v>
      </c>
      <c r="AL58" s="23">
        <v>84</v>
      </c>
      <c r="AM58" s="23">
        <v>0.875</v>
      </c>
      <c r="AN58" s="23">
        <v>60</v>
      </c>
      <c r="AO58" s="23">
        <v>6</v>
      </c>
      <c r="AP58" s="23">
        <v>0</v>
      </c>
      <c r="AQ58" s="23">
        <v>73.879400000000004</v>
      </c>
      <c r="AR58" s="23">
        <v>63.792499999999997</v>
      </c>
      <c r="AS58" s="23">
        <v>27</v>
      </c>
      <c r="AT58" s="23">
        <v>1.125</v>
      </c>
      <c r="AU58" s="23">
        <v>90</v>
      </c>
      <c r="AV58" s="23">
        <v>4</v>
      </c>
      <c r="AW58" s="23">
        <v>60</v>
      </c>
      <c r="AX58" s="23">
        <v>63.792499999999997</v>
      </c>
      <c r="AY58" s="23">
        <v>60</v>
      </c>
      <c r="AZ58" s="23">
        <v>21</v>
      </c>
      <c r="BA58" s="23">
        <v>1.125</v>
      </c>
      <c r="BB58" s="23">
        <v>36</v>
      </c>
      <c r="BC58" s="23">
        <v>10</v>
      </c>
    </row>
    <row r="59" spans="1:55" hidden="1" x14ac:dyDescent="0.25">
      <c r="A59" s="22" t="s">
        <v>544</v>
      </c>
      <c r="B59" s="23">
        <v>600</v>
      </c>
      <c r="C59" s="23">
        <v>32</v>
      </c>
      <c r="D59" s="24">
        <v>30</v>
      </c>
      <c r="E59" s="24">
        <f t="shared" si="13"/>
        <v>31.767699999999991</v>
      </c>
      <c r="F59" s="24">
        <f t="shared" si="14"/>
        <v>0.37818690476190464</v>
      </c>
      <c r="G59" s="24">
        <f t="shared" si="15"/>
        <v>0.14285714285714285</v>
      </c>
      <c r="H59" s="24">
        <f t="shared" si="16"/>
        <v>4.5382428571428557</v>
      </c>
      <c r="I59" s="23" t="s">
        <v>469</v>
      </c>
      <c r="J59" s="23">
        <v>180</v>
      </c>
      <c r="K59" s="23">
        <f t="shared" si="17"/>
        <v>384</v>
      </c>
      <c r="L59" s="23">
        <f t="shared" si="18"/>
        <v>199</v>
      </c>
      <c r="M59" s="23">
        <f t="shared" si="19"/>
        <v>187</v>
      </c>
      <c r="N59" s="23">
        <v>30</v>
      </c>
      <c r="O59" s="23">
        <v>1.625</v>
      </c>
      <c r="P59" s="23">
        <v>12</v>
      </c>
      <c r="Q59" s="23">
        <v>28</v>
      </c>
      <c r="R59" s="23">
        <f t="shared" si="20"/>
        <v>6.4285714285714288</v>
      </c>
      <c r="S59" s="23">
        <f t="shared" si="21"/>
        <v>28</v>
      </c>
      <c r="T59" s="23">
        <f t="shared" si="22"/>
        <v>56</v>
      </c>
      <c r="U59" s="23" t="s">
        <v>470</v>
      </c>
      <c r="V59" s="23">
        <f t="shared" si="23"/>
        <v>28</v>
      </c>
      <c r="W59" s="23">
        <f t="shared" si="12"/>
        <v>192</v>
      </c>
      <c r="X59" s="23">
        <v>160.23230000000001</v>
      </c>
      <c r="Y59" s="23">
        <v>84</v>
      </c>
      <c r="Z59" s="23">
        <v>0.75</v>
      </c>
      <c r="AA59" s="23">
        <v>30</v>
      </c>
      <c r="AB59" s="23">
        <v>12</v>
      </c>
      <c r="AC59" s="23">
        <v>160.23230000000001</v>
      </c>
      <c r="AD59" s="23">
        <v>128.46449999999999</v>
      </c>
      <c r="AE59" s="23">
        <v>84</v>
      </c>
      <c r="AF59" s="23">
        <v>0.8125</v>
      </c>
      <c r="AG59" s="23">
        <v>36</v>
      </c>
      <c r="AH59" s="23">
        <v>10</v>
      </c>
      <c r="AI59" s="23">
        <v>0</v>
      </c>
      <c r="AJ59" s="23">
        <v>128.46449999999999</v>
      </c>
      <c r="AK59" s="23">
        <v>96.696799999999996</v>
      </c>
      <c r="AL59" s="23">
        <v>84</v>
      </c>
      <c r="AM59" s="23">
        <v>0.875</v>
      </c>
      <c r="AN59" s="23">
        <v>45</v>
      </c>
      <c r="AO59" s="23">
        <v>8</v>
      </c>
      <c r="AP59" s="23">
        <v>0</v>
      </c>
      <c r="AQ59" s="23">
        <v>96.696799999999996</v>
      </c>
      <c r="AR59" s="23">
        <v>63.879300000000001</v>
      </c>
      <c r="AS59" s="23">
        <v>86.75</v>
      </c>
      <c r="AT59" s="23">
        <v>1.0625</v>
      </c>
      <c r="AU59" s="23">
        <v>60</v>
      </c>
      <c r="AV59" s="23">
        <v>6</v>
      </c>
      <c r="AW59" s="23">
        <v>60</v>
      </c>
      <c r="AX59" s="23">
        <v>63.879300000000001</v>
      </c>
      <c r="AY59" s="23">
        <v>60</v>
      </c>
      <c r="AZ59" s="23">
        <v>21.25</v>
      </c>
      <c r="BA59" s="23">
        <v>1.25</v>
      </c>
      <c r="BB59" s="23">
        <v>36</v>
      </c>
      <c r="BC59" s="23">
        <v>10</v>
      </c>
    </row>
    <row r="60" spans="1:55" hidden="1" x14ac:dyDescent="0.25">
      <c r="A60" s="22" t="s">
        <v>545</v>
      </c>
      <c r="B60" s="23">
        <v>600</v>
      </c>
      <c r="C60" s="23">
        <v>38</v>
      </c>
      <c r="D60" s="24">
        <v>30</v>
      </c>
      <c r="E60" s="24">
        <f t="shared" si="13"/>
        <v>40.761200000000002</v>
      </c>
      <c r="F60" s="24">
        <f t="shared" si="14"/>
        <v>0.48525238095238099</v>
      </c>
      <c r="G60" s="24">
        <f t="shared" si="15"/>
        <v>0.14285714285714285</v>
      </c>
      <c r="H60" s="24">
        <f t="shared" si="16"/>
        <v>5.823028571428571</v>
      </c>
      <c r="I60" s="23" t="s">
        <v>469</v>
      </c>
      <c r="J60" s="23">
        <v>180</v>
      </c>
      <c r="K60" s="23">
        <f t="shared" si="17"/>
        <v>456</v>
      </c>
      <c r="L60" s="23">
        <f t="shared" si="18"/>
        <v>235</v>
      </c>
      <c r="M60" s="23">
        <f t="shared" si="19"/>
        <v>223</v>
      </c>
      <c r="N60" s="23">
        <v>22.5</v>
      </c>
      <c r="O60" s="23">
        <v>2.375</v>
      </c>
      <c r="P60" s="23">
        <v>16</v>
      </c>
      <c r="Q60" s="23">
        <v>16</v>
      </c>
      <c r="R60" s="23">
        <f t="shared" si="20"/>
        <v>11.25</v>
      </c>
      <c r="S60" s="23">
        <f t="shared" si="21"/>
        <v>16</v>
      </c>
      <c r="T60" s="23">
        <f t="shared" si="22"/>
        <v>32</v>
      </c>
      <c r="U60" s="23" t="s">
        <v>470</v>
      </c>
      <c r="V60" s="23">
        <f t="shared" si="23"/>
        <v>16</v>
      </c>
      <c r="W60" s="23">
        <f t="shared" si="12"/>
        <v>228</v>
      </c>
      <c r="X60" s="23">
        <v>187.2388</v>
      </c>
      <c r="Y60" s="23">
        <v>84</v>
      </c>
      <c r="Z60" s="23">
        <v>0.6875</v>
      </c>
      <c r="AA60" s="23">
        <v>22.5</v>
      </c>
      <c r="AB60" s="23">
        <v>16</v>
      </c>
      <c r="AC60" s="23">
        <v>187.2388</v>
      </c>
      <c r="AD60" s="23">
        <v>146.47749999999999</v>
      </c>
      <c r="AE60" s="23">
        <v>84</v>
      </c>
      <c r="AF60" s="23">
        <v>0.75</v>
      </c>
      <c r="AG60" s="23">
        <v>30</v>
      </c>
      <c r="AH60" s="23">
        <v>12</v>
      </c>
      <c r="AI60" s="23">
        <v>0</v>
      </c>
      <c r="AJ60" s="23">
        <v>146.47749999999999</v>
      </c>
      <c r="AK60" s="23">
        <v>105.7163</v>
      </c>
      <c r="AL60" s="23">
        <v>84</v>
      </c>
      <c r="AM60" s="23">
        <v>0.8125</v>
      </c>
      <c r="AN60" s="23">
        <v>36</v>
      </c>
      <c r="AO60" s="23">
        <v>10</v>
      </c>
      <c r="AP60" s="23">
        <v>0</v>
      </c>
      <c r="AQ60" s="23">
        <v>105.7163</v>
      </c>
      <c r="AR60" s="23">
        <v>66.0197</v>
      </c>
      <c r="AS60" s="23">
        <v>81.8125</v>
      </c>
      <c r="AT60" s="23">
        <v>0.9375</v>
      </c>
      <c r="AU60" s="23">
        <v>45</v>
      </c>
      <c r="AV60" s="23">
        <v>8</v>
      </c>
      <c r="AW60" s="23">
        <v>60</v>
      </c>
      <c r="AX60" s="23">
        <v>66.0197</v>
      </c>
      <c r="AY60" s="23">
        <v>60</v>
      </c>
      <c r="AZ60" s="23">
        <v>26.1875</v>
      </c>
      <c r="BA60" s="23">
        <v>1.0625</v>
      </c>
      <c r="BB60" s="23">
        <v>36</v>
      </c>
      <c r="BC60" s="23">
        <v>10</v>
      </c>
    </row>
    <row r="61" spans="1:55" hidden="1" x14ac:dyDescent="0.25">
      <c r="A61" s="22" t="s">
        <v>546</v>
      </c>
      <c r="B61" s="23">
        <v>600</v>
      </c>
      <c r="C61" s="23">
        <v>40</v>
      </c>
      <c r="D61" s="24">
        <v>30</v>
      </c>
      <c r="E61" s="24">
        <f t="shared" si="13"/>
        <v>43.788000000000011</v>
      </c>
      <c r="F61" s="24">
        <f t="shared" si="14"/>
        <v>0.52128571428571446</v>
      </c>
      <c r="G61" s="24">
        <f t="shared" si="15"/>
        <v>0.14285714285714285</v>
      </c>
      <c r="H61" s="24">
        <f t="shared" si="16"/>
        <v>6.2554285714285722</v>
      </c>
      <c r="I61" s="23" t="s">
        <v>469</v>
      </c>
      <c r="J61" s="23">
        <v>180</v>
      </c>
      <c r="K61" s="23">
        <f t="shared" si="17"/>
        <v>480</v>
      </c>
      <c r="L61" s="23">
        <f t="shared" si="18"/>
        <v>247</v>
      </c>
      <c r="M61" s="23">
        <f t="shared" si="19"/>
        <v>235</v>
      </c>
      <c r="N61" s="23">
        <v>25.714300000000001</v>
      </c>
      <c r="O61" s="23">
        <v>2.5</v>
      </c>
      <c r="P61" s="23">
        <v>14</v>
      </c>
      <c r="Q61" s="23">
        <v>16</v>
      </c>
      <c r="R61" s="23">
        <f t="shared" si="20"/>
        <v>11.25</v>
      </c>
      <c r="S61" s="23">
        <f t="shared" si="21"/>
        <v>16</v>
      </c>
      <c r="T61" s="23">
        <f t="shared" si="22"/>
        <v>32</v>
      </c>
      <c r="U61" s="23" t="s">
        <v>470</v>
      </c>
      <c r="V61" s="23">
        <f t="shared" si="23"/>
        <v>16</v>
      </c>
      <c r="W61" s="23">
        <f t="shared" si="12"/>
        <v>240</v>
      </c>
      <c r="X61" s="23">
        <v>196.21199999999999</v>
      </c>
      <c r="Y61" s="23">
        <v>84</v>
      </c>
      <c r="Z61" s="23">
        <v>0.6875</v>
      </c>
      <c r="AA61" s="23">
        <v>25.714300000000001</v>
      </c>
      <c r="AB61" s="23">
        <v>14</v>
      </c>
      <c r="AC61" s="23">
        <v>196.21199999999999</v>
      </c>
      <c r="AD61" s="23">
        <v>152.42400000000001</v>
      </c>
      <c r="AE61" s="23">
        <v>84</v>
      </c>
      <c r="AF61" s="23">
        <v>0.6875</v>
      </c>
      <c r="AG61" s="23">
        <v>36</v>
      </c>
      <c r="AH61" s="23">
        <v>10</v>
      </c>
      <c r="AI61" s="23">
        <v>0</v>
      </c>
      <c r="AJ61" s="23">
        <v>152.42400000000001</v>
      </c>
      <c r="AK61" s="23">
        <v>108.636</v>
      </c>
      <c r="AL61" s="23">
        <v>84</v>
      </c>
      <c r="AM61" s="23">
        <v>0.8125</v>
      </c>
      <c r="AN61" s="23">
        <v>45</v>
      </c>
      <c r="AO61" s="23">
        <v>8</v>
      </c>
      <c r="AP61" s="23">
        <v>0</v>
      </c>
      <c r="AQ61" s="23">
        <v>108.636</v>
      </c>
      <c r="AR61" s="23">
        <v>66.795000000000002</v>
      </c>
      <c r="AS61" s="23">
        <v>80.25</v>
      </c>
      <c r="AT61" s="23">
        <v>0.9375</v>
      </c>
      <c r="AU61" s="23">
        <v>60</v>
      </c>
      <c r="AV61" s="23">
        <v>6</v>
      </c>
      <c r="AW61" s="23">
        <v>60</v>
      </c>
      <c r="AX61" s="23">
        <v>66.795000000000002</v>
      </c>
      <c r="AY61" s="23">
        <v>60</v>
      </c>
      <c r="AZ61" s="23">
        <v>27.75</v>
      </c>
      <c r="BA61" s="23">
        <v>1</v>
      </c>
      <c r="BB61" s="23">
        <v>36</v>
      </c>
      <c r="BC61" s="23">
        <v>10</v>
      </c>
    </row>
    <row r="62" spans="1:55" hidden="1" x14ac:dyDescent="0.25">
      <c r="A62" s="22" t="s">
        <v>547</v>
      </c>
      <c r="B62" s="23">
        <v>750</v>
      </c>
      <c r="C62" s="23">
        <v>30</v>
      </c>
      <c r="D62" s="24">
        <v>30</v>
      </c>
      <c r="E62" s="24">
        <f t="shared" si="13"/>
        <v>26.463200000000001</v>
      </c>
      <c r="F62" s="24">
        <f t="shared" si="14"/>
        <v>0.30771162790697676</v>
      </c>
      <c r="G62" s="24">
        <f t="shared" si="15"/>
        <v>0.13953488372093023</v>
      </c>
      <c r="H62" s="24">
        <f t="shared" si="16"/>
        <v>3.6925395348837209</v>
      </c>
      <c r="I62" s="23" t="s">
        <v>469</v>
      </c>
      <c r="J62" s="23">
        <v>180</v>
      </c>
      <c r="K62" s="23">
        <f t="shared" si="17"/>
        <v>360</v>
      </c>
      <c r="L62" s="23">
        <f t="shared" si="18"/>
        <v>187</v>
      </c>
      <c r="M62" s="23">
        <f t="shared" si="19"/>
        <v>175</v>
      </c>
      <c r="N62" s="23"/>
      <c r="O62" s="23"/>
      <c r="P62" s="23"/>
      <c r="Q62" s="23">
        <v>20</v>
      </c>
      <c r="R62" s="23">
        <f t="shared" si="20"/>
        <v>9</v>
      </c>
      <c r="S62" s="23">
        <f t="shared" si="21"/>
        <v>20</v>
      </c>
      <c r="T62" s="23">
        <f t="shared" si="22"/>
        <v>40</v>
      </c>
      <c r="U62" s="23" t="s">
        <v>470</v>
      </c>
      <c r="V62" s="23">
        <f t="shared" si="23"/>
        <v>20</v>
      </c>
      <c r="W62" s="23">
        <f t="shared" si="12"/>
        <v>180</v>
      </c>
      <c r="X62" s="23">
        <v>153.5368</v>
      </c>
      <c r="Y62" s="23">
        <v>86</v>
      </c>
      <c r="Z62" s="23">
        <v>0.75</v>
      </c>
      <c r="AA62" s="23">
        <v>30</v>
      </c>
      <c r="AB62" s="23">
        <v>12</v>
      </c>
      <c r="AC62" s="23">
        <v>153.5368</v>
      </c>
      <c r="AD62" s="23">
        <v>127.0735</v>
      </c>
      <c r="AE62" s="23">
        <v>86</v>
      </c>
      <c r="AF62" s="23">
        <v>0.8125</v>
      </c>
      <c r="AG62" s="23">
        <v>40</v>
      </c>
      <c r="AH62" s="23">
        <v>9</v>
      </c>
      <c r="AI62" s="23">
        <v>0</v>
      </c>
      <c r="AJ62" s="23">
        <v>127.0735</v>
      </c>
      <c r="AK62" s="23">
        <v>100.6103</v>
      </c>
      <c r="AL62" s="23">
        <v>86</v>
      </c>
      <c r="AM62" s="23">
        <v>0.8125</v>
      </c>
      <c r="AN62" s="23">
        <v>45</v>
      </c>
      <c r="AO62" s="23">
        <v>8</v>
      </c>
      <c r="AP62" s="23">
        <v>0</v>
      </c>
      <c r="AQ62" s="23">
        <v>100.6103</v>
      </c>
      <c r="AR62" s="23">
        <v>74.653599999999997</v>
      </c>
      <c r="AS62" s="23">
        <v>84.375</v>
      </c>
      <c r="AT62" s="23">
        <v>0.9375</v>
      </c>
      <c r="AU62" s="23">
        <v>60</v>
      </c>
      <c r="AV62" s="23">
        <v>6</v>
      </c>
      <c r="AW62" s="23">
        <v>60</v>
      </c>
      <c r="AX62" s="23">
        <v>74.653599999999997</v>
      </c>
      <c r="AY62" s="23">
        <v>72</v>
      </c>
      <c r="AZ62" s="23">
        <v>17.625</v>
      </c>
      <c r="BA62" s="23">
        <v>1</v>
      </c>
      <c r="BB62" s="23">
        <v>22.5</v>
      </c>
      <c r="BC62" s="23">
        <v>16</v>
      </c>
    </row>
    <row r="63" spans="1:55" hidden="1" x14ac:dyDescent="0.25">
      <c r="A63" s="22" t="s">
        <v>549</v>
      </c>
      <c r="B63" s="23">
        <v>750</v>
      </c>
      <c r="C63" s="23">
        <v>36</v>
      </c>
      <c r="D63" s="24">
        <v>30</v>
      </c>
      <c r="E63" s="24">
        <f t="shared" si="13"/>
        <v>216</v>
      </c>
      <c r="F63" s="24" t="e">
        <f t="shared" si="14"/>
        <v>#DIV/0!</v>
      </c>
      <c r="G63" s="24" t="e">
        <f t="shared" si="15"/>
        <v>#DIV/0!</v>
      </c>
      <c r="H63" s="24" t="e">
        <f t="shared" si="16"/>
        <v>#DIV/0!</v>
      </c>
      <c r="I63" s="23" t="s">
        <v>469</v>
      </c>
      <c r="J63" s="23">
        <v>180</v>
      </c>
      <c r="K63" s="23">
        <f t="shared" si="17"/>
        <v>432</v>
      </c>
      <c r="L63" s="23">
        <f t="shared" si="18"/>
        <v>223</v>
      </c>
      <c r="M63" s="23">
        <f t="shared" si="19"/>
        <v>211</v>
      </c>
      <c r="N63" s="23"/>
      <c r="O63" s="23"/>
      <c r="P63" s="23"/>
      <c r="Q63" s="23"/>
      <c r="R63" s="23" t="e">
        <f t="shared" si="20"/>
        <v>#DIV/0!</v>
      </c>
      <c r="S63" s="23">
        <f t="shared" si="21"/>
        <v>0</v>
      </c>
      <c r="T63" s="23">
        <f t="shared" si="22"/>
        <v>0</v>
      </c>
      <c r="U63" s="23"/>
      <c r="V63" s="23">
        <f t="shared" si="23"/>
        <v>0</v>
      </c>
      <c r="W63" s="23">
        <f t="shared" si="12"/>
        <v>216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7" spans="1:12" x14ac:dyDescent="0.25">
      <c r="A67" s="89" t="s">
        <v>2148</v>
      </c>
      <c r="B67" s="96" t="s">
        <v>2149</v>
      </c>
      <c r="C67" s="97" t="s">
        <v>2160</v>
      </c>
      <c r="D67" s="97" t="s">
        <v>2151</v>
      </c>
      <c r="E67" s="98" t="s">
        <v>2152</v>
      </c>
      <c r="F67" s="97" t="s">
        <v>2153</v>
      </c>
      <c r="G67" s="97" t="s">
        <v>2154</v>
      </c>
      <c r="H67" s="97" t="s">
        <v>2156</v>
      </c>
      <c r="I67" s="97" t="s">
        <v>2157</v>
      </c>
      <c r="J67" s="97" t="s">
        <v>2155</v>
      </c>
      <c r="K67" s="97" t="s">
        <v>2158</v>
      </c>
      <c r="L67" s="97" t="s">
        <v>2159</v>
      </c>
    </row>
    <row r="68" spans="1:12" x14ac:dyDescent="0.25">
      <c r="A68" s="86" t="s">
        <v>2145</v>
      </c>
      <c r="B68" s="90">
        <v>62</v>
      </c>
      <c r="C68" s="90">
        <v>62</v>
      </c>
      <c r="D68" s="90">
        <v>62</v>
      </c>
      <c r="E68" s="90">
        <v>62</v>
      </c>
      <c r="F68" s="90">
        <v>62</v>
      </c>
      <c r="G68" s="90">
        <v>62</v>
      </c>
      <c r="H68" s="90">
        <v>62</v>
      </c>
      <c r="I68" s="90">
        <v>62</v>
      </c>
      <c r="J68" s="90">
        <v>62</v>
      </c>
      <c r="K68" s="90">
        <v>62</v>
      </c>
      <c r="L68" s="90">
        <v>62</v>
      </c>
    </row>
    <row r="69" spans="1:12" x14ac:dyDescent="0.25">
      <c r="A69" s="86" t="s">
        <v>2146</v>
      </c>
      <c r="B69" s="90">
        <v>14</v>
      </c>
      <c r="C69" s="90">
        <v>14</v>
      </c>
      <c r="D69" s="90">
        <v>14</v>
      </c>
      <c r="E69" s="90">
        <v>14</v>
      </c>
      <c r="F69" s="90">
        <v>14</v>
      </c>
      <c r="G69" s="90">
        <v>14</v>
      </c>
      <c r="H69" s="90">
        <v>14</v>
      </c>
      <c r="I69" s="90">
        <v>14</v>
      </c>
      <c r="J69" s="90">
        <v>14</v>
      </c>
      <c r="K69" s="90">
        <v>14</v>
      </c>
      <c r="L69" s="90">
        <v>14</v>
      </c>
    </row>
    <row r="70" spans="1:12" x14ac:dyDescent="0.25">
      <c r="A70" s="86" t="s">
        <v>2147</v>
      </c>
      <c r="B70" s="90">
        <v>3.3250000000000002</v>
      </c>
      <c r="C70" s="86">
        <v>3.9</v>
      </c>
      <c r="D70" s="86">
        <v>3.968</v>
      </c>
      <c r="E70" s="86">
        <v>4.74</v>
      </c>
      <c r="F70" s="86">
        <v>5.26</v>
      </c>
      <c r="G70" s="86">
        <v>5.7839999999999998</v>
      </c>
      <c r="H70" s="86">
        <v>4.3259999999999996</v>
      </c>
      <c r="I70" s="86">
        <v>4.5380000000000003</v>
      </c>
      <c r="J70" s="86">
        <v>5.1779999999999999</v>
      </c>
      <c r="K70" s="86">
        <v>6.04</v>
      </c>
      <c r="L70" s="86">
        <v>6.4720000000000004</v>
      </c>
    </row>
    <row r="71" spans="1:12" x14ac:dyDescent="0.25">
      <c r="A71" s="86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2" x14ac:dyDescent="0.25">
      <c r="A72" s="86" t="s">
        <v>2142</v>
      </c>
      <c r="B72" s="90">
        <v>62</v>
      </c>
      <c r="C72" s="90">
        <v>62</v>
      </c>
      <c r="D72" s="90">
        <v>62</v>
      </c>
      <c r="E72" s="90">
        <v>62</v>
      </c>
      <c r="F72" s="90">
        <v>62</v>
      </c>
      <c r="G72" s="90">
        <v>62</v>
      </c>
      <c r="H72" s="90">
        <v>62</v>
      </c>
      <c r="I72" s="90">
        <v>62</v>
      </c>
      <c r="J72" s="90">
        <v>62</v>
      </c>
      <c r="K72" s="90">
        <v>62</v>
      </c>
      <c r="L72" s="90">
        <v>62</v>
      </c>
    </row>
    <row r="73" spans="1:12" x14ac:dyDescent="0.25">
      <c r="A73" s="86" t="s">
        <v>2143</v>
      </c>
      <c r="B73" s="90">
        <v>14</v>
      </c>
      <c r="C73" s="90">
        <v>14</v>
      </c>
      <c r="D73" s="90">
        <v>14</v>
      </c>
      <c r="E73" s="90">
        <v>14</v>
      </c>
      <c r="F73" s="90">
        <v>14</v>
      </c>
      <c r="G73" s="90">
        <v>14</v>
      </c>
      <c r="H73" s="90">
        <v>14</v>
      </c>
      <c r="I73" s="90">
        <v>14</v>
      </c>
      <c r="J73" s="90">
        <v>14</v>
      </c>
      <c r="K73" s="90">
        <v>14</v>
      </c>
      <c r="L73" s="90">
        <v>14</v>
      </c>
    </row>
    <row r="74" spans="1:12" x14ac:dyDescent="0.25">
      <c r="A74" s="86" t="s">
        <v>2144</v>
      </c>
      <c r="B74" s="90">
        <f>B70</f>
        <v>3.3250000000000002</v>
      </c>
      <c r="C74" s="90">
        <f t="shared" ref="C74:L74" si="24">C70</f>
        <v>3.9</v>
      </c>
      <c r="D74" s="90">
        <f t="shared" si="24"/>
        <v>3.968</v>
      </c>
      <c r="E74" s="90">
        <f t="shared" si="24"/>
        <v>4.74</v>
      </c>
      <c r="F74" s="90">
        <f t="shared" si="24"/>
        <v>5.26</v>
      </c>
      <c r="G74" s="90">
        <f t="shared" si="24"/>
        <v>5.7839999999999998</v>
      </c>
      <c r="H74" s="90">
        <f t="shared" si="24"/>
        <v>4.3259999999999996</v>
      </c>
      <c r="I74" s="90">
        <f t="shared" si="24"/>
        <v>4.5380000000000003</v>
      </c>
      <c r="J74" s="90">
        <f t="shared" si="24"/>
        <v>5.1779999999999999</v>
      </c>
      <c r="K74" s="90">
        <f t="shared" si="24"/>
        <v>6.04</v>
      </c>
      <c r="L74" s="90">
        <f t="shared" si="24"/>
        <v>6.4720000000000004</v>
      </c>
    </row>
    <row r="75" spans="1:12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6" spans="1:12" x14ac:dyDescent="0.25">
      <c r="A76" s="52"/>
      <c r="B76" s="52"/>
      <c r="C76" s="52"/>
      <c r="D76" s="52"/>
      <c r="E76" s="52"/>
      <c r="F76" s="52"/>
      <c r="G76" s="52"/>
      <c r="H76" s="52"/>
      <c r="I76" s="52"/>
    </row>
    <row r="77" spans="1:12" x14ac:dyDescent="0.25">
      <c r="A77" s="52"/>
      <c r="B77" s="52"/>
      <c r="C77" s="52"/>
      <c r="D77" s="52"/>
      <c r="E77" s="52"/>
      <c r="F77" s="52"/>
      <c r="G77" s="52"/>
      <c r="H77" s="52"/>
      <c r="I77" s="52"/>
    </row>
    <row r="78" spans="1:12" x14ac:dyDescent="0.25">
      <c r="A78" s="52"/>
      <c r="B78" s="52"/>
      <c r="C78" s="52"/>
      <c r="D78" s="52"/>
      <c r="E78" s="52"/>
      <c r="F78" s="52"/>
      <c r="G78" s="52"/>
      <c r="H78" s="52"/>
      <c r="I78" s="52"/>
    </row>
    <row r="79" spans="1:12" x14ac:dyDescent="0.25">
      <c r="A79" s="52"/>
      <c r="B79" s="52"/>
      <c r="C79" s="52"/>
      <c r="D79" s="52"/>
      <c r="E79" s="52"/>
      <c r="F79" s="52"/>
      <c r="G79" s="52"/>
      <c r="H79" s="52"/>
      <c r="I79" s="52"/>
    </row>
    <row r="80" spans="1:12" x14ac:dyDescent="0.25">
      <c r="A80" s="52"/>
      <c r="B80" s="52"/>
      <c r="C80" s="52"/>
      <c r="D80" s="52"/>
      <c r="E80" s="52"/>
      <c r="F80" s="52"/>
      <c r="G80" s="52"/>
      <c r="H80" s="52"/>
      <c r="I80" s="52"/>
    </row>
    <row r="81" spans="1:9" x14ac:dyDescent="0.25">
      <c r="A81" s="52"/>
      <c r="B81" s="52"/>
      <c r="C81" s="52"/>
      <c r="D81" s="52"/>
      <c r="E81" s="52"/>
      <c r="F81" s="52"/>
      <c r="G81" s="52"/>
      <c r="H81" s="52"/>
      <c r="I81" s="52"/>
    </row>
    <row r="82" spans="1:9" x14ac:dyDescent="0.25">
      <c r="A82" s="52"/>
      <c r="B82" s="52"/>
      <c r="C82" s="52"/>
      <c r="D82" s="52"/>
      <c r="E82" s="52"/>
      <c r="F82" s="52"/>
      <c r="G82" s="52"/>
      <c r="H82" s="52"/>
      <c r="I82" s="52"/>
    </row>
  </sheetData>
  <autoFilter ref="A2:BC63" xr:uid="{6756EA99-8E4E-4A78-ADA7-4D352660A6DA}">
    <filterColumn colId="1">
      <filters>
        <filter val="250"/>
        <filter val="300"/>
      </filters>
    </filterColumn>
  </autoFilter>
  <sortState xmlns:xlrd2="http://schemas.microsoft.com/office/spreadsheetml/2017/richdata2" ref="A3:BC63">
    <sortCondition ref="B3:B63"/>
    <sortCondition ref="C3:C63"/>
    <sortCondition ref="D3:D63"/>
  </sortState>
  <mergeCells count="1">
    <mergeCell ref="A1:H1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3"/>
  <sheetViews>
    <sheetView workbookViewId="0">
      <selection activeCell="K20" sqref="K20"/>
    </sheetView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2027</v>
      </c>
      <c r="B1" s="16" t="s">
        <v>125</v>
      </c>
      <c r="C1" s="17" t="s">
        <v>325</v>
      </c>
      <c r="D1" s="17" t="s">
        <v>328</v>
      </c>
      <c r="E1" s="17" t="s">
        <v>331</v>
      </c>
      <c r="F1" s="17" t="s">
        <v>334</v>
      </c>
      <c r="G1" s="17" t="s">
        <v>337</v>
      </c>
      <c r="H1" s="17" t="s">
        <v>337</v>
      </c>
      <c r="I1" s="17" t="s">
        <v>340</v>
      </c>
      <c r="J1" s="17" t="s">
        <v>343</v>
      </c>
      <c r="K1" s="17" t="s">
        <v>346</v>
      </c>
      <c r="L1" s="17" t="s">
        <v>349</v>
      </c>
      <c r="M1" s="17" t="s">
        <v>352</v>
      </c>
      <c r="N1" s="17" t="s">
        <v>355</v>
      </c>
      <c r="O1" s="17" t="s">
        <v>358</v>
      </c>
      <c r="P1" s="17" t="s">
        <v>361</v>
      </c>
      <c r="Q1" s="17" t="s">
        <v>364</v>
      </c>
      <c r="R1" s="17" t="s">
        <v>2028</v>
      </c>
      <c r="S1" s="17" t="s">
        <v>370</v>
      </c>
      <c r="T1" s="17" t="s">
        <v>373</v>
      </c>
      <c r="U1" s="17" t="s">
        <v>2029</v>
      </c>
      <c r="V1" s="17" t="s">
        <v>2030</v>
      </c>
      <c r="W1" s="17" t="s">
        <v>2031</v>
      </c>
      <c r="X1" s="17" t="s">
        <v>2032</v>
      </c>
      <c r="Y1" s="17" t="s">
        <v>2033</v>
      </c>
      <c r="Z1" s="18" t="s">
        <v>2034</v>
      </c>
    </row>
    <row r="2" spans="1:26" x14ac:dyDescent="0.25">
      <c r="A2" s="15" t="s">
        <v>2035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2036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2037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2038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2039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2040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2041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2042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2043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2044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2045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2046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2047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2048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2049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2050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2051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2052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2053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2054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3"/>
  <sheetViews>
    <sheetView workbookViewId="0"/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2027</v>
      </c>
      <c r="B1" s="16" t="s">
        <v>125</v>
      </c>
      <c r="C1" s="17" t="s">
        <v>325</v>
      </c>
      <c r="D1" s="17" t="s">
        <v>328</v>
      </c>
      <c r="E1" s="17" t="s">
        <v>331</v>
      </c>
      <c r="F1" s="17" t="s">
        <v>334</v>
      </c>
      <c r="G1" s="17" t="s">
        <v>337</v>
      </c>
      <c r="H1" s="17" t="s">
        <v>337</v>
      </c>
      <c r="I1" s="17" t="s">
        <v>340</v>
      </c>
      <c r="J1" s="17" t="s">
        <v>343</v>
      </c>
      <c r="K1" s="17" t="s">
        <v>346</v>
      </c>
      <c r="L1" s="17" t="s">
        <v>349</v>
      </c>
      <c r="M1" s="17" t="s">
        <v>352</v>
      </c>
      <c r="N1" s="17" t="s">
        <v>355</v>
      </c>
      <c r="O1" s="17" t="s">
        <v>358</v>
      </c>
      <c r="P1" s="17" t="s">
        <v>361</v>
      </c>
      <c r="Q1" s="17" t="s">
        <v>364</v>
      </c>
      <c r="R1" s="17" t="s">
        <v>2028</v>
      </c>
      <c r="S1" s="17" t="s">
        <v>370</v>
      </c>
      <c r="T1" s="17" t="s">
        <v>373</v>
      </c>
      <c r="U1" s="17" t="s">
        <v>2029</v>
      </c>
      <c r="V1" s="17" t="s">
        <v>2030</v>
      </c>
      <c r="W1" s="17" t="s">
        <v>2031</v>
      </c>
      <c r="X1" s="17" t="s">
        <v>2032</v>
      </c>
      <c r="Y1" s="17" t="s">
        <v>2033</v>
      </c>
      <c r="Z1" s="18" t="s">
        <v>2034</v>
      </c>
    </row>
    <row r="2" spans="1:26" x14ac:dyDescent="0.25">
      <c r="A2" s="15" t="s">
        <v>2035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2036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2037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2038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2039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2040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2041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2042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2043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2044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2045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2046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2047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2048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2049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2050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2051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2052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2053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2054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3"/>
  <sheetViews>
    <sheetView workbookViewId="0"/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2027</v>
      </c>
      <c r="B1" s="16" t="s">
        <v>125</v>
      </c>
      <c r="C1" s="17" t="s">
        <v>325</v>
      </c>
      <c r="D1" s="17" t="s">
        <v>328</v>
      </c>
      <c r="E1" s="17" t="s">
        <v>331</v>
      </c>
      <c r="F1" s="17" t="s">
        <v>334</v>
      </c>
      <c r="G1" s="17" t="s">
        <v>337</v>
      </c>
      <c r="H1" s="17" t="s">
        <v>337</v>
      </c>
      <c r="I1" s="17" t="s">
        <v>340</v>
      </c>
      <c r="J1" s="17" t="s">
        <v>343</v>
      </c>
      <c r="K1" s="17" t="s">
        <v>346</v>
      </c>
      <c r="L1" s="17" t="s">
        <v>349</v>
      </c>
      <c r="M1" s="17" t="s">
        <v>352</v>
      </c>
      <c r="N1" s="17" t="s">
        <v>355</v>
      </c>
      <c r="O1" s="17" t="s">
        <v>358</v>
      </c>
      <c r="P1" s="17" t="s">
        <v>361</v>
      </c>
      <c r="Q1" s="17" t="s">
        <v>364</v>
      </c>
      <c r="R1" s="17" t="s">
        <v>2028</v>
      </c>
      <c r="S1" s="17" t="s">
        <v>370</v>
      </c>
      <c r="T1" s="17" t="s">
        <v>373</v>
      </c>
      <c r="U1" s="17" t="s">
        <v>2029</v>
      </c>
      <c r="V1" s="17" t="s">
        <v>2030</v>
      </c>
      <c r="W1" s="17" t="s">
        <v>2031</v>
      </c>
      <c r="X1" s="17" t="s">
        <v>2032</v>
      </c>
      <c r="Y1" s="17" t="s">
        <v>2033</v>
      </c>
      <c r="Z1" s="18" t="s">
        <v>2034</v>
      </c>
    </row>
    <row r="2" spans="1:26" x14ac:dyDescent="0.25">
      <c r="A2" s="15" t="s">
        <v>2035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2036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2037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2038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2039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2040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2041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2042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2043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2044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2045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2046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2047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2048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2049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2050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2051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2052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2053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2054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3"/>
  <sheetViews>
    <sheetView workbookViewId="0"/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2027</v>
      </c>
      <c r="B1" s="16" t="s">
        <v>125</v>
      </c>
      <c r="C1" s="17" t="s">
        <v>325</v>
      </c>
      <c r="D1" s="17" t="s">
        <v>328</v>
      </c>
      <c r="E1" s="17" t="s">
        <v>331</v>
      </c>
      <c r="F1" s="17" t="s">
        <v>334</v>
      </c>
      <c r="G1" s="17" t="s">
        <v>337</v>
      </c>
      <c r="H1" s="17" t="s">
        <v>337</v>
      </c>
      <c r="I1" s="17" t="s">
        <v>340</v>
      </c>
      <c r="J1" s="17" t="s">
        <v>343</v>
      </c>
      <c r="K1" s="17" t="s">
        <v>346</v>
      </c>
      <c r="L1" s="17" t="s">
        <v>349</v>
      </c>
      <c r="M1" s="17" t="s">
        <v>352</v>
      </c>
      <c r="N1" s="17" t="s">
        <v>355</v>
      </c>
      <c r="O1" s="17" t="s">
        <v>358</v>
      </c>
      <c r="P1" s="17" t="s">
        <v>361</v>
      </c>
      <c r="Q1" s="17" t="s">
        <v>364</v>
      </c>
      <c r="R1" s="17" t="s">
        <v>2028</v>
      </c>
      <c r="S1" s="17" t="s">
        <v>370</v>
      </c>
      <c r="T1" s="17" t="s">
        <v>373</v>
      </c>
      <c r="U1" s="17" t="s">
        <v>2029</v>
      </c>
      <c r="V1" s="17" t="s">
        <v>2030</v>
      </c>
      <c r="W1" s="17" t="s">
        <v>2031</v>
      </c>
      <c r="X1" s="17" t="s">
        <v>2032</v>
      </c>
      <c r="Y1" s="17" t="s">
        <v>2033</v>
      </c>
      <c r="Z1" s="18" t="s">
        <v>2034</v>
      </c>
    </row>
    <row r="2" spans="1:26" x14ac:dyDescent="0.25">
      <c r="A2" s="15" t="s">
        <v>2035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2036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2037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2038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2039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2040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2041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2042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2043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2044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2045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2046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2047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2048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2049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2050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2051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2052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2053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2054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3"/>
  <sheetViews>
    <sheetView zoomScale="85" zoomScaleNormal="85" workbookViewId="0">
      <selection activeCell="A40" sqref="A40:G43"/>
    </sheetView>
  </sheetViews>
  <sheetFormatPr defaultRowHeight="15" x14ac:dyDescent="0.25"/>
  <cols>
    <col min="1" max="1" width="35.21875" customWidth="1"/>
    <col min="2" max="2" width="11.109375" customWidth="1"/>
  </cols>
  <sheetData>
    <row r="1" spans="1:7" ht="15" customHeight="1" x14ac:dyDescent="0.25">
      <c r="A1" s="28" t="s">
        <v>2055</v>
      </c>
      <c r="B1" s="28" t="s">
        <v>271</v>
      </c>
      <c r="C1" s="28" t="s">
        <v>2056</v>
      </c>
      <c r="D1" s="28" t="s">
        <v>2057</v>
      </c>
      <c r="E1" s="28" t="s">
        <v>2058</v>
      </c>
      <c r="F1" s="28" t="s">
        <v>2059</v>
      </c>
      <c r="G1" s="28" t="s">
        <v>2060</v>
      </c>
    </row>
    <row r="2" spans="1:7" x14ac:dyDescent="0.25">
      <c r="A2" t="s">
        <v>2061</v>
      </c>
      <c r="B2">
        <v>50</v>
      </c>
      <c r="C2">
        <v>42</v>
      </c>
      <c r="D2">
        <v>6</v>
      </c>
      <c r="G2">
        <f>C2/2+0.125</f>
        <v>21.125</v>
      </c>
    </row>
    <row r="3" spans="1:7" x14ac:dyDescent="0.25">
      <c r="A3" t="s">
        <v>2062</v>
      </c>
      <c r="B3">
        <v>50</v>
      </c>
      <c r="C3">
        <v>42</v>
      </c>
      <c r="D3">
        <v>8</v>
      </c>
      <c r="G3">
        <f t="shared" ref="G3:G66" si="0">C3/2+0.125</f>
        <v>21.125</v>
      </c>
    </row>
    <row r="4" spans="1:7" x14ac:dyDescent="0.25">
      <c r="A4" t="s">
        <v>2063</v>
      </c>
      <c r="B4">
        <v>50</v>
      </c>
      <c r="C4">
        <v>48</v>
      </c>
      <c r="D4">
        <v>6</v>
      </c>
      <c r="G4">
        <f t="shared" si="0"/>
        <v>24.125</v>
      </c>
    </row>
    <row r="5" spans="1:7" x14ac:dyDescent="0.25">
      <c r="A5" t="s">
        <v>2064</v>
      </c>
      <c r="B5">
        <v>50</v>
      </c>
      <c r="C5">
        <v>48</v>
      </c>
      <c r="D5">
        <v>8</v>
      </c>
      <c r="G5">
        <f t="shared" si="0"/>
        <v>24.125</v>
      </c>
    </row>
    <row r="6" spans="1:7" x14ac:dyDescent="0.25">
      <c r="A6" t="s">
        <v>2065</v>
      </c>
      <c r="B6">
        <v>75</v>
      </c>
      <c r="C6">
        <v>36</v>
      </c>
      <c r="D6">
        <v>8</v>
      </c>
      <c r="G6">
        <f t="shared" si="0"/>
        <v>18.125</v>
      </c>
    </row>
    <row r="7" spans="1:7" x14ac:dyDescent="0.25">
      <c r="A7" t="s">
        <v>2066</v>
      </c>
      <c r="B7">
        <v>75</v>
      </c>
      <c r="C7">
        <v>36</v>
      </c>
      <c r="D7">
        <v>8</v>
      </c>
      <c r="G7">
        <f t="shared" si="0"/>
        <v>18.125</v>
      </c>
    </row>
    <row r="8" spans="1:7" x14ac:dyDescent="0.25">
      <c r="A8" t="s">
        <v>2067</v>
      </c>
      <c r="B8">
        <v>75</v>
      </c>
      <c r="C8">
        <v>42</v>
      </c>
      <c r="D8">
        <v>6</v>
      </c>
      <c r="G8">
        <f t="shared" si="0"/>
        <v>21.125</v>
      </c>
    </row>
    <row r="9" spans="1:7" x14ac:dyDescent="0.25">
      <c r="A9" t="s">
        <v>2068</v>
      </c>
      <c r="B9">
        <v>75</v>
      </c>
      <c r="C9">
        <v>42</v>
      </c>
      <c r="D9">
        <v>8</v>
      </c>
      <c r="G9">
        <f t="shared" si="0"/>
        <v>21.125</v>
      </c>
    </row>
    <row r="10" spans="1:7" x14ac:dyDescent="0.25">
      <c r="A10" t="s">
        <v>2069</v>
      </c>
      <c r="B10">
        <v>75</v>
      </c>
      <c r="C10">
        <v>42</v>
      </c>
      <c r="D10">
        <v>12</v>
      </c>
      <c r="G10">
        <f t="shared" si="0"/>
        <v>21.125</v>
      </c>
    </row>
    <row r="11" spans="1:7" x14ac:dyDescent="0.25">
      <c r="A11" t="s">
        <v>2070</v>
      </c>
      <c r="B11">
        <v>75</v>
      </c>
      <c r="C11">
        <v>48</v>
      </c>
      <c r="D11">
        <v>8</v>
      </c>
      <c r="G11">
        <f t="shared" si="0"/>
        <v>24.125</v>
      </c>
    </row>
    <row r="12" spans="1:7" x14ac:dyDescent="0.25">
      <c r="A12" t="s">
        <v>2071</v>
      </c>
      <c r="B12">
        <v>100</v>
      </c>
      <c r="C12">
        <v>36</v>
      </c>
      <c r="D12">
        <v>6</v>
      </c>
      <c r="G12">
        <f t="shared" si="0"/>
        <v>18.125</v>
      </c>
    </row>
    <row r="13" spans="1:7" x14ac:dyDescent="0.25">
      <c r="A13" t="s">
        <v>2072</v>
      </c>
      <c r="B13">
        <v>100</v>
      </c>
      <c r="C13">
        <v>36</v>
      </c>
      <c r="D13">
        <v>8</v>
      </c>
      <c r="G13">
        <f t="shared" si="0"/>
        <v>18.125</v>
      </c>
    </row>
    <row r="14" spans="1:7" x14ac:dyDescent="0.25">
      <c r="A14" t="s">
        <v>2073</v>
      </c>
      <c r="B14">
        <v>100</v>
      </c>
      <c r="C14">
        <v>36</v>
      </c>
      <c r="D14">
        <v>10</v>
      </c>
      <c r="G14">
        <f t="shared" si="0"/>
        <v>18.125</v>
      </c>
    </row>
    <row r="15" spans="1:7" x14ac:dyDescent="0.25">
      <c r="A15" t="s">
        <v>2074</v>
      </c>
      <c r="B15">
        <v>100</v>
      </c>
      <c r="C15">
        <v>42</v>
      </c>
      <c r="D15">
        <v>6</v>
      </c>
      <c r="G15">
        <f t="shared" si="0"/>
        <v>21.125</v>
      </c>
    </row>
    <row r="16" spans="1:7" x14ac:dyDescent="0.25">
      <c r="A16" t="s">
        <v>2075</v>
      </c>
      <c r="B16">
        <v>100</v>
      </c>
      <c r="C16">
        <v>42</v>
      </c>
      <c r="D16">
        <v>8</v>
      </c>
      <c r="G16">
        <f t="shared" si="0"/>
        <v>21.125</v>
      </c>
    </row>
    <row r="17" spans="1:7" x14ac:dyDescent="0.25">
      <c r="A17" t="s">
        <v>2076</v>
      </c>
      <c r="B17">
        <v>100</v>
      </c>
      <c r="C17">
        <v>42</v>
      </c>
      <c r="D17">
        <v>10</v>
      </c>
      <c r="G17">
        <f t="shared" si="0"/>
        <v>21.125</v>
      </c>
    </row>
    <row r="18" spans="1:7" x14ac:dyDescent="0.25">
      <c r="A18" t="s">
        <v>2077</v>
      </c>
      <c r="B18">
        <v>100</v>
      </c>
      <c r="C18">
        <v>48</v>
      </c>
      <c r="D18">
        <v>8</v>
      </c>
      <c r="G18">
        <f t="shared" si="0"/>
        <v>24.125</v>
      </c>
    </row>
    <row r="19" spans="1:7" x14ac:dyDescent="0.25">
      <c r="A19" t="s">
        <v>2078</v>
      </c>
      <c r="B19">
        <v>100</v>
      </c>
      <c r="C19">
        <v>54</v>
      </c>
      <c r="D19">
        <v>8</v>
      </c>
      <c r="G19">
        <f t="shared" si="0"/>
        <v>27.125</v>
      </c>
    </row>
    <row r="20" spans="1:7" x14ac:dyDescent="0.25">
      <c r="A20" t="s">
        <v>2079</v>
      </c>
      <c r="B20">
        <v>100</v>
      </c>
      <c r="C20">
        <v>60</v>
      </c>
      <c r="D20">
        <v>6</v>
      </c>
      <c r="G20">
        <f t="shared" si="0"/>
        <v>30.125</v>
      </c>
    </row>
    <row r="21" spans="1:7" x14ac:dyDescent="0.25">
      <c r="A21" t="s">
        <v>2080</v>
      </c>
      <c r="B21">
        <v>100</v>
      </c>
      <c r="C21">
        <v>60</v>
      </c>
      <c r="D21">
        <v>8</v>
      </c>
      <c r="G21">
        <f t="shared" si="0"/>
        <v>30.125</v>
      </c>
    </row>
    <row r="22" spans="1:7" x14ac:dyDescent="0.25">
      <c r="A22" t="s">
        <v>2081</v>
      </c>
      <c r="B22">
        <v>125</v>
      </c>
      <c r="C22">
        <v>36</v>
      </c>
      <c r="D22">
        <v>8</v>
      </c>
      <c r="G22">
        <f t="shared" si="0"/>
        <v>18.125</v>
      </c>
    </row>
    <row r="23" spans="1:7" x14ac:dyDescent="0.25">
      <c r="A23" t="s">
        <v>2082</v>
      </c>
      <c r="B23">
        <v>125</v>
      </c>
      <c r="C23">
        <v>42</v>
      </c>
      <c r="D23">
        <v>6</v>
      </c>
      <c r="G23">
        <f t="shared" si="0"/>
        <v>21.125</v>
      </c>
    </row>
    <row r="24" spans="1:7" x14ac:dyDescent="0.25">
      <c r="A24" t="s">
        <v>2083</v>
      </c>
      <c r="B24">
        <v>150</v>
      </c>
      <c r="C24">
        <v>48</v>
      </c>
      <c r="D24">
        <v>8</v>
      </c>
      <c r="G24">
        <f t="shared" si="0"/>
        <v>24.125</v>
      </c>
    </row>
    <row r="25" spans="1:7" x14ac:dyDescent="0.25">
      <c r="A25" t="s">
        <v>2084</v>
      </c>
      <c r="B25">
        <v>150</v>
      </c>
      <c r="C25">
        <v>36</v>
      </c>
      <c r="D25">
        <v>6</v>
      </c>
      <c r="G25">
        <f t="shared" si="0"/>
        <v>18.125</v>
      </c>
    </row>
    <row r="26" spans="1:7" x14ac:dyDescent="0.25">
      <c r="A26" t="s">
        <v>2085</v>
      </c>
      <c r="B26">
        <v>150</v>
      </c>
      <c r="C26">
        <v>36</v>
      </c>
      <c r="D26">
        <v>8</v>
      </c>
      <c r="G26">
        <f t="shared" si="0"/>
        <v>18.125</v>
      </c>
    </row>
    <row r="27" spans="1:7" x14ac:dyDescent="0.25">
      <c r="A27" t="s">
        <v>2085</v>
      </c>
      <c r="B27">
        <v>150</v>
      </c>
      <c r="C27">
        <v>36</v>
      </c>
      <c r="D27">
        <v>8</v>
      </c>
      <c r="G27">
        <f t="shared" si="0"/>
        <v>18.125</v>
      </c>
    </row>
    <row r="28" spans="1:7" x14ac:dyDescent="0.25">
      <c r="A28" t="s">
        <v>2086</v>
      </c>
      <c r="B28">
        <v>150</v>
      </c>
      <c r="C28">
        <v>42</v>
      </c>
      <c r="D28">
        <v>6</v>
      </c>
      <c r="G28">
        <f t="shared" si="0"/>
        <v>21.125</v>
      </c>
    </row>
    <row r="29" spans="1:7" x14ac:dyDescent="0.25">
      <c r="A29" t="s">
        <v>2087</v>
      </c>
      <c r="B29">
        <v>150</v>
      </c>
      <c r="C29">
        <v>42</v>
      </c>
      <c r="D29">
        <v>8</v>
      </c>
      <c r="G29">
        <f t="shared" si="0"/>
        <v>21.125</v>
      </c>
    </row>
    <row r="30" spans="1:7" x14ac:dyDescent="0.25">
      <c r="A30" t="s">
        <v>2088</v>
      </c>
      <c r="B30">
        <v>150</v>
      </c>
      <c r="C30">
        <v>42</v>
      </c>
      <c r="D30">
        <v>10</v>
      </c>
      <c r="G30">
        <f t="shared" si="0"/>
        <v>21.125</v>
      </c>
    </row>
    <row r="31" spans="1:7" x14ac:dyDescent="0.25">
      <c r="A31" t="s">
        <v>2089</v>
      </c>
      <c r="B31">
        <v>150</v>
      </c>
      <c r="C31">
        <v>48</v>
      </c>
      <c r="D31">
        <v>8</v>
      </c>
      <c r="G31">
        <f t="shared" si="0"/>
        <v>24.125</v>
      </c>
    </row>
    <row r="32" spans="1:7" x14ac:dyDescent="0.25">
      <c r="A32" t="s">
        <v>2090</v>
      </c>
      <c r="B32">
        <v>200</v>
      </c>
      <c r="C32">
        <v>42</v>
      </c>
      <c r="D32">
        <v>8</v>
      </c>
      <c r="G32">
        <f t="shared" si="0"/>
        <v>21.125</v>
      </c>
    </row>
    <row r="33" spans="1:7" x14ac:dyDescent="0.25">
      <c r="A33" t="s">
        <v>2091</v>
      </c>
      <c r="B33">
        <v>200</v>
      </c>
      <c r="C33">
        <v>42</v>
      </c>
      <c r="D33">
        <v>12</v>
      </c>
      <c r="G33">
        <f t="shared" si="0"/>
        <v>21.125</v>
      </c>
    </row>
    <row r="34" spans="1:7" x14ac:dyDescent="0.25">
      <c r="A34" t="s">
        <v>2092</v>
      </c>
      <c r="B34">
        <v>200</v>
      </c>
      <c r="C34">
        <v>48</v>
      </c>
      <c r="D34">
        <v>6</v>
      </c>
      <c r="G34">
        <f t="shared" si="0"/>
        <v>24.125</v>
      </c>
    </row>
    <row r="35" spans="1:7" x14ac:dyDescent="0.25">
      <c r="A35" t="s">
        <v>2093</v>
      </c>
      <c r="B35">
        <v>200</v>
      </c>
      <c r="C35">
        <v>48</v>
      </c>
      <c r="D35">
        <v>8</v>
      </c>
      <c r="G35">
        <f t="shared" si="0"/>
        <v>24.125</v>
      </c>
    </row>
    <row r="36" spans="1:7" x14ac:dyDescent="0.25">
      <c r="A36" t="s">
        <v>2094</v>
      </c>
      <c r="B36">
        <v>200</v>
      </c>
      <c r="C36">
        <v>48</v>
      </c>
      <c r="D36">
        <v>12</v>
      </c>
      <c r="G36">
        <f t="shared" si="0"/>
        <v>24.125</v>
      </c>
    </row>
    <row r="37" spans="1:7" x14ac:dyDescent="0.25">
      <c r="A37" t="s">
        <v>2095</v>
      </c>
      <c r="B37">
        <v>200</v>
      </c>
      <c r="C37">
        <v>60</v>
      </c>
      <c r="D37">
        <v>12</v>
      </c>
      <c r="G37">
        <f t="shared" si="0"/>
        <v>30.125</v>
      </c>
    </row>
    <row r="38" spans="1:7" ht="13.5" customHeight="1" x14ac:dyDescent="0.25">
      <c r="A38" t="s">
        <v>2096</v>
      </c>
      <c r="B38">
        <v>250</v>
      </c>
      <c r="C38">
        <v>36</v>
      </c>
      <c r="D38">
        <v>8</v>
      </c>
      <c r="G38">
        <f t="shared" si="0"/>
        <v>18.125</v>
      </c>
    </row>
    <row r="39" spans="1:7" x14ac:dyDescent="0.25">
      <c r="A39" t="s">
        <v>2097</v>
      </c>
      <c r="B39">
        <v>250</v>
      </c>
      <c r="C39">
        <v>36</v>
      </c>
      <c r="D39">
        <v>12</v>
      </c>
      <c r="G39">
        <f t="shared" si="0"/>
        <v>18.125</v>
      </c>
    </row>
    <row r="40" spans="1:7" x14ac:dyDescent="0.25">
      <c r="A40" s="74" t="s">
        <v>2098</v>
      </c>
      <c r="B40" s="74">
        <v>250</v>
      </c>
      <c r="C40" s="74">
        <v>42</v>
      </c>
      <c r="D40" s="74">
        <v>6</v>
      </c>
      <c r="E40" s="74"/>
      <c r="F40" s="74"/>
      <c r="G40" s="74">
        <f t="shared" si="0"/>
        <v>21.125</v>
      </c>
    </row>
    <row r="41" spans="1:7" x14ac:dyDescent="0.25">
      <c r="A41" s="74" t="s">
        <v>2099</v>
      </c>
      <c r="B41" s="74">
        <v>250</v>
      </c>
      <c r="C41" s="74">
        <v>42</v>
      </c>
      <c r="D41" s="74">
        <v>8</v>
      </c>
      <c r="E41" s="74"/>
      <c r="F41" s="74"/>
      <c r="G41" s="74">
        <f t="shared" si="0"/>
        <v>21.125</v>
      </c>
    </row>
    <row r="42" spans="1:7" x14ac:dyDescent="0.25">
      <c r="A42" s="74" t="s">
        <v>2100</v>
      </c>
      <c r="B42" s="74">
        <v>250</v>
      </c>
      <c r="C42" s="74">
        <v>42</v>
      </c>
      <c r="D42" s="74">
        <v>10</v>
      </c>
      <c r="E42" s="74"/>
      <c r="F42" s="74"/>
      <c r="G42" s="74">
        <f t="shared" si="0"/>
        <v>21.125</v>
      </c>
    </row>
    <row r="43" spans="1:7" x14ac:dyDescent="0.25">
      <c r="A43" s="74" t="s">
        <v>2101</v>
      </c>
      <c r="B43" s="74">
        <v>250</v>
      </c>
      <c r="C43" s="74">
        <v>42</v>
      </c>
      <c r="D43" s="74">
        <v>12</v>
      </c>
      <c r="E43" s="74"/>
      <c r="F43" s="74"/>
      <c r="G43" s="74">
        <f t="shared" si="0"/>
        <v>21.125</v>
      </c>
    </row>
    <row r="44" spans="1:7" x14ac:dyDescent="0.25">
      <c r="A44" t="s">
        <v>2102</v>
      </c>
      <c r="B44">
        <v>250</v>
      </c>
      <c r="C44">
        <v>48</v>
      </c>
      <c r="D44">
        <v>10</v>
      </c>
      <c r="G44">
        <f t="shared" si="0"/>
        <v>24.125</v>
      </c>
    </row>
    <row r="45" spans="1:7" x14ac:dyDescent="0.25">
      <c r="A45" t="s">
        <v>2103</v>
      </c>
      <c r="B45">
        <v>250</v>
      </c>
      <c r="C45">
        <v>60</v>
      </c>
      <c r="D45">
        <v>6</v>
      </c>
      <c r="G45">
        <f t="shared" si="0"/>
        <v>30.125</v>
      </c>
    </row>
    <row r="46" spans="1:7" x14ac:dyDescent="0.25">
      <c r="A46" t="s">
        <v>2104</v>
      </c>
      <c r="B46">
        <v>250</v>
      </c>
      <c r="C46">
        <v>60</v>
      </c>
      <c r="D46">
        <v>10</v>
      </c>
      <c r="G46">
        <f t="shared" si="0"/>
        <v>30.125</v>
      </c>
    </row>
    <row r="47" spans="1:7" x14ac:dyDescent="0.25">
      <c r="A47" t="s">
        <v>2105</v>
      </c>
      <c r="B47">
        <v>300</v>
      </c>
      <c r="C47">
        <v>36</v>
      </c>
      <c r="D47">
        <v>8</v>
      </c>
      <c r="G47">
        <f t="shared" si="0"/>
        <v>18.125</v>
      </c>
    </row>
    <row r="48" spans="1:7" x14ac:dyDescent="0.25">
      <c r="A48" t="s">
        <v>2106</v>
      </c>
      <c r="B48">
        <v>300</v>
      </c>
      <c r="C48">
        <v>42</v>
      </c>
      <c r="D48">
        <v>8</v>
      </c>
      <c r="G48">
        <f t="shared" si="0"/>
        <v>21.125</v>
      </c>
    </row>
    <row r="49" spans="1:7" x14ac:dyDescent="0.25">
      <c r="A49" t="s">
        <v>2107</v>
      </c>
      <c r="B49">
        <v>300</v>
      </c>
      <c r="C49">
        <v>42</v>
      </c>
      <c r="D49">
        <v>10</v>
      </c>
      <c r="G49">
        <f t="shared" si="0"/>
        <v>21.125</v>
      </c>
    </row>
    <row r="50" spans="1:7" x14ac:dyDescent="0.25">
      <c r="A50" t="s">
        <v>2108</v>
      </c>
      <c r="B50">
        <v>300</v>
      </c>
      <c r="C50">
        <v>42</v>
      </c>
      <c r="D50">
        <v>12</v>
      </c>
      <c r="G50">
        <f t="shared" si="0"/>
        <v>21.125</v>
      </c>
    </row>
    <row r="51" spans="1:7" x14ac:dyDescent="0.25">
      <c r="A51" t="s">
        <v>2109</v>
      </c>
      <c r="B51">
        <v>300</v>
      </c>
      <c r="C51">
        <v>42</v>
      </c>
      <c r="D51">
        <v>12</v>
      </c>
      <c r="G51">
        <f t="shared" si="0"/>
        <v>21.125</v>
      </c>
    </row>
    <row r="52" spans="1:7" x14ac:dyDescent="0.25">
      <c r="A52" t="s">
        <v>2110</v>
      </c>
      <c r="B52">
        <v>300</v>
      </c>
      <c r="C52">
        <v>42</v>
      </c>
      <c r="D52">
        <v>16</v>
      </c>
      <c r="G52">
        <f t="shared" si="0"/>
        <v>21.125</v>
      </c>
    </row>
    <row r="53" spans="1:7" x14ac:dyDescent="0.25">
      <c r="A53" t="s">
        <v>2111</v>
      </c>
      <c r="B53">
        <v>300</v>
      </c>
      <c r="C53">
        <v>48</v>
      </c>
      <c r="D53">
        <v>8</v>
      </c>
      <c r="G53">
        <f t="shared" si="0"/>
        <v>24.125</v>
      </c>
    </row>
    <row r="54" spans="1:7" x14ac:dyDescent="0.25">
      <c r="A54" t="s">
        <v>2112</v>
      </c>
      <c r="B54">
        <v>300</v>
      </c>
      <c r="C54">
        <v>48</v>
      </c>
      <c r="D54">
        <v>10</v>
      </c>
      <c r="G54">
        <f t="shared" si="0"/>
        <v>24.125</v>
      </c>
    </row>
    <row r="55" spans="1:7" x14ac:dyDescent="0.25">
      <c r="A55" t="s">
        <v>2113</v>
      </c>
      <c r="B55">
        <v>300</v>
      </c>
      <c r="C55">
        <v>48</v>
      </c>
      <c r="D55">
        <v>12</v>
      </c>
      <c r="G55">
        <f t="shared" si="0"/>
        <v>24.125</v>
      </c>
    </row>
    <row r="56" spans="1:7" x14ac:dyDescent="0.25">
      <c r="A56" t="s">
        <v>2114</v>
      </c>
      <c r="B56">
        <v>300</v>
      </c>
      <c r="C56">
        <v>60</v>
      </c>
      <c r="D56">
        <v>8</v>
      </c>
      <c r="G56">
        <f t="shared" si="0"/>
        <v>30.125</v>
      </c>
    </row>
    <row r="57" spans="1:7" x14ac:dyDescent="0.25">
      <c r="A57" t="s">
        <v>2115</v>
      </c>
      <c r="B57">
        <v>400</v>
      </c>
      <c r="C57">
        <v>42</v>
      </c>
      <c r="D57">
        <v>8</v>
      </c>
      <c r="G57">
        <f t="shared" si="0"/>
        <v>21.125</v>
      </c>
    </row>
    <row r="58" spans="1:7" x14ac:dyDescent="0.25">
      <c r="A58" t="s">
        <v>2116</v>
      </c>
      <c r="B58">
        <v>400</v>
      </c>
      <c r="C58">
        <v>48</v>
      </c>
      <c r="D58">
        <v>12</v>
      </c>
      <c r="G58">
        <f t="shared" si="0"/>
        <v>24.125</v>
      </c>
    </row>
    <row r="59" spans="1:7" x14ac:dyDescent="0.25">
      <c r="A59" t="s">
        <v>2117</v>
      </c>
      <c r="B59">
        <v>400</v>
      </c>
      <c r="C59">
        <v>60</v>
      </c>
      <c r="D59">
        <v>8</v>
      </c>
      <c r="G59">
        <f t="shared" si="0"/>
        <v>30.125</v>
      </c>
    </row>
    <row r="60" spans="1:7" x14ac:dyDescent="0.25">
      <c r="A60" t="s">
        <v>2118</v>
      </c>
      <c r="B60">
        <v>400</v>
      </c>
      <c r="C60">
        <v>60</v>
      </c>
      <c r="D60">
        <v>12</v>
      </c>
      <c r="G60">
        <f t="shared" si="0"/>
        <v>30.125</v>
      </c>
    </row>
    <row r="61" spans="1:7" x14ac:dyDescent="0.25">
      <c r="A61" t="s">
        <v>2119</v>
      </c>
      <c r="B61">
        <v>500</v>
      </c>
      <c r="C61">
        <v>36</v>
      </c>
      <c r="D61">
        <v>6</v>
      </c>
      <c r="G61">
        <f t="shared" si="0"/>
        <v>18.125</v>
      </c>
    </row>
    <row r="62" spans="1:7" x14ac:dyDescent="0.25">
      <c r="A62" t="s">
        <v>2120</v>
      </c>
      <c r="B62">
        <v>500</v>
      </c>
      <c r="C62">
        <v>36</v>
      </c>
      <c r="D62">
        <v>16</v>
      </c>
      <c r="G62">
        <f t="shared" si="0"/>
        <v>18.125</v>
      </c>
    </row>
    <row r="63" spans="1:7" x14ac:dyDescent="0.25">
      <c r="A63" t="s">
        <v>2121</v>
      </c>
      <c r="B63">
        <v>500</v>
      </c>
      <c r="C63">
        <v>42</v>
      </c>
      <c r="D63">
        <v>6</v>
      </c>
      <c r="G63">
        <f t="shared" si="0"/>
        <v>21.125</v>
      </c>
    </row>
    <row r="64" spans="1:7" x14ac:dyDescent="0.25">
      <c r="A64" t="s">
        <v>2122</v>
      </c>
      <c r="B64">
        <v>500</v>
      </c>
      <c r="C64">
        <v>42</v>
      </c>
      <c r="D64">
        <v>8</v>
      </c>
      <c r="G64">
        <f t="shared" si="0"/>
        <v>21.125</v>
      </c>
    </row>
    <row r="65" spans="1:7" x14ac:dyDescent="0.25">
      <c r="A65" t="s">
        <v>2123</v>
      </c>
      <c r="B65">
        <v>500</v>
      </c>
      <c r="C65">
        <v>42</v>
      </c>
      <c r="D65">
        <v>10</v>
      </c>
      <c r="G65">
        <f t="shared" si="0"/>
        <v>21.125</v>
      </c>
    </row>
    <row r="66" spans="1:7" x14ac:dyDescent="0.25">
      <c r="A66" t="s">
        <v>2124</v>
      </c>
      <c r="B66">
        <v>500</v>
      </c>
      <c r="C66">
        <v>42</v>
      </c>
      <c r="D66">
        <v>12</v>
      </c>
      <c r="G66">
        <f t="shared" si="0"/>
        <v>21.125</v>
      </c>
    </row>
    <row r="67" spans="1:7" x14ac:dyDescent="0.25">
      <c r="A67" t="s">
        <v>2125</v>
      </c>
      <c r="B67">
        <v>500</v>
      </c>
      <c r="C67">
        <v>42</v>
      </c>
      <c r="D67">
        <v>16</v>
      </c>
      <c r="G67">
        <f t="shared" ref="G67:G73" si="1">C67/2+0.125</f>
        <v>21.125</v>
      </c>
    </row>
    <row r="68" spans="1:7" x14ac:dyDescent="0.25">
      <c r="A68" t="s">
        <v>2126</v>
      </c>
      <c r="B68">
        <v>500</v>
      </c>
      <c r="C68">
        <v>48</v>
      </c>
      <c r="D68">
        <v>8</v>
      </c>
      <c r="G68">
        <f t="shared" si="1"/>
        <v>24.125</v>
      </c>
    </row>
    <row r="69" spans="1:7" x14ac:dyDescent="0.25">
      <c r="A69" t="s">
        <v>2127</v>
      </c>
      <c r="B69">
        <v>500</v>
      </c>
      <c r="C69">
        <v>48</v>
      </c>
      <c r="D69">
        <v>10</v>
      </c>
      <c r="G69">
        <f t="shared" si="1"/>
        <v>24.125</v>
      </c>
    </row>
    <row r="70" spans="1:7" x14ac:dyDescent="0.25">
      <c r="A70" t="s">
        <v>2128</v>
      </c>
      <c r="B70">
        <v>500</v>
      </c>
      <c r="C70">
        <v>48</v>
      </c>
      <c r="D70">
        <v>12</v>
      </c>
      <c r="G70">
        <f t="shared" si="1"/>
        <v>24.125</v>
      </c>
    </row>
    <row r="71" spans="1:7" x14ac:dyDescent="0.25">
      <c r="A71" t="s">
        <v>2129</v>
      </c>
      <c r="B71">
        <v>500</v>
      </c>
      <c r="C71">
        <v>60</v>
      </c>
      <c r="D71">
        <v>10</v>
      </c>
      <c r="G71">
        <f t="shared" si="1"/>
        <v>30.125</v>
      </c>
    </row>
    <row r="72" spans="1:7" x14ac:dyDescent="0.25">
      <c r="A72" t="s">
        <v>2130</v>
      </c>
      <c r="B72">
        <v>500</v>
      </c>
      <c r="C72">
        <v>60</v>
      </c>
      <c r="D72">
        <v>14</v>
      </c>
      <c r="G72">
        <f t="shared" si="1"/>
        <v>30.125</v>
      </c>
    </row>
    <row r="73" spans="1:7" x14ac:dyDescent="0.25">
      <c r="A73" t="s">
        <v>2131</v>
      </c>
      <c r="B73">
        <v>200</v>
      </c>
      <c r="C73">
        <v>42</v>
      </c>
      <c r="D73">
        <v>12</v>
      </c>
      <c r="G73">
        <f t="shared" si="1"/>
        <v>21.125</v>
      </c>
    </row>
  </sheetData>
  <autoFilter ref="A1:G73" xr:uid="{00000000-0001-0000-0A00-000000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64"/>
  <sheetViews>
    <sheetView topLeftCell="B18" workbookViewId="0">
      <selection activeCell="A26" sqref="A26"/>
    </sheetView>
  </sheetViews>
  <sheetFormatPr defaultColWidth="11.21875" defaultRowHeight="12.75" x14ac:dyDescent="0.25"/>
  <cols>
    <col min="1" max="1" width="19.44140625" style="34" customWidth="1"/>
    <col min="2" max="2" width="18.88671875" style="34" customWidth="1"/>
    <col min="3" max="3" width="11.21875" style="34"/>
    <col min="4" max="16384" width="11.21875" style="35"/>
  </cols>
  <sheetData>
    <row r="1" spans="1:42" s="29" customFormat="1" ht="55.5" customHeight="1" x14ac:dyDescent="0.25">
      <c r="A1" s="109" t="s">
        <v>76</v>
      </c>
      <c r="B1" s="109"/>
      <c r="C1" s="109"/>
      <c r="D1" s="109"/>
      <c r="E1" s="109"/>
      <c r="F1" s="29" t="s">
        <v>180</v>
      </c>
      <c r="G1" s="29" t="s">
        <v>181</v>
      </c>
      <c r="H1" s="29" t="s">
        <v>182</v>
      </c>
      <c r="I1" s="29" t="s">
        <v>183</v>
      </c>
      <c r="J1" s="29" t="s">
        <v>184</v>
      </c>
      <c r="K1" s="29" t="s">
        <v>185</v>
      </c>
      <c r="L1" s="29" t="s">
        <v>186</v>
      </c>
      <c r="M1" s="29" t="s">
        <v>187</v>
      </c>
      <c r="N1" s="29" t="s">
        <v>188</v>
      </c>
      <c r="O1" s="29" t="s">
        <v>189</v>
      </c>
      <c r="P1" s="29" t="s">
        <v>190</v>
      </c>
      <c r="Q1" s="29" t="s">
        <v>191</v>
      </c>
      <c r="R1" s="29" t="s">
        <v>192</v>
      </c>
      <c r="S1" s="29" t="s">
        <v>193</v>
      </c>
      <c r="T1" s="29" t="s">
        <v>194</v>
      </c>
      <c r="U1" s="29" t="s">
        <v>195</v>
      </c>
      <c r="V1" s="29" t="s">
        <v>196</v>
      </c>
      <c r="W1" s="29" t="s">
        <v>197</v>
      </c>
      <c r="X1" s="29" t="s">
        <v>198</v>
      </c>
      <c r="Y1" s="29" t="s">
        <v>199</v>
      </c>
      <c r="Z1" s="29" t="s">
        <v>200</v>
      </c>
      <c r="AA1" s="29" t="s">
        <v>201</v>
      </c>
      <c r="AB1" s="29" t="s">
        <v>202</v>
      </c>
      <c r="AC1" s="29" t="s">
        <v>203</v>
      </c>
      <c r="AD1" s="29" t="s">
        <v>204</v>
      </c>
      <c r="AE1" s="29" t="s">
        <v>205</v>
      </c>
      <c r="AF1" s="29" t="s">
        <v>206</v>
      </c>
      <c r="AG1" s="29" t="s">
        <v>207</v>
      </c>
      <c r="AH1" s="29" t="s">
        <v>208</v>
      </c>
      <c r="AI1" s="29" t="s">
        <v>209</v>
      </c>
      <c r="AJ1" s="29" t="s">
        <v>210</v>
      </c>
      <c r="AK1" s="29" t="s">
        <v>211</v>
      </c>
      <c r="AL1" s="29" t="s">
        <v>212</v>
      </c>
      <c r="AM1" s="29" t="s">
        <v>213</v>
      </c>
      <c r="AN1" s="29" t="s">
        <v>214</v>
      </c>
      <c r="AO1" s="29" t="s">
        <v>215</v>
      </c>
      <c r="AP1" s="29" t="s">
        <v>216</v>
      </c>
    </row>
    <row r="2" spans="1:42" s="33" customFormat="1" x14ac:dyDescent="0.25">
      <c r="A2" s="30" t="s">
        <v>76</v>
      </c>
      <c r="B2" s="30" t="s">
        <v>270</v>
      </c>
      <c r="C2" s="30" t="s">
        <v>271</v>
      </c>
      <c r="D2" s="30" t="s">
        <v>272</v>
      </c>
      <c r="E2" s="30" t="s">
        <v>273</v>
      </c>
      <c r="F2" s="30" t="s">
        <v>377</v>
      </c>
      <c r="G2" s="30" t="s">
        <v>378</v>
      </c>
      <c r="H2" s="30" t="s">
        <v>379</v>
      </c>
      <c r="I2" s="30" t="s">
        <v>380</v>
      </c>
      <c r="J2" s="30" t="s">
        <v>381</v>
      </c>
      <c r="K2" s="30" t="s">
        <v>382</v>
      </c>
      <c r="L2" s="30" t="s">
        <v>383</v>
      </c>
      <c r="M2" s="30" t="s">
        <v>384</v>
      </c>
      <c r="N2" s="30" t="s">
        <v>385</v>
      </c>
      <c r="O2" s="30" t="s">
        <v>386</v>
      </c>
      <c r="P2" s="31" t="s">
        <v>387</v>
      </c>
      <c r="Q2" s="32" t="s">
        <v>388</v>
      </c>
      <c r="R2" s="31" t="s">
        <v>389</v>
      </c>
      <c r="S2" s="30" t="s">
        <v>390</v>
      </c>
      <c r="T2" s="30" t="s">
        <v>391</v>
      </c>
      <c r="U2" s="30" t="s">
        <v>392</v>
      </c>
      <c r="V2" s="30" t="s">
        <v>393</v>
      </c>
      <c r="W2" s="32" t="s">
        <v>394</v>
      </c>
      <c r="X2" s="31" t="s">
        <v>395</v>
      </c>
      <c r="Y2" s="30" t="s">
        <v>396</v>
      </c>
      <c r="Z2" s="30" t="s">
        <v>397</v>
      </c>
      <c r="AA2" s="30" t="s">
        <v>398</v>
      </c>
      <c r="AB2" s="30" t="s">
        <v>399</v>
      </c>
      <c r="AC2" s="32" t="s">
        <v>400</v>
      </c>
      <c r="AD2" s="31" t="s">
        <v>401</v>
      </c>
      <c r="AE2" s="30" t="s">
        <v>402</v>
      </c>
      <c r="AF2" s="30" t="s">
        <v>403</v>
      </c>
      <c r="AG2" s="30" t="s">
        <v>404</v>
      </c>
      <c r="AH2" s="30" t="s">
        <v>405</v>
      </c>
      <c r="AI2" s="32" t="s">
        <v>406</v>
      </c>
      <c r="AJ2" s="31" t="s">
        <v>407</v>
      </c>
      <c r="AK2" s="30" t="s">
        <v>408</v>
      </c>
      <c r="AL2" s="30" t="s">
        <v>409</v>
      </c>
      <c r="AM2" s="30" t="s">
        <v>410</v>
      </c>
      <c r="AN2" s="30" t="s">
        <v>411</v>
      </c>
      <c r="AO2" s="32" t="s">
        <v>412</v>
      </c>
      <c r="AP2" s="31" t="s">
        <v>413</v>
      </c>
    </row>
    <row r="3" spans="1:42" s="27" customFormat="1" ht="15.75" customHeight="1" x14ac:dyDescent="0.25">
      <c r="A3" s="22" t="s">
        <v>467</v>
      </c>
      <c r="B3" s="23" t="s">
        <v>468</v>
      </c>
      <c r="C3" s="23">
        <v>35</v>
      </c>
      <c r="D3" s="23">
        <v>21</v>
      </c>
      <c r="E3" s="24">
        <v>22.333333333300001</v>
      </c>
      <c r="F3" s="23">
        <v>60</v>
      </c>
      <c r="G3" s="23">
        <v>42</v>
      </c>
      <c r="H3" s="23">
        <v>59.564999999999998</v>
      </c>
      <c r="I3" s="23">
        <v>42.4375</v>
      </c>
      <c r="J3" s="23">
        <v>0.3125</v>
      </c>
      <c r="K3" s="23">
        <v>45</v>
      </c>
      <c r="L3" s="23">
        <v>8</v>
      </c>
      <c r="M3" s="23">
        <v>101.75</v>
      </c>
      <c r="N3" s="23">
        <v>59.564999999999998</v>
      </c>
      <c r="O3" s="23">
        <v>42.25</v>
      </c>
      <c r="P3" s="23">
        <v>0.3125</v>
      </c>
      <c r="Q3" s="25">
        <v>90</v>
      </c>
      <c r="R3" s="23">
        <v>4</v>
      </c>
      <c r="S3" s="26" t="s">
        <v>470</v>
      </c>
      <c r="T3" s="23" t="s">
        <v>470</v>
      </c>
      <c r="U3" s="23" t="s">
        <v>470</v>
      </c>
      <c r="V3" s="23" t="s">
        <v>470</v>
      </c>
      <c r="W3" s="23" t="s">
        <v>470</v>
      </c>
      <c r="X3" s="23" t="s">
        <v>470</v>
      </c>
      <c r="Y3" s="23" t="s">
        <v>470</v>
      </c>
      <c r="Z3" s="23" t="s">
        <v>470</v>
      </c>
      <c r="AA3" s="23" t="s">
        <v>470</v>
      </c>
      <c r="AB3" s="23" t="s">
        <v>470</v>
      </c>
      <c r="AC3" s="23" t="s">
        <v>470</v>
      </c>
      <c r="AD3" s="23" t="s">
        <v>470</v>
      </c>
      <c r="AE3" s="23" t="s">
        <v>470</v>
      </c>
      <c r="AF3" s="23" t="s">
        <v>470</v>
      </c>
      <c r="AG3" s="23" t="s">
        <v>470</v>
      </c>
      <c r="AH3" s="23" t="s">
        <v>470</v>
      </c>
      <c r="AI3" s="23" t="s">
        <v>470</v>
      </c>
      <c r="AJ3" s="23" t="s">
        <v>470</v>
      </c>
      <c r="AK3" s="23" t="s">
        <v>470</v>
      </c>
      <c r="AL3" s="23" t="s">
        <v>470</v>
      </c>
      <c r="AM3" s="23" t="s">
        <v>470</v>
      </c>
      <c r="AN3" s="23" t="s">
        <v>470</v>
      </c>
      <c r="AO3" s="23" t="s">
        <v>470</v>
      </c>
      <c r="AP3" s="23" t="s">
        <v>470</v>
      </c>
    </row>
    <row r="4" spans="1:42" s="27" customFormat="1" ht="15.75" customHeight="1" x14ac:dyDescent="0.25">
      <c r="A4" s="22" t="s">
        <v>471</v>
      </c>
      <c r="B4" s="23"/>
      <c r="C4" s="23">
        <v>50</v>
      </c>
      <c r="D4" s="23">
        <v>21</v>
      </c>
      <c r="E4" s="24">
        <v>22.333333333300001</v>
      </c>
      <c r="F4" s="23">
        <v>60</v>
      </c>
      <c r="G4" s="23">
        <v>42</v>
      </c>
      <c r="H4" s="23">
        <v>59.5625</v>
      </c>
      <c r="I4" s="23">
        <v>42.4375</v>
      </c>
      <c r="J4" s="23">
        <v>0.5</v>
      </c>
      <c r="K4" s="23">
        <v>45</v>
      </c>
      <c r="L4" s="23">
        <v>8</v>
      </c>
      <c r="M4" s="23">
        <v>101.8125</v>
      </c>
      <c r="N4" s="23">
        <v>59.564999999999998</v>
      </c>
      <c r="O4" s="23">
        <v>42.25</v>
      </c>
      <c r="P4" s="23">
        <v>0.25</v>
      </c>
      <c r="Q4" s="25">
        <v>90</v>
      </c>
      <c r="R4" s="23">
        <v>4</v>
      </c>
      <c r="S4" s="26" t="s">
        <v>470</v>
      </c>
      <c r="T4" s="23" t="s">
        <v>470</v>
      </c>
      <c r="U4" s="23" t="s">
        <v>470</v>
      </c>
      <c r="V4" s="23" t="s">
        <v>470</v>
      </c>
      <c r="W4" s="23" t="s">
        <v>470</v>
      </c>
      <c r="X4" s="23" t="s">
        <v>470</v>
      </c>
      <c r="Y4" s="23" t="s">
        <v>470</v>
      </c>
      <c r="Z4" s="23" t="s">
        <v>470</v>
      </c>
      <c r="AA4" s="23" t="s">
        <v>470</v>
      </c>
      <c r="AB4" s="23" t="s">
        <v>470</v>
      </c>
      <c r="AC4" s="23" t="s">
        <v>470</v>
      </c>
      <c r="AD4" s="23" t="s">
        <v>470</v>
      </c>
      <c r="AE4" s="23" t="s">
        <v>470</v>
      </c>
      <c r="AF4" s="23" t="s">
        <v>470</v>
      </c>
      <c r="AG4" s="23" t="s">
        <v>470</v>
      </c>
      <c r="AH4" s="23" t="s">
        <v>470</v>
      </c>
      <c r="AI4" s="23" t="s">
        <v>470</v>
      </c>
      <c r="AJ4" s="23" t="s">
        <v>470</v>
      </c>
      <c r="AK4" s="23" t="s">
        <v>470</v>
      </c>
      <c r="AL4" s="23" t="s">
        <v>470</v>
      </c>
      <c r="AM4" s="23" t="s">
        <v>470</v>
      </c>
      <c r="AN4" s="23" t="s">
        <v>470</v>
      </c>
      <c r="AO4" s="23" t="s">
        <v>470</v>
      </c>
      <c r="AP4" s="23" t="s">
        <v>470</v>
      </c>
    </row>
    <row r="5" spans="1:42" s="27" customFormat="1" ht="15.75" customHeight="1" x14ac:dyDescent="0.25">
      <c r="A5" s="22" t="s">
        <v>472</v>
      </c>
      <c r="B5" s="23" t="s">
        <v>473</v>
      </c>
      <c r="C5" s="23">
        <v>50</v>
      </c>
      <c r="D5" s="23">
        <v>21</v>
      </c>
      <c r="E5" s="24">
        <v>15.333333333300001</v>
      </c>
      <c r="F5" s="23">
        <v>60</v>
      </c>
      <c r="G5" s="23">
        <v>42</v>
      </c>
      <c r="H5" s="23">
        <v>59.564999999999998</v>
      </c>
      <c r="I5" s="23">
        <v>42.4375</v>
      </c>
      <c r="J5" s="23">
        <v>0.3125</v>
      </c>
      <c r="K5" s="23">
        <v>45</v>
      </c>
      <c r="L5" s="23">
        <v>8</v>
      </c>
      <c r="M5" s="23">
        <v>101.8125</v>
      </c>
      <c r="N5" s="23">
        <v>59.564999999999998</v>
      </c>
      <c r="O5" s="23">
        <v>42.25</v>
      </c>
      <c r="P5" s="23">
        <v>0.3125</v>
      </c>
      <c r="Q5" s="25">
        <v>90</v>
      </c>
      <c r="R5" s="23">
        <v>4</v>
      </c>
      <c r="S5" s="2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s="27" customFormat="1" ht="15.75" customHeight="1" x14ac:dyDescent="0.25">
      <c r="A6" s="22" t="s">
        <v>474</v>
      </c>
      <c r="B6" s="23"/>
      <c r="C6" s="23">
        <v>50</v>
      </c>
      <c r="D6" s="23">
        <v>23</v>
      </c>
      <c r="E6" s="24">
        <v>22.333333333300001</v>
      </c>
      <c r="F6" s="23">
        <v>60</v>
      </c>
      <c r="G6" s="23">
        <v>42</v>
      </c>
      <c r="H6" s="23">
        <v>59.564999999999998</v>
      </c>
      <c r="I6" s="23">
        <v>42.4375</v>
      </c>
      <c r="J6" s="23">
        <v>0.5</v>
      </c>
      <c r="K6" s="23">
        <v>45</v>
      </c>
      <c r="L6" s="23">
        <v>8</v>
      </c>
      <c r="M6" s="23">
        <v>101.8125</v>
      </c>
      <c r="N6" s="23">
        <v>59.564999999999998</v>
      </c>
      <c r="O6" s="23">
        <v>42.25</v>
      </c>
      <c r="P6" s="23">
        <v>0.25</v>
      </c>
      <c r="Q6" s="25">
        <v>90</v>
      </c>
      <c r="R6" s="23">
        <v>4</v>
      </c>
      <c r="S6" s="26" t="s">
        <v>470</v>
      </c>
      <c r="T6" s="23" t="s">
        <v>470</v>
      </c>
      <c r="U6" s="23" t="s">
        <v>470</v>
      </c>
      <c r="V6" s="23" t="s">
        <v>470</v>
      </c>
      <c r="W6" s="23" t="s">
        <v>470</v>
      </c>
      <c r="X6" s="23" t="s">
        <v>470</v>
      </c>
      <c r="Y6" s="23" t="s">
        <v>470</v>
      </c>
      <c r="Z6" s="23" t="s">
        <v>470</v>
      </c>
      <c r="AA6" s="23" t="s">
        <v>470</v>
      </c>
      <c r="AB6" s="23" t="s">
        <v>470</v>
      </c>
      <c r="AC6" s="23" t="s">
        <v>470</v>
      </c>
      <c r="AD6" s="23" t="s">
        <v>470</v>
      </c>
      <c r="AE6" s="23" t="s">
        <v>470</v>
      </c>
      <c r="AF6" s="23" t="s">
        <v>470</v>
      </c>
      <c r="AG6" s="23" t="s">
        <v>470</v>
      </c>
      <c r="AH6" s="23" t="s">
        <v>470</v>
      </c>
      <c r="AI6" s="23" t="s">
        <v>470</v>
      </c>
      <c r="AJ6" s="23" t="s">
        <v>470</v>
      </c>
      <c r="AK6" s="23" t="s">
        <v>470</v>
      </c>
      <c r="AL6" s="23" t="s">
        <v>470</v>
      </c>
      <c r="AM6" s="23" t="s">
        <v>470</v>
      </c>
      <c r="AN6" s="23" t="s">
        <v>470</v>
      </c>
      <c r="AO6" s="23" t="s">
        <v>470</v>
      </c>
      <c r="AP6" s="23" t="s">
        <v>470</v>
      </c>
    </row>
    <row r="7" spans="1:42" s="27" customFormat="1" ht="15.75" customHeight="1" x14ac:dyDescent="0.25">
      <c r="A7" s="22" t="s">
        <v>475</v>
      </c>
      <c r="B7" s="23"/>
      <c r="C7" s="23">
        <v>75</v>
      </c>
      <c r="D7" s="23">
        <v>21</v>
      </c>
      <c r="E7" s="24">
        <v>22.333333333300001</v>
      </c>
      <c r="F7" s="23">
        <v>60</v>
      </c>
      <c r="G7" s="23">
        <v>42</v>
      </c>
      <c r="H7" s="23">
        <v>59.5625</v>
      </c>
      <c r="I7" s="23">
        <v>42.4375</v>
      </c>
      <c r="J7" s="23">
        <v>0.5</v>
      </c>
      <c r="K7" s="23">
        <v>45</v>
      </c>
      <c r="L7" s="23">
        <v>8</v>
      </c>
      <c r="M7" s="23">
        <v>114.5625</v>
      </c>
      <c r="N7" s="23">
        <v>59.5625</v>
      </c>
      <c r="O7" s="23">
        <v>55</v>
      </c>
      <c r="P7" s="23">
        <v>0.375</v>
      </c>
      <c r="Q7" s="25">
        <v>90</v>
      </c>
      <c r="R7" s="23">
        <v>4</v>
      </c>
      <c r="S7" s="26" t="s">
        <v>470</v>
      </c>
      <c r="T7" s="23" t="s">
        <v>470</v>
      </c>
      <c r="U7" s="23" t="s">
        <v>470</v>
      </c>
      <c r="V7" s="23" t="s">
        <v>470</v>
      </c>
      <c r="W7" s="23" t="s">
        <v>470</v>
      </c>
      <c r="X7" s="23" t="s">
        <v>470</v>
      </c>
      <c r="Y7" s="23" t="s">
        <v>470</v>
      </c>
      <c r="Z7" s="23" t="s">
        <v>470</v>
      </c>
      <c r="AA7" s="23" t="s">
        <v>470</v>
      </c>
      <c r="AB7" s="23" t="s">
        <v>470</v>
      </c>
      <c r="AC7" s="23" t="s">
        <v>470</v>
      </c>
      <c r="AD7" s="23" t="s">
        <v>470</v>
      </c>
      <c r="AE7" s="23" t="s">
        <v>470</v>
      </c>
      <c r="AF7" s="23" t="s">
        <v>470</v>
      </c>
      <c r="AG7" s="23" t="s">
        <v>470</v>
      </c>
      <c r="AH7" s="23" t="s">
        <v>470</v>
      </c>
      <c r="AI7" s="23" t="s">
        <v>470</v>
      </c>
      <c r="AJ7" s="23" t="s">
        <v>470</v>
      </c>
      <c r="AK7" s="23" t="s">
        <v>470</v>
      </c>
      <c r="AL7" s="23" t="s">
        <v>470</v>
      </c>
      <c r="AM7" s="23" t="s">
        <v>470</v>
      </c>
      <c r="AN7" s="23" t="s">
        <v>470</v>
      </c>
      <c r="AO7" s="23" t="s">
        <v>470</v>
      </c>
      <c r="AP7" s="23" t="s">
        <v>470</v>
      </c>
    </row>
    <row r="8" spans="1:42" s="27" customFormat="1" ht="15.75" customHeight="1" x14ac:dyDescent="0.25">
      <c r="A8" s="22" t="s">
        <v>477</v>
      </c>
      <c r="B8" s="23"/>
      <c r="C8" s="23">
        <v>75</v>
      </c>
      <c r="D8" s="23">
        <v>28</v>
      </c>
      <c r="E8" s="24">
        <v>25</v>
      </c>
      <c r="F8" s="23">
        <v>60</v>
      </c>
      <c r="G8" s="23">
        <v>42</v>
      </c>
      <c r="H8" s="23">
        <v>59.5625</v>
      </c>
      <c r="I8" s="23">
        <v>42.4375</v>
      </c>
      <c r="J8" s="23">
        <v>0.5</v>
      </c>
      <c r="K8" s="23">
        <v>45</v>
      </c>
      <c r="L8" s="23">
        <v>8</v>
      </c>
      <c r="M8" s="23">
        <v>114.5625</v>
      </c>
      <c r="N8" s="23">
        <v>59.5625</v>
      </c>
      <c r="O8" s="23">
        <v>55</v>
      </c>
      <c r="P8" s="23">
        <v>0.375</v>
      </c>
      <c r="Q8" s="25">
        <v>90</v>
      </c>
      <c r="R8" s="23">
        <v>4</v>
      </c>
      <c r="S8" s="26" t="s">
        <v>470</v>
      </c>
      <c r="T8" s="23" t="s">
        <v>470</v>
      </c>
      <c r="U8" s="23" t="s">
        <v>470</v>
      </c>
      <c r="V8" s="23" t="s">
        <v>470</v>
      </c>
      <c r="W8" s="23" t="s">
        <v>470</v>
      </c>
      <c r="X8" s="23" t="s">
        <v>470</v>
      </c>
      <c r="Y8" s="23" t="s">
        <v>470</v>
      </c>
      <c r="Z8" s="23" t="s">
        <v>470</v>
      </c>
      <c r="AA8" s="23" t="s">
        <v>470</v>
      </c>
      <c r="AB8" s="23" t="s">
        <v>470</v>
      </c>
      <c r="AC8" s="23" t="s">
        <v>470</v>
      </c>
      <c r="AD8" s="23" t="s">
        <v>470</v>
      </c>
      <c r="AE8" s="23" t="s">
        <v>470</v>
      </c>
      <c r="AF8" s="23" t="s">
        <v>470</v>
      </c>
      <c r="AG8" s="23" t="s">
        <v>470</v>
      </c>
      <c r="AH8" s="23" t="s">
        <v>470</v>
      </c>
      <c r="AI8" s="23" t="s">
        <v>470</v>
      </c>
      <c r="AJ8" s="23" t="s">
        <v>470</v>
      </c>
      <c r="AK8" s="23" t="s">
        <v>470</v>
      </c>
      <c r="AL8" s="23" t="s">
        <v>470</v>
      </c>
      <c r="AM8" s="23" t="s">
        <v>470</v>
      </c>
      <c r="AN8" s="23" t="s">
        <v>470</v>
      </c>
      <c r="AO8" s="23" t="s">
        <v>470</v>
      </c>
      <c r="AP8" s="23" t="s">
        <v>470</v>
      </c>
    </row>
    <row r="9" spans="1:42" s="27" customFormat="1" ht="15.75" customHeight="1" x14ac:dyDescent="0.25">
      <c r="A9" s="22" t="s">
        <v>478</v>
      </c>
      <c r="B9" s="23" t="s">
        <v>479</v>
      </c>
      <c r="C9" s="23">
        <v>100</v>
      </c>
      <c r="D9" s="23">
        <v>21</v>
      </c>
      <c r="E9" s="24">
        <v>22.333333333300001</v>
      </c>
      <c r="F9" s="23">
        <v>60</v>
      </c>
      <c r="G9" s="23">
        <v>42</v>
      </c>
      <c r="H9" s="23">
        <v>59.5625</v>
      </c>
      <c r="I9" s="23">
        <v>42.4375</v>
      </c>
      <c r="J9" s="23">
        <v>0.5</v>
      </c>
      <c r="K9" s="23">
        <v>45</v>
      </c>
      <c r="L9" s="23">
        <v>8</v>
      </c>
      <c r="M9" s="23">
        <v>93.4375</v>
      </c>
      <c r="N9" s="23">
        <v>59.5625</v>
      </c>
      <c r="O9" s="23">
        <v>33.84375</v>
      </c>
      <c r="P9" s="23">
        <v>0.3125</v>
      </c>
      <c r="Q9" s="25">
        <v>90</v>
      </c>
      <c r="R9" s="23">
        <v>4</v>
      </c>
      <c r="S9" s="26">
        <v>127.28125</v>
      </c>
      <c r="T9" s="23">
        <v>93.4375</v>
      </c>
      <c r="U9" s="23">
        <v>33.84375</v>
      </c>
      <c r="V9" s="23">
        <v>0.3125</v>
      </c>
      <c r="W9" s="23">
        <v>60</v>
      </c>
      <c r="X9" s="23">
        <v>6</v>
      </c>
      <c r="Y9" s="23" t="s">
        <v>470</v>
      </c>
      <c r="Z9" s="23" t="s">
        <v>470</v>
      </c>
      <c r="AA9" s="23" t="s">
        <v>470</v>
      </c>
      <c r="AB9" s="23" t="s">
        <v>470</v>
      </c>
      <c r="AC9" s="23" t="s">
        <v>470</v>
      </c>
      <c r="AD9" s="23" t="s">
        <v>470</v>
      </c>
      <c r="AE9" s="23" t="s">
        <v>470</v>
      </c>
      <c r="AF9" s="23" t="s">
        <v>470</v>
      </c>
      <c r="AG9" s="23" t="s">
        <v>470</v>
      </c>
      <c r="AH9" s="23" t="s">
        <v>470</v>
      </c>
      <c r="AI9" s="23" t="s">
        <v>470</v>
      </c>
      <c r="AJ9" s="23" t="s">
        <v>470</v>
      </c>
      <c r="AK9" s="23" t="s">
        <v>470</v>
      </c>
      <c r="AL9" s="23" t="s">
        <v>470</v>
      </c>
      <c r="AM9" s="23" t="s">
        <v>470</v>
      </c>
      <c r="AN9" s="23" t="s">
        <v>470</v>
      </c>
      <c r="AO9" s="23" t="s">
        <v>470</v>
      </c>
      <c r="AP9" s="23" t="s">
        <v>470</v>
      </c>
    </row>
    <row r="10" spans="1:42" s="27" customFormat="1" ht="15.75" customHeight="1" x14ac:dyDescent="0.25">
      <c r="A10" s="22" t="s">
        <v>481</v>
      </c>
      <c r="B10" s="23" t="s">
        <v>482</v>
      </c>
      <c r="C10" s="23">
        <v>100</v>
      </c>
      <c r="D10" s="23">
        <v>23</v>
      </c>
      <c r="E10" s="24">
        <v>22.333333333300001</v>
      </c>
      <c r="F10" s="23">
        <v>60</v>
      </c>
      <c r="G10" s="23">
        <v>42</v>
      </c>
      <c r="H10" s="23">
        <v>59.5625</v>
      </c>
      <c r="I10" s="23">
        <v>42.4375</v>
      </c>
      <c r="J10" s="23">
        <v>0.5</v>
      </c>
      <c r="K10" s="23">
        <v>45</v>
      </c>
      <c r="L10" s="23">
        <v>8</v>
      </c>
      <c r="M10" s="23">
        <v>93.4375</v>
      </c>
      <c r="N10" s="23">
        <v>59.5625</v>
      </c>
      <c r="O10" s="23">
        <v>33.84375</v>
      </c>
      <c r="P10" s="23">
        <v>0.3125</v>
      </c>
      <c r="Q10" s="25">
        <v>90</v>
      </c>
      <c r="R10" s="23">
        <v>4</v>
      </c>
      <c r="S10" s="26">
        <v>127.28125</v>
      </c>
      <c r="T10" s="23">
        <v>93.4375</v>
      </c>
      <c r="U10" s="23">
        <v>33.84375</v>
      </c>
      <c r="V10" s="23">
        <v>0.3125</v>
      </c>
      <c r="W10" s="23">
        <v>60</v>
      </c>
      <c r="X10" s="23">
        <v>6</v>
      </c>
      <c r="Y10" s="23" t="s">
        <v>470</v>
      </c>
      <c r="Z10" s="23" t="s">
        <v>470</v>
      </c>
      <c r="AA10" s="23" t="s">
        <v>470</v>
      </c>
      <c r="AB10" s="23" t="s">
        <v>470</v>
      </c>
      <c r="AC10" s="23" t="s">
        <v>470</v>
      </c>
      <c r="AD10" s="23" t="s">
        <v>470</v>
      </c>
      <c r="AE10" s="23" t="s">
        <v>470</v>
      </c>
      <c r="AF10" s="23" t="s">
        <v>470</v>
      </c>
      <c r="AG10" s="23" t="s">
        <v>470</v>
      </c>
      <c r="AH10" s="23" t="s">
        <v>470</v>
      </c>
      <c r="AI10" s="23" t="s">
        <v>470</v>
      </c>
      <c r="AJ10" s="23" t="s">
        <v>470</v>
      </c>
      <c r="AK10" s="23" t="s">
        <v>470</v>
      </c>
      <c r="AL10" s="23" t="s">
        <v>470</v>
      </c>
      <c r="AM10" s="23" t="s">
        <v>470</v>
      </c>
      <c r="AN10" s="23" t="s">
        <v>470</v>
      </c>
      <c r="AO10" s="23" t="s">
        <v>470</v>
      </c>
      <c r="AP10" s="23" t="s">
        <v>470</v>
      </c>
    </row>
    <row r="11" spans="1:42" s="27" customFormat="1" ht="15.75" customHeight="1" x14ac:dyDescent="0.25">
      <c r="A11" s="22" t="s">
        <v>483</v>
      </c>
      <c r="B11" s="23" t="s">
        <v>480</v>
      </c>
      <c r="C11" s="23">
        <v>100</v>
      </c>
      <c r="D11" s="23">
        <v>25</v>
      </c>
      <c r="E11" s="24">
        <v>25</v>
      </c>
      <c r="F11" s="23">
        <v>60</v>
      </c>
      <c r="G11" s="23">
        <v>42</v>
      </c>
      <c r="H11" s="23">
        <v>59.5625</v>
      </c>
      <c r="I11" s="23">
        <v>42.4375</v>
      </c>
      <c r="J11" s="23">
        <v>0.375</v>
      </c>
      <c r="K11" s="23">
        <v>30</v>
      </c>
      <c r="L11" s="23">
        <v>12</v>
      </c>
      <c r="M11" s="23">
        <v>93.4375</v>
      </c>
      <c r="N11" s="23">
        <v>59.5625</v>
      </c>
      <c r="O11" s="23">
        <v>33.84375</v>
      </c>
      <c r="P11" s="23">
        <v>0.3125</v>
      </c>
      <c r="Q11" s="25">
        <v>90</v>
      </c>
      <c r="R11" s="23">
        <v>4</v>
      </c>
      <c r="S11" s="26">
        <v>127.28125</v>
      </c>
      <c r="T11" s="23">
        <v>93.4375</v>
      </c>
      <c r="U11" s="23">
        <v>33.84375</v>
      </c>
      <c r="V11" s="23">
        <v>0.3125</v>
      </c>
      <c r="W11" s="23">
        <v>60</v>
      </c>
      <c r="X11" s="23">
        <v>6</v>
      </c>
      <c r="Y11" s="23" t="s">
        <v>470</v>
      </c>
      <c r="Z11" s="23" t="s">
        <v>470</v>
      </c>
      <c r="AA11" s="23" t="s">
        <v>470</v>
      </c>
      <c r="AB11" s="23" t="s">
        <v>470</v>
      </c>
      <c r="AC11" s="23" t="s">
        <v>470</v>
      </c>
      <c r="AD11" s="23" t="s">
        <v>470</v>
      </c>
      <c r="AE11" s="23" t="s">
        <v>470</v>
      </c>
      <c r="AF11" s="23" t="s">
        <v>470</v>
      </c>
      <c r="AG11" s="23" t="s">
        <v>470</v>
      </c>
      <c r="AH11" s="23" t="s">
        <v>470</v>
      </c>
      <c r="AI11" s="23" t="s">
        <v>470</v>
      </c>
      <c r="AJ11" s="23" t="s">
        <v>470</v>
      </c>
      <c r="AK11" s="23" t="s">
        <v>470</v>
      </c>
      <c r="AL11" s="23" t="s">
        <v>470</v>
      </c>
      <c r="AM11" s="23" t="s">
        <v>470</v>
      </c>
      <c r="AN11" s="23" t="s">
        <v>470</v>
      </c>
      <c r="AO11" s="23" t="s">
        <v>470</v>
      </c>
      <c r="AP11" s="23" t="s">
        <v>470</v>
      </c>
    </row>
    <row r="12" spans="1:42" s="27" customFormat="1" ht="15.75" customHeight="1" x14ac:dyDescent="0.25">
      <c r="A12" s="22" t="s">
        <v>484</v>
      </c>
      <c r="B12" s="23" t="s">
        <v>482</v>
      </c>
      <c r="C12" s="23">
        <v>100</v>
      </c>
      <c r="D12" s="23">
        <v>28</v>
      </c>
      <c r="E12" s="24">
        <v>25</v>
      </c>
      <c r="F12" s="23">
        <v>60</v>
      </c>
      <c r="G12" s="23">
        <v>42</v>
      </c>
      <c r="H12" s="23">
        <v>59.5625</v>
      </c>
      <c r="I12" s="23">
        <v>42.4375</v>
      </c>
      <c r="J12" s="23">
        <v>0.375</v>
      </c>
      <c r="K12" s="23">
        <v>45</v>
      </c>
      <c r="L12" s="23">
        <v>8</v>
      </c>
      <c r="M12" s="23">
        <v>93.4375</v>
      </c>
      <c r="N12" s="23">
        <v>59.5625</v>
      </c>
      <c r="O12" s="23">
        <v>33.84375</v>
      </c>
      <c r="P12" s="23">
        <v>0.3125</v>
      </c>
      <c r="Q12" s="25">
        <v>90</v>
      </c>
      <c r="R12" s="23">
        <v>4</v>
      </c>
      <c r="S12" s="26">
        <v>127.28125</v>
      </c>
      <c r="T12" s="23">
        <v>93.4375</v>
      </c>
      <c r="U12" s="23">
        <v>33.84375</v>
      </c>
      <c r="V12" s="23">
        <v>0.3125</v>
      </c>
      <c r="W12" s="23">
        <v>60</v>
      </c>
      <c r="X12" s="23">
        <v>6</v>
      </c>
      <c r="Y12" s="23" t="s">
        <v>470</v>
      </c>
      <c r="Z12" s="23" t="s">
        <v>470</v>
      </c>
      <c r="AA12" s="23" t="s">
        <v>470</v>
      </c>
      <c r="AB12" s="23" t="s">
        <v>470</v>
      </c>
      <c r="AC12" s="23" t="s">
        <v>470</v>
      </c>
      <c r="AD12" s="23" t="s">
        <v>470</v>
      </c>
      <c r="AE12" s="23" t="s">
        <v>470</v>
      </c>
      <c r="AF12" s="23" t="s">
        <v>470</v>
      </c>
      <c r="AG12" s="23" t="s">
        <v>470</v>
      </c>
      <c r="AH12" s="23" t="s">
        <v>470</v>
      </c>
      <c r="AI12" s="23" t="s">
        <v>470</v>
      </c>
      <c r="AJ12" s="23" t="s">
        <v>470</v>
      </c>
      <c r="AK12" s="23" t="s">
        <v>470</v>
      </c>
      <c r="AL12" s="23" t="s">
        <v>470</v>
      </c>
      <c r="AM12" s="23" t="s">
        <v>470</v>
      </c>
      <c r="AN12" s="23" t="s">
        <v>470</v>
      </c>
      <c r="AO12" s="23" t="s">
        <v>470</v>
      </c>
      <c r="AP12" s="23" t="s">
        <v>470</v>
      </c>
    </row>
    <row r="13" spans="1:42" s="27" customFormat="1" ht="15.75" customHeight="1" x14ac:dyDescent="0.25">
      <c r="A13" s="22" t="s">
        <v>485</v>
      </c>
      <c r="B13" s="23" t="s">
        <v>482</v>
      </c>
      <c r="C13" s="23">
        <v>125</v>
      </c>
      <c r="D13" s="23">
        <v>21</v>
      </c>
      <c r="E13" s="24">
        <v>22.333333333300001</v>
      </c>
      <c r="F13" s="23">
        <v>60</v>
      </c>
      <c r="G13" s="23">
        <v>48</v>
      </c>
      <c r="H13" s="23">
        <v>65.5625</v>
      </c>
      <c r="I13" s="23">
        <v>42.4375</v>
      </c>
      <c r="J13" s="23">
        <v>0.4375</v>
      </c>
      <c r="K13" s="23">
        <v>45</v>
      </c>
      <c r="L13" s="23">
        <v>8</v>
      </c>
      <c r="M13" s="23">
        <v>101.375</v>
      </c>
      <c r="N13" s="23">
        <v>65.578149999999994</v>
      </c>
      <c r="O13" s="23">
        <v>35.8125</v>
      </c>
      <c r="P13" s="23">
        <v>0.375</v>
      </c>
      <c r="Q13" s="25">
        <v>90</v>
      </c>
      <c r="R13" s="23">
        <v>4</v>
      </c>
      <c r="S13" s="26">
        <v>137.171875</v>
      </c>
      <c r="T13" s="23">
        <v>101.375</v>
      </c>
      <c r="U13" s="23">
        <v>35.8125</v>
      </c>
      <c r="V13" s="23">
        <v>0.375</v>
      </c>
      <c r="W13" s="23">
        <v>60</v>
      </c>
      <c r="X13" s="23">
        <v>6</v>
      </c>
      <c r="Y13" s="23" t="s">
        <v>470</v>
      </c>
      <c r="Z13" s="23" t="s">
        <v>470</v>
      </c>
      <c r="AA13" s="23" t="s">
        <v>470</v>
      </c>
      <c r="AB13" s="23" t="s">
        <v>470</v>
      </c>
      <c r="AC13" s="23" t="s">
        <v>470</v>
      </c>
      <c r="AD13" s="23" t="s">
        <v>470</v>
      </c>
      <c r="AE13" s="23" t="s">
        <v>470</v>
      </c>
      <c r="AF13" s="23" t="s">
        <v>470</v>
      </c>
      <c r="AG13" s="23" t="s">
        <v>470</v>
      </c>
      <c r="AH13" s="23" t="s">
        <v>470</v>
      </c>
      <c r="AI13" s="23" t="s">
        <v>470</v>
      </c>
      <c r="AJ13" s="23" t="s">
        <v>470</v>
      </c>
      <c r="AK13" s="23" t="s">
        <v>470</v>
      </c>
      <c r="AL13" s="23" t="s">
        <v>470</v>
      </c>
      <c r="AM13" s="23" t="s">
        <v>470</v>
      </c>
      <c r="AN13" s="23" t="s">
        <v>470</v>
      </c>
      <c r="AO13" s="23" t="s">
        <v>470</v>
      </c>
      <c r="AP13" s="23" t="s">
        <v>470</v>
      </c>
    </row>
    <row r="14" spans="1:42" s="27" customFormat="1" ht="15.75" customHeight="1" x14ac:dyDescent="0.25">
      <c r="A14" s="22" t="s">
        <v>487</v>
      </c>
      <c r="B14" s="23" t="s">
        <v>482</v>
      </c>
      <c r="C14" s="23">
        <v>125</v>
      </c>
      <c r="D14" s="23">
        <v>23</v>
      </c>
      <c r="E14" s="24">
        <v>22.333333333300001</v>
      </c>
      <c r="F14" s="23">
        <v>60</v>
      </c>
      <c r="G14" s="23">
        <v>48</v>
      </c>
      <c r="H14" s="23">
        <v>65.5625</v>
      </c>
      <c r="I14" s="23">
        <v>42.4375</v>
      </c>
      <c r="J14" s="23">
        <v>0.4375</v>
      </c>
      <c r="K14" s="23">
        <v>45</v>
      </c>
      <c r="L14" s="23">
        <v>8</v>
      </c>
      <c r="M14" s="23">
        <v>101.375</v>
      </c>
      <c r="N14" s="23">
        <v>65.578149999999994</v>
      </c>
      <c r="O14" s="23">
        <v>35.8125</v>
      </c>
      <c r="P14" s="23">
        <v>0.375</v>
      </c>
      <c r="Q14" s="25">
        <v>90</v>
      </c>
      <c r="R14" s="23">
        <v>4</v>
      </c>
      <c r="S14" s="26">
        <v>137.171875</v>
      </c>
      <c r="T14" s="23">
        <v>101.375</v>
      </c>
      <c r="U14" s="23">
        <v>35.8125</v>
      </c>
      <c r="V14" s="23">
        <v>0.375</v>
      </c>
      <c r="W14" s="23">
        <v>60</v>
      </c>
      <c r="X14" s="23">
        <v>6</v>
      </c>
      <c r="Y14" s="23" t="s">
        <v>470</v>
      </c>
      <c r="Z14" s="23" t="s">
        <v>470</v>
      </c>
      <c r="AA14" s="23" t="s">
        <v>470</v>
      </c>
      <c r="AB14" s="23" t="s">
        <v>470</v>
      </c>
      <c r="AC14" s="23" t="s">
        <v>470</v>
      </c>
      <c r="AD14" s="23" t="s">
        <v>470</v>
      </c>
      <c r="AE14" s="23" t="s">
        <v>470</v>
      </c>
      <c r="AF14" s="23" t="s">
        <v>470</v>
      </c>
      <c r="AG14" s="23" t="s">
        <v>470</v>
      </c>
      <c r="AH14" s="23" t="s">
        <v>470</v>
      </c>
      <c r="AI14" s="23" t="s">
        <v>470</v>
      </c>
      <c r="AJ14" s="23" t="s">
        <v>470</v>
      </c>
      <c r="AK14" s="23" t="s">
        <v>470</v>
      </c>
      <c r="AL14" s="23" t="s">
        <v>470</v>
      </c>
      <c r="AM14" s="23" t="s">
        <v>470</v>
      </c>
      <c r="AN14" s="23" t="s">
        <v>470</v>
      </c>
      <c r="AO14" s="23" t="s">
        <v>470</v>
      </c>
      <c r="AP14" s="23" t="s">
        <v>470</v>
      </c>
    </row>
    <row r="15" spans="1:42" s="27" customFormat="1" ht="15.75" customHeight="1" x14ac:dyDescent="0.25">
      <c r="A15" s="22" t="s">
        <v>488</v>
      </c>
      <c r="B15" s="23" t="s">
        <v>482</v>
      </c>
      <c r="C15" s="23">
        <v>125</v>
      </c>
      <c r="D15" s="23">
        <v>28</v>
      </c>
      <c r="E15" s="24">
        <v>25</v>
      </c>
      <c r="F15" s="23">
        <v>60</v>
      </c>
      <c r="G15" s="23">
        <v>48</v>
      </c>
      <c r="H15" s="23">
        <v>65.5625</v>
      </c>
      <c r="I15" s="23">
        <v>42.4375</v>
      </c>
      <c r="J15" s="23">
        <v>0.4375</v>
      </c>
      <c r="K15" s="23">
        <v>45</v>
      </c>
      <c r="L15" s="23">
        <v>8</v>
      </c>
      <c r="M15" s="23">
        <v>101.375</v>
      </c>
      <c r="N15" s="23">
        <v>65.578149999999994</v>
      </c>
      <c r="O15" s="23">
        <v>35.8125</v>
      </c>
      <c r="P15" s="23">
        <v>0.375</v>
      </c>
      <c r="Q15" s="25">
        <v>90</v>
      </c>
      <c r="R15" s="23">
        <v>4</v>
      </c>
      <c r="S15" s="26">
        <v>137.171875</v>
      </c>
      <c r="T15" s="23">
        <v>101.375</v>
      </c>
      <c r="U15" s="23">
        <v>35.8125</v>
      </c>
      <c r="V15" s="23">
        <v>0.375</v>
      </c>
      <c r="W15" s="23">
        <v>60</v>
      </c>
      <c r="X15" s="23">
        <v>6</v>
      </c>
      <c r="Y15" s="23" t="s">
        <v>470</v>
      </c>
      <c r="Z15" s="23" t="s">
        <v>470</v>
      </c>
      <c r="AA15" s="23" t="s">
        <v>470</v>
      </c>
      <c r="AB15" s="23" t="s">
        <v>470</v>
      </c>
      <c r="AC15" s="23" t="s">
        <v>470</v>
      </c>
      <c r="AD15" s="23" t="s">
        <v>470</v>
      </c>
      <c r="AE15" s="23" t="s">
        <v>470</v>
      </c>
      <c r="AF15" s="23" t="s">
        <v>470</v>
      </c>
      <c r="AG15" s="23" t="s">
        <v>470</v>
      </c>
      <c r="AH15" s="23" t="s">
        <v>470</v>
      </c>
      <c r="AI15" s="23" t="s">
        <v>470</v>
      </c>
      <c r="AJ15" s="23" t="s">
        <v>470</v>
      </c>
      <c r="AK15" s="23" t="s">
        <v>470</v>
      </c>
      <c r="AL15" s="23" t="s">
        <v>470</v>
      </c>
      <c r="AM15" s="23" t="s">
        <v>470</v>
      </c>
      <c r="AN15" s="23" t="s">
        <v>470</v>
      </c>
      <c r="AO15" s="23" t="s">
        <v>470</v>
      </c>
      <c r="AP15" s="23" t="s">
        <v>470</v>
      </c>
    </row>
    <row r="16" spans="1:42" s="27" customFormat="1" ht="15.75" customHeight="1" x14ac:dyDescent="0.25">
      <c r="A16" s="22" t="s">
        <v>489</v>
      </c>
      <c r="B16" s="23" t="s">
        <v>482</v>
      </c>
      <c r="C16" s="23">
        <v>150</v>
      </c>
      <c r="D16" s="23">
        <v>21</v>
      </c>
      <c r="E16" s="24">
        <v>22.333333333300001</v>
      </c>
      <c r="F16" s="23">
        <v>60</v>
      </c>
      <c r="G16" s="23">
        <v>48</v>
      </c>
      <c r="H16" s="23"/>
      <c r="I16" s="23">
        <v>42.4375</v>
      </c>
      <c r="J16" s="23">
        <v>0.5</v>
      </c>
      <c r="K16" s="23">
        <v>25.714300000000001</v>
      </c>
      <c r="L16" s="23">
        <v>14</v>
      </c>
      <c r="M16" s="23">
        <v>104.90625</v>
      </c>
      <c r="N16" s="23">
        <v>65.578149999999994</v>
      </c>
      <c r="O16" s="23">
        <v>39.342500000000001</v>
      </c>
      <c r="P16" s="23">
        <v>0.5</v>
      </c>
      <c r="Q16" s="25">
        <v>90</v>
      </c>
      <c r="R16" s="23">
        <v>4</v>
      </c>
      <c r="S16" s="26">
        <v>144.21875</v>
      </c>
      <c r="T16" s="23">
        <v>104.90625</v>
      </c>
      <c r="U16" s="23">
        <v>39.342500000000001</v>
      </c>
      <c r="V16" s="23">
        <v>0.375</v>
      </c>
      <c r="W16" s="23">
        <v>60</v>
      </c>
      <c r="X16" s="23">
        <v>6</v>
      </c>
      <c r="Y16" s="23" t="s">
        <v>470</v>
      </c>
      <c r="Z16" s="23" t="s">
        <v>470</v>
      </c>
      <c r="AA16" s="23" t="s">
        <v>470</v>
      </c>
      <c r="AB16" s="23" t="s">
        <v>470</v>
      </c>
      <c r="AC16" s="23" t="s">
        <v>470</v>
      </c>
      <c r="AD16" s="23" t="s">
        <v>470</v>
      </c>
      <c r="AE16" s="23" t="s">
        <v>470</v>
      </c>
      <c r="AF16" s="23" t="s">
        <v>470</v>
      </c>
      <c r="AG16" s="23" t="s">
        <v>470</v>
      </c>
      <c r="AH16" s="23" t="s">
        <v>470</v>
      </c>
      <c r="AI16" s="23" t="s">
        <v>470</v>
      </c>
      <c r="AJ16" s="23" t="s">
        <v>470</v>
      </c>
      <c r="AK16" s="23" t="s">
        <v>470</v>
      </c>
      <c r="AL16" s="23" t="s">
        <v>470</v>
      </c>
      <c r="AM16" s="23" t="s">
        <v>470</v>
      </c>
      <c r="AN16" s="23" t="s">
        <v>470</v>
      </c>
      <c r="AO16" s="23" t="s">
        <v>470</v>
      </c>
      <c r="AP16" s="23" t="s">
        <v>470</v>
      </c>
    </row>
    <row r="17" spans="1:42" s="27" customFormat="1" ht="15.75" customHeight="1" x14ac:dyDescent="0.25">
      <c r="A17" s="22" t="s">
        <v>490</v>
      </c>
      <c r="B17" s="23" t="s">
        <v>479</v>
      </c>
      <c r="C17" s="23">
        <v>150</v>
      </c>
      <c r="D17" s="23">
        <v>23</v>
      </c>
      <c r="E17" s="24">
        <v>22.333333333300001</v>
      </c>
      <c r="F17" s="23">
        <v>60</v>
      </c>
      <c r="G17" s="23">
        <v>48</v>
      </c>
      <c r="H17" s="23"/>
      <c r="I17" s="23">
        <v>42.4375</v>
      </c>
      <c r="J17" s="23">
        <v>0.5625</v>
      </c>
      <c r="K17" s="23">
        <v>25.714300000000001</v>
      </c>
      <c r="L17" s="23">
        <v>14</v>
      </c>
      <c r="M17" s="23">
        <v>104.90625</v>
      </c>
      <c r="N17" s="23">
        <v>65.578149999999994</v>
      </c>
      <c r="O17" s="23">
        <v>39.342500000000001</v>
      </c>
      <c r="P17" s="23">
        <v>0.5</v>
      </c>
      <c r="Q17" s="25">
        <v>90</v>
      </c>
      <c r="R17" s="23">
        <v>4</v>
      </c>
      <c r="S17" s="26">
        <v>144.21875</v>
      </c>
      <c r="T17" s="23">
        <v>104.90625</v>
      </c>
      <c r="U17" s="23">
        <v>39.342500000000001</v>
      </c>
      <c r="V17" s="23">
        <v>0.375</v>
      </c>
      <c r="W17" s="23">
        <v>60</v>
      </c>
      <c r="X17" s="23">
        <v>6</v>
      </c>
      <c r="Y17" s="23" t="s">
        <v>470</v>
      </c>
      <c r="Z17" s="23" t="s">
        <v>470</v>
      </c>
      <c r="AA17" s="23" t="s">
        <v>470</v>
      </c>
      <c r="AB17" s="23" t="s">
        <v>470</v>
      </c>
      <c r="AC17" s="23" t="s">
        <v>470</v>
      </c>
      <c r="AD17" s="23" t="s">
        <v>470</v>
      </c>
      <c r="AE17" s="23" t="s">
        <v>470</v>
      </c>
      <c r="AF17" s="23" t="s">
        <v>470</v>
      </c>
      <c r="AG17" s="23" t="s">
        <v>470</v>
      </c>
      <c r="AH17" s="23" t="s">
        <v>470</v>
      </c>
      <c r="AI17" s="23" t="s">
        <v>470</v>
      </c>
      <c r="AJ17" s="23" t="s">
        <v>470</v>
      </c>
      <c r="AK17" s="23" t="s">
        <v>470</v>
      </c>
      <c r="AL17" s="23" t="s">
        <v>470</v>
      </c>
      <c r="AM17" s="23" t="s">
        <v>470</v>
      </c>
      <c r="AN17" s="23" t="s">
        <v>470</v>
      </c>
      <c r="AO17" s="23" t="s">
        <v>470</v>
      </c>
      <c r="AP17" s="23" t="s">
        <v>470</v>
      </c>
    </row>
    <row r="18" spans="1:42" s="27" customFormat="1" ht="15.75" customHeight="1" x14ac:dyDescent="0.25">
      <c r="A18" s="22" t="s">
        <v>491</v>
      </c>
      <c r="B18" s="23" t="s">
        <v>479</v>
      </c>
      <c r="C18" s="23">
        <v>150</v>
      </c>
      <c r="D18" s="23">
        <v>25</v>
      </c>
      <c r="E18" s="24">
        <v>25</v>
      </c>
      <c r="F18" s="23">
        <v>60</v>
      </c>
      <c r="G18" s="23">
        <v>48</v>
      </c>
      <c r="H18" s="23">
        <v>65.578149999999994</v>
      </c>
      <c r="I18" s="23">
        <v>42.4375</v>
      </c>
      <c r="J18" s="23">
        <v>0.5625</v>
      </c>
      <c r="K18" s="23">
        <v>25.714300000000001</v>
      </c>
      <c r="L18" s="23">
        <v>14</v>
      </c>
      <c r="M18" s="23">
        <v>104.90625</v>
      </c>
      <c r="N18" s="23">
        <v>65.578149999999994</v>
      </c>
      <c r="O18" s="23">
        <v>39.342500000000001</v>
      </c>
      <c r="P18" s="23">
        <v>0.5</v>
      </c>
      <c r="Q18" s="25">
        <v>90</v>
      </c>
      <c r="R18" s="23">
        <v>4</v>
      </c>
      <c r="S18" s="26">
        <v>144.21875</v>
      </c>
      <c r="T18" s="23">
        <v>104.90625</v>
      </c>
      <c r="U18" s="23">
        <v>39.342500000000001</v>
      </c>
      <c r="V18" s="23">
        <v>0.375</v>
      </c>
      <c r="W18" s="23">
        <v>60</v>
      </c>
      <c r="X18" s="23">
        <v>6</v>
      </c>
      <c r="Y18" s="23" t="s">
        <v>470</v>
      </c>
      <c r="Z18" s="23" t="s">
        <v>470</v>
      </c>
      <c r="AA18" s="23" t="s">
        <v>470</v>
      </c>
      <c r="AB18" s="23" t="s">
        <v>470</v>
      </c>
      <c r="AC18" s="23" t="s">
        <v>470</v>
      </c>
      <c r="AD18" s="23" t="s">
        <v>470</v>
      </c>
      <c r="AE18" s="23" t="s">
        <v>470</v>
      </c>
      <c r="AF18" s="23" t="s">
        <v>470</v>
      </c>
      <c r="AG18" s="23" t="s">
        <v>470</v>
      </c>
      <c r="AH18" s="23" t="s">
        <v>470</v>
      </c>
      <c r="AI18" s="23" t="s">
        <v>470</v>
      </c>
      <c r="AJ18" s="23" t="s">
        <v>470</v>
      </c>
      <c r="AK18" s="23" t="s">
        <v>470</v>
      </c>
      <c r="AL18" s="23" t="s">
        <v>470</v>
      </c>
      <c r="AM18" s="23" t="s">
        <v>470</v>
      </c>
      <c r="AN18" s="23" t="s">
        <v>470</v>
      </c>
      <c r="AO18" s="23" t="s">
        <v>470</v>
      </c>
      <c r="AP18" s="23" t="s">
        <v>470</v>
      </c>
    </row>
    <row r="19" spans="1:42" s="27" customFormat="1" ht="15.75" customHeight="1" x14ac:dyDescent="0.25">
      <c r="A19" s="22" t="s">
        <v>493</v>
      </c>
      <c r="B19" s="23" t="s">
        <v>492</v>
      </c>
      <c r="C19" s="23">
        <v>150</v>
      </c>
      <c r="D19" s="23">
        <v>28</v>
      </c>
      <c r="E19" s="24">
        <v>25</v>
      </c>
      <c r="F19" s="23">
        <v>60</v>
      </c>
      <c r="G19" s="23">
        <v>48</v>
      </c>
      <c r="H19" s="23"/>
      <c r="I19" s="23">
        <v>42.4375</v>
      </c>
      <c r="J19" s="23">
        <v>0.5625</v>
      </c>
      <c r="K19" s="23">
        <v>25.714300000000001</v>
      </c>
      <c r="L19" s="23">
        <v>14</v>
      </c>
      <c r="M19" s="23">
        <v>104.90625</v>
      </c>
      <c r="N19" s="23">
        <v>65.59375</v>
      </c>
      <c r="O19" s="23">
        <v>39.342500000000001</v>
      </c>
      <c r="P19" s="23">
        <v>0.5</v>
      </c>
      <c r="Q19" s="25">
        <v>90</v>
      </c>
      <c r="R19" s="23">
        <v>4</v>
      </c>
      <c r="S19" s="26">
        <v>144.21875</v>
      </c>
      <c r="T19" s="23">
        <v>104.90625</v>
      </c>
      <c r="U19" s="23">
        <v>39.342500000000001</v>
      </c>
      <c r="V19" s="23">
        <v>0.375</v>
      </c>
      <c r="W19" s="23">
        <v>60</v>
      </c>
      <c r="X19" s="23">
        <v>6</v>
      </c>
      <c r="Y19" s="23" t="s">
        <v>470</v>
      </c>
      <c r="Z19" s="23" t="s">
        <v>470</v>
      </c>
      <c r="AA19" s="23" t="s">
        <v>470</v>
      </c>
      <c r="AB19" s="23" t="s">
        <v>470</v>
      </c>
      <c r="AC19" s="23" t="s">
        <v>470</v>
      </c>
      <c r="AD19" s="23" t="s">
        <v>470</v>
      </c>
      <c r="AE19" s="23" t="s">
        <v>470</v>
      </c>
      <c r="AF19" s="23" t="s">
        <v>470</v>
      </c>
      <c r="AG19" s="23" t="s">
        <v>470</v>
      </c>
      <c r="AH19" s="23" t="s">
        <v>470</v>
      </c>
      <c r="AI19" s="23" t="s">
        <v>470</v>
      </c>
      <c r="AJ19" s="23" t="s">
        <v>470</v>
      </c>
      <c r="AK19" s="23" t="s">
        <v>470</v>
      </c>
      <c r="AL19" s="23" t="s">
        <v>470</v>
      </c>
      <c r="AM19" s="23" t="s">
        <v>470</v>
      </c>
      <c r="AN19" s="23" t="s">
        <v>470</v>
      </c>
      <c r="AO19" s="23" t="s">
        <v>470</v>
      </c>
      <c r="AP19" s="23" t="s">
        <v>470</v>
      </c>
    </row>
    <row r="20" spans="1:42" s="27" customFormat="1" ht="15.75" customHeight="1" x14ac:dyDescent="0.25">
      <c r="A20" s="22" t="s">
        <v>494</v>
      </c>
      <c r="B20" s="23" t="s">
        <v>482</v>
      </c>
      <c r="C20" s="23">
        <v>200</v>
      </c>
      <c r="D20" s="23">
        <v>21</v>
      </c>
      <c r="E20" s="24">
        <v>22.333333333300001</v>
      </c>
      <c r="F20" s="23">
        <v>60</v>
      </c>
      <c r="G20" s="23">
        <v>48</v>
      </c>
      <c r="H20" s="23"/>
      <c r="I20" s="23">
        <v>42.4375</v>
      </c>
      <c r="J20" s="23">
        <v>0.625</v>
      </c>
      <c r="K20" s="23">
        <v>25.714300000000001</v>
      </c>
      <c r="L20" s="23">
        <v>14</v>
      </c>
      <c r="M20" s="23">
        <v>107.75</v>
      </c>
      <c r="N20" s="23">
        <v>65.625</v>
      </c>
      <c r="O20" s="23">
        <v>42.1875</v>
      </c>
      <c r="P20" s="23">
        <v>0.5</v>
      </c>
      <c r="Q20" s="25">
        <v>90</v>
      </c>
      <c r="R20" s="23">
        <v>4</v>
      </c>
      <c r="S20" s="26">
        <v>149.9375</v>
      </c>
      <c r="T20" s="23">
        <v>107.75</v>
      </c>
      <c r="U20" s="23">
        <v>42.1875</v>
      </c>
      <c r="V20" s="23">
        <v>0.4375</v>
      </c>
      <c r="W20" s="23">
        <v>60</v>
      </c>
      <c r="X20" s="23">
        <v>6</v>
      </c>
      <c r="Y20" s="23">
        <v>192.03125</v>
      </c>
      <c r="Z20" s="23">
        <v>149.9375</v>
      </c>
      <c r="AA20" s="23">
        <v>42.1875</v>
      </c>
      <c r="AB20" s="23">
        <v>0.4375</v>
      </c>
      <c r="AC20" s="23">
        <v>45</v>
      </c>
      <c r="AD20" s="23">
        <v>8</v>
      </c>
      <c r="AE20" s="23" t="s">
        <v>470</v>
      </c>
      <c r="AF20" s="23" t="s">
        <v>470</v>
      </c>
      <c r="AG20" s="23" t="s">
        <v>470</v>
      </c>
      <c r="AH20" s="23" t="s">
        <v>470</v>
      </c>
      <c r="AI20" s="23" t="s">
        <v>470</v>
      </c>
      <c r="AJ20" s="23" t="s">
        <v>470</v>
      </c>
      <c r="AK20" s="23" t="s">
        <v>470</v>
      </c>
      <c r="AL20" s="23" t="s">
        <v>470</v>
      </c>
      <c r="AM20" s="23" t="s">
        <v>470</v>
      </c>
      <c r="AN20" s="23" t="s">
        <v>470</v>
      </c>
      <c r="AO20" s="23" t="s">
        <v>470</v>
      </c>
      <c r="AP20" s="23" t="s">
        <v>470</v>
      </c>
    </row>
    <row r="21" spans="1:42" s="27" customFormat="1" ht="15.75" customHeight="1" x14ac:dyDescent="0.25">
      <c r="A21" s="22" t="s">
        <v>496</v>
      </c>
      <c r="B21" s="23" t="s">
        <v>497</v>
      </c>
      <c r="C21" s="23">
        <v>200</v>
      </c>
      <c r="D21" s="23">
        <v>23</v>
      </c>
      <c r="E21" s="24">
        <v>22.333333333300001</v>
      </c>
      <c r="F21" s="23">
        <v>60</v>
      </c>
      <c r="G21" s="23">
        <v>48</v>
      </c>
      <c r="H21" s="23"/>
      <c r="I21" s="23">
        <v>42.4375</v>
      </c>
      <c r="J21" s="23">
        <v>0.625</v>
      </c>
      <c r="K21" s="23">
        <v>25.714300000000001</v>
      </c>
      <c r="L21" s="23">
        <v>14</v>
      </c>
      <c r="M21" s="23">
        <v>107.75</v>
      </c>
      <c r="N21" s="23">
        <v>65.625</v>
      </c>
      <c r="O21" s="23">
        <v>42.1875</v>
      </c>
      <c r="P21" s="23">
        <v>0.5</v>
      </c>
      <c r="Q21" s="25">
        <v>90</v>
      </c>
      <c r="R21" s="23">
        <v>4</v>
      </c>
      <c r="S21" s="26">
        <v>149.9375</v>
      </c>
      <c r="T21" s="23">
        <v>107.75</v>
      </c>
      <c r="U21" s="23">
        <v>42.1875</v>
      </c>
      <c r="V21" s="23">
        <v>0.4375</v>
      </c>
      <c r="W21" s="23">
        <v>60</v>
      </c>
      <c r="X21" s="23">
        <v>6</v>
      </c>
      <c r="Y21" s="23">
        <v>192.03125</v>
      </c>
      <c r="Z21" s="23">
        <v>149.9375</v>
      </c>
      <c r="AA21" s="23">
        <v>42.1875</v>
      </c>
      <c r="AB21" s="23">
        <v>0.4375</v>
      </c>
      <c r="AC21" s="23">
        <v>45</v>
      </c>
      <c r="AD21" s="23">
        <v>8</v>
      </c>
      <c r="AE21" s="23" t="s">
        <v>470</v>
      </c>
      <c r="AF21" s="23" t="s">
        <v>470</v>
      </c>
      <c r="AG21" s="23" t="s">
        <v>470</v>
      </c>
      <c r="AH21" s="23" t="s">
        <v>470</v>
      </c>
      <c r="AI21" s="23" t="s">
        <v>470</v>
      </c>
      <c r="AJ21" s="23" t="s">
        <v>470</v>
      </c>
      <c r="AK21" s="23" t="s">
        <v>470</v>
      </c>
      <c r="AL21" s="23" t="s">
        <v>470</v>
      </c>
      <c r="AM21" s="23" t="s">
        <v>470</v>
      </c>
      <c r="AN21" s="23" t="s">
        <v>470</v>
      </c>
      <c r="AO21" s="23" t="s">
        <v>470</v>
      </c>
      <c r="AP21" s="23" t="s">
        <v>470</v>
      </c>
    </row>
    <row r="22" spans="1:42" s="27" customFormat="1" ht="15.75" customHeight="1" x14ac:dyDescent="0.25">
      <c r="A22" s="22" t="s">
        <v>498</v>
      </c>
      <c r="B22" s="23"/>
      <c r="C22" s="23">
        <v>200</v>
      </c>
      <c r="D22" s="23">
        <v>25</v>
      </c>
      <c r="E22" s="24">
        <v>25</v>
      </c>
      <c r="F22" s="23">
        <v>60</v>
      </c>
      <c r="G22" s="23">
        <v>48</v>
      </c>
      <c r="H22" s="23">
        <v>65.5625</v>
      </c>
      <c r="I22" s="23">
        <v>42.4375</v>
      </c>
      <c r="J22" s="23">
        <v>0.625</v>
      </c>
      <c r="K22" s="23">
        <v>25.714300000000001</v>
      </c>
      <c r="L22" s="23">
        <v>14</v>
      </c>
      <c r="M22" s="23">
        <v>107.75</v>
      </c>
      <c r="N22" s="23">
        <v>65.625</v>
      </c>
      <c r="O22" s="23">
        <v>42.1875</v>
      </c>
      <c r="P22" s="23">
        <v>0.5</v>
      </c>
      <c r="Q22" s="25">
        <v>90</v>
      </c>
      <c r="R22" s="23">
        <v>4</v>
      </c>
      <c r="S22" s="26">
        <v>149.9375</v>
      </c>
      <c r="T22" s="23">
        <v>107.75</v>
      </c>
      <c r="U22" s="23">
        <v>42.1875</v>
      </c>
      <c r="V22" s="23">
        <v>0.4375</v>
      </c>
      <c r="W22" s="23">
        <v>60</v>
      </c>
      <c r="X22" s="23">
        <v>6</v>
      </c>
      <c r="Y22" s="23">
        <v>192.03125</v>
      </c>
      <c r="Z22" s="23">
        <v>149.9375</v>
      </c>
      <c r="AA22" s="23">
        <v>42.1875</v>
      </c>
      <c r="AB22" s="23">
        <v>0.4375</v>
      </c>
      <c r="AC22" s="23">
        <v>45</v>
      </c>
      <c r="AD22" s="23">
        <v>8</v>
      </c>
      <c r="AE22" s="23" t="s">
        <v>470</v>
      </c>
      <c r="AF22" s="23" t="s">
        <v>470</v>
      </c>
      <c r="AG22" s="23" t="s">
        <v>470</v>
      </c>
      <c r="AH22" s="23" t="s">
        <v>470</v>
      </c>
      <c r="AI22" s="23" t="s">
        <v>470</v>
      </c>
      <c r="AJ22" s="23" t="s">
        <v>470</v>
      </c>
      <c r="AK22" s="23" t="s">
        <v>470</v>
      </c>
      <c r="AL22" s="23" t="s">
        <v>470</v>
      </c>
      <c r="AM22" s="23" t="s">
        <v>470</v>
      </c>
      <c r="AN22" s="23" t="s">
        <v>470</v>
      </c>
      <c r="AO22" s="23" t="s">
        <v>470</v>
      </c>
      <c r="AP22" s="23" t="s">
        <v>470</v>
      </c>
    </row>
    <row r="23" spans="1:42" s="27" customFormat="1" ht="15.75" customHeight="1" x14ac:dyDescent="0.25">
      <c r="A23" s="22" t="s">
        <v>499</v>
      </c>
      <c r="B23" s="23"/>
      <c r="C23" s="23">
        <v>200</v>
      </c>
      <c r="D23" s="23">
        <v>28</v>
      </c>
      <c r="E23" s="24">
        <v>25</v>
      </c>
      <c r="F23" s="23">
        <v>60</v>
      </c>
      <c r="G23" s="23">
        <v>48</v>
      </c>
      <c r="H23" s="23"/>
      <c r="I23" s="23">
        <v>42.4375</v>
      </c>
      <c r="J23" s="23">
        <v>0.625</v>
      </c>
      <c r="K23" s="23">
        <v>25.714300000000001</v>
      </c>
      <c r="L23" s="23">
        <v>14</v>
      </c>
      <c r="M23" s="23">
        <v>107.75</v>
      </c>
      <c r="N23" s="23">
        <v>65.625</v>
      </c>
      <c r="O23" s="23">
        <v>42.1875</v>
      </c>
      <c r="P23" s="23">
        <v>0.5</v>
      </c>
      <c r="Q23" s="25">
        <v>90</v>
      </c>
      <c r="R23" s="23">
        <v>4</v>
      </c>
      <c r="S23" s="26">
        <v>149.9375</v>
      </c>
      <c r="T23" s="23">
        <v>107.75</v>
      </c>
      <c r="U23" s="23">
        <v>42.1875</v>
      </c>
      <c r="V23" s="23">
        <v>0.4375</v>
      </c>
      <c r="W23" s="23">
        <v>60</v>
      </c>
      <c r="X23" s="23">
        <v>6</v>
      </c>
      <c r="Y23" s="23">
        <v>192.03125</v>
      </c>
      <c r="Z23" s="23">
        <v>149.9375</v>
      </c>
      <c r="AA23" s="23">
        <v>42.1875</v>
      </c>
      <c r="AB23" s="23">
        <v>0.4375</v>
      </c>
      <c r="AC23" s="23">
        <v>45</v>
      </c>
      <c r="AD23" s="23">
        <v>8</v>
      </c>
      <c r="AE23" s="23" t="s">
        <v>470</v>
      </c>
      <c r="AF23" s="23" t="s">
        <v>470</v>
      </c>
      <c r="AG23" s="23" t="s">
        <v>470</v>
      </c>
      <c r="AH23" s="23" t="s">
        <v>470</v>
      </c>
      <c r="AI23" s="23" t="s">
        <v>470</v>
      </c>
      <c r="AJ23" s="23" t="s">
        <v>470</v>
      </c>
      <c r="AK23" s="23" t="s">
        <v>470</v>
      </c>
      <c r="AL23" s="23" t="s">
        <v>470</v>
      </c>
      <c r="AM23" s="23" t="s">
        <v>470</v>
      </c>
      <c r="AN23" s="23" t="s">
        <v>470</v>
      </c>
      <c r="AO23" s="23" t="s">
        <v>470</v>
      </c>
      <c r="AP23" s="23" t="s">
        <v>470</v>
      </c>
    </row>
    <row r="24" spans="1:42" s="27" customFormat="1" ht="15.75" customHeight="1" x14ac:dyDescent="0.25">
      <c r="A24" s="22" t="s">
        <v>500</v>
      </c>
      <c r="B24" s="23"/>
      <c r="C24" s="23">
        <v>200</v>
      </c>
      <c r="D24" s="23">
        <v>30</v>
      </c>
      <c r="E24" s="24">
        <v>30</v>
      </c>
      <c r="F24" s="23">
        <v>60</v>
      </c>
      <c r="G24" s="23">
        <v>48</v>
      </c>
      <c r="H24" s="23"/>
      <c r="I24" s="23">
        <v>42.4375</v>
      </c>
      <c r="J24" s="23">
        <v>0.625</v>
      </c>
      <c r="K24" s="23">
        <v>25.714300000000001</v>
      </c>
      <c r="L24" s="23">
        <v>14</v>
      </c>
      <c r="M24" s="23">
        <v>107.75</v>
      </c>
      <c r="N24" s="23">
        <v>65.625</v>
      </c>
      <c r="O24" s="23">
        <v>42.1875</v>
      </c>
      <c r="P24" s="23">
        <v>0.5</v>
      </c>
      <c r="Q24" s="25">
        <v>90</v>
      </c>
      <c r="R24" s="23">
        <v>4</v>
      </c>
      <c r="S24" s="26">
        <v>149.9375</v>
      </c>
      <c r="T24" s="23">
        <v>107.75</v>
      </c>
      <c r="U24" s="23">
        <v>42.1875</v>
      </c>
      <c r="V24" s="23">
        <v>0.4375</v>
      </c>
      <c r="W24" s="23">
        <v>60</v>
      </c>
      <c r="X24" s="23">
        <v>6</v>
      </c>
      <c r="Y24" s="23">
        <v>192.03125</v>
      </c>
      <c r="Z24" s="23">
        <v>149.9375</v>
      </c>
      <c r="AA24" s="23">
        <v>42.1875</v>
      </c>
      <c r="AB24" s="23">
        <v>0.4375</v>
      </c>
      <c r="AC24" s="23">
        <v>45</v>
      </c>
      <c r="AD24" s="23">
        <v>8</v>
      </c>
      <c r="AE24" s="23" t="s">
        <v>470</v>
      </c>
      <c r="AF24" s="23" t="s">
        <v>470</v>
      </c>
      <c r="AG24" s="23" t="s">
        <v>470</v>
      </c>
      <c r="AH24" s="23" t="s">
        <v>470</v>
      </c>
      <c r="AI24" s="23" t="s">
        <v>470</v>
      </c>
      <c r="AJ24" s="23" t="s">
        <v>470</v>
      </c>
      <c r="AK24" s="23" t="s">
        <v>470</v>
      </c>
      <c r="AL24" s="23" t="s">
        <v>470</v>
      </c>
      <c r="AM24" s="23" t="s">
        <v>470</v>
      </c>
      <c r="AN24" s="23" t="s">
        <v>470</v>
      </c>
      <c r="AO24" s="23" t="s">
        <v>470</v>
      </c>
      <c r="AP24" s="23" t="s">
        <v>470</v>
      </c>
    </row>
    <row r="25" spans="1:42" s="27" customFormat="1" ht="15.75" customHeight="1" x14ac:dyDescent="0.25">
      <c r="A25" s="22" t="s">
        <v>501</v>
      </c>
      <c r="B25" s="23"/>
      <c r="C25" s="23">
        <v>200</v>
      </c>
      <c r="D25" s="23">
        <v>32</v>
      </c>
      <c r="E25" s="24">
        <v>30</v>
      </c>
      <c r="F25" s="23">
        <v>60</v>
      </c>
      <c r="G25" s="23">
        <v>48</v>
      </c>
      <c r="H25" s="23"/>
      <c r="I25" s="23">
        <v>42.4375</v>
      </c>
      <c r="J25" s="23">
        <v>0.625</v>
      </c>
      <c r="K25" s="23">
        <v>25.714300000000001</v>
      </c>
      <c r="L25" s="23">
        <v>14</v>
      </c>
      <c r="M25" s="23">
        <v>107.75</v>
      </c>
      <c r="N25" s="23">
        <v>65.625</v>
      </c>
      <c r="O25" s="23">
        <v>42.1875</v>
      </c>
      <c r="P25" s="23">
        <v>0.5</v>
      </c>
      <c r="Q25" s="25">
        <v>90</v>
      </c>
      <c r="R25" s="23">
        <v>4</v>
      </c>
      <c r="S25" s="26">
        <v>149.9375</v>
      </c>
      <c r="T25" s="23">
        <v>107.75</v>
      </c>
      <c r="U25" s="23">
        <v>42.1875</v>
      </c>
      <c r="V25" s="23">
        <v>0.4375</v>
      </c>
      <c r="W25" s="23">
        <v>60</v>
      </c>
      <c r="X25" s="23">
        <v>6</v>
      </c>
      <c r="Y25" s="23">
        <v>192.03125</v>
      </c>
      <c r="Z25" s="23">
        <v>149.9375</v>
      </c>
      <c r="AA25" s="23">
        <v>42.1875</v>
      </c>
      <c r="AB25" s="23">
        <v>0.4375</v>
      </c>
      <c r="AC25" s="23">
        <v>45</v>
      </c>
      <c r="AD25" s="23">
        <v>8</v>
      </c>
      <c r="AE25" s="23" t="s">
        <v>470</v>
      </c>
      <c r="AF25" s="23" t="s">
        <v>470</v>
      </c>
      <c r="AG25" s="23" t="s">
        <v>470</v>
      </c>
      <c r="AH25" s="23" t="s">
        <v>470</v>
      </c>
      <c r="AI25" s="23" t="s">
        <v>470</v>
      </c>
      <c r="AJ25" s="23" t="s">
        <v>470</v>
      </c>
      <c r="AK25" s="23" t="s">
        <v>470</v>
      </c>
      <c r="AL25" s="23" t="s">
        <v>470</v>
      </c>
      <c r="AM25" s="23" t="s">
        <v>470</v>
      </c>
      <c r="AN25" s="23" t="s">
        <v>470</v>
      </c>
      <c r="AO25" s="23" t="s">
        <v>470</v>
      </c>
      <c r="AP25" s="23" t="s">
        <v>470</v>
      </c>
    </row>
    <row r="26" spans="1:42" s="27" customFormat="1" ht="15.75" customHeight="1" x14ac:dyDescent="0.25">
      <c r="A26" s="22" t="s">
        <v>502</v>
      </c>
      <c r="B26" s="23"/>
      <c r="C26" s="23">
        <v>250</v>
      </c>
      <c r="D26" s="23">
        <v>23</v>
      </c>
      <c r="E26" s="24">
        <v>22.333333333300001</v>
      </c>
      <c r="F26" s="23">
        <v>60</v>
      </c>
      <c r="G26" s="23"/>
      <c r="H26" s="23"/>
      <c r="I26" s="23">
        <v>42.4375</v>
      </c>
      <c r="J26" s="23"/>
      <c r="K26" s="23"/>
      <c r="L26" s="23"/>
      <c r="M26" s="23"/>
      <c r="N26" s="23"/>
      <c r="O26" s="23"/>
      <c r="P26" s="23"/>
      <c r="Q26" s="25"/>
      <c r="R26" s="23"/>
      <c r="S26" s="26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s="27" customFormat="1" ht="15.75" customHeight="1" x14ac:dyDescent="0.25">
      <c r="A27" s="22" t="s">
        <v>503</v>
      </c>
      <c r="B27" s="23"/>
      <c r="C27" s="23">
        <v>250</v>
      </c>
      <c r="D27" s="23">
        <v>25</v>
      </c>
      <c r="E27" s="24">
        <v>25</v>
      </c>
      <c r="F27" s="23">
        <v>60</v>
      </c>
      <c r="G27" s="23">
        <v>54</v>
      </c>
      <c r="H27" s="23">
        <v>71.570400000000006</v>
      </c>
      <c r="I27" s="23">
        <v>42.4375</v>
      </c>
      <c r="J27" s="23">
        <v>0.6875</v>
      </c>
      <c r="K27" s="23">
        <v>22.5</v>
      </c>
      <c r="L27" s="23">
        <v>16</v>
      </c>
      <c r="M27" s="23">
        <v>116.875</v>
      </c>
      <c r="N27" s="23">
        <v>71.593760000000003</v>
      </c>
      <c r="O27" s="23">
        <v>43.3125</v>
      </c>
      <c r="P27" s="23">
        <v>0.5625</v>
      </c>
      <c r="Q27" s="25">
        <v>60</v>
      </c>
      <c r="R27" s="23">
        <v>6</v>
      </c>
      <c r="S27" s="26">
        <v>162.1875</v>
      </c>
      <c r="T27" s="23">
        <v>116.875</v>
      </c>
      <c r="U27" s="23">
        <v>45.3125</v>
      </c>
      <c r="V27" s="23">
        <v>0.5</v>
      </c>
      <c r="W27" s="23">
        <v>60</v>
      </c>
      <c r="X27" s="23">
        <v>6</v>
      </c>
      <c r="Y27" s="23">
        <v>207.515625</v>
      </c>
      <c r="Z27" s="23">
        <v>162.1875</v>
      </c>
      <c r="AA27" s="23">
        <v>45.3125</v>
      </c>
      <c r="AB27" s="23">
        <v>0.4375</v>
      </c>
      <c r="AC27" s="23">
        <v>45</v>
      </c>
      <c r="AD27" s="23">
        <v>8</v>
      </c>
      <c r="AE27" s="23" t="s">
        <v>470</v>
      </c>
      <c r="AF27" s="23" t="s">
        <v>470</v>
      </c>
      <c r="AG27" s="23" t="s">
        <v>470</v>
      </c>
      <c r="AH27" s="23" t="s">
        <v>470</v>
      </c>
      <c r="AI27" s="23" t="s">
        <v>470</v>
      </c>
      <c r="AJ27" s="23" t="s">
        <v>470</v>
      </c>
      <c r="AK27" s="23" t="s">
        <v>470</v>
      </c>
      <c r="AL27" s="23" t="s">
        <v>470</v>
      </c>
      <c r="AM27" s="23" t="s">
        <v>470</v>
      </c>
      <c r="AN27" s="23" t="s">
        <v>470</v>
      </c>
      <c r="AO27" s="23" t="s">
        <v>470</v>
      </c>
      <c r="AP27" s="23" t="s">
        <v>470</v>
      </c>
    </row>
    <row r="28" spans="1:42" s="27" customFormat="1" ht="15.75" customHeight="1" x14ac:dyDescent="0.25">
      <c r="A28" s="22" t="s">
        <v>505</v>
      </c>
      <c r="B28" s="23"/>
      <c r="C28" s="23">
        <v>250</v>
      </c>
      <c r="D28" s="23">
        <v>28</v>
      </c>
      <c r="E28" s="24">
        <v>25</v>
      </c>
      <c r="F28" s="23">
        <v>60</v>
      </c>
      <c r="G28" s="23">
        <v>54</v>
      </c>
      <c r="H28" s="23">
        <v>71.570400000000006</v>
      </c>
      <c r="I28" s="23">
        <v>42.4375</v>
      </c>
      <c r="J28" s="23">
        <v>0.6875</v>
      </c>
      <c r="K28" s="23">
        <v>22.5</v>
      </c>
      <c r="L28" s="23">
        <v>16</v>
      </c>
      <c r="M28" s="23">
        <v>116.875</v>
      </c>
      <c r="N28" s="23">
        <v>71.593760000000003</v>
      </c>
      <c r="O28" s="23">
        <v>43.3125</v>
      </c>
      <c r="P28" s="23">
        <v>0.5625</v>
      </c>
      <c r="Q28" s="25">
        <v>60</v>
      </c>
      <c r="R28" s="23">
        <v>6</v>
      </c>
      <c r="S28" s="26">
        <v>162.1875</v>
      </c>
      <c r="T28" s="23">
        <v>116.875</v>
      </c>
      <c r="U28" s="23">
        <v>45.3125</v>
      </c>
      <c r="V28" s="23">
        <v>0.5</v>
      </c>
      <c r="W28" s="23">
        <v>60</v>
      </c>
      <c r="X28" s="23">
        <v>6</v>
      </c>
      <c r="Y28" s="23">
        <v>207.515625</v>
      </c>
      <c r="Z28" s="23">
        <v>162.1875</v>
      </c>
      <c r="AA28" s="23">
        <v>45.3125</v>
      </c>
      <c r="AB28" s="23">
        <v>0.4375</v>
      </c>
      <c r="AC28" s="23">
        <v>45</v>
      </c>
      <c r="AD28" s="23">
        <v>8</v>
      </c>
      <c r="AE28" s="23" t="s">
        <v>470</v>
      </c>
      <c r="AF28" s="23" t="s">
        <v>470</v>
      </c>
      <c r="AG28" s="23" t="s">
        <v>470</v>
      </c>
      <c r="AH28" s="23" t="s">
        <v>470</v>
      </c>
      <c r="AI28" s="23" t="s">
        <v>470</v>
      </c>
      <c r="AJ28" s="23" t="s">
        <v>470</v>
      </c>
      <c r="AK28" s="23" t="s">
        <v>470</v>
      </c>
      <c r="AL28" s="23" t="s">
        <v>470</v>
      </c>
      <c r="AM28" s="23" t="s">
        <v>470</v>
      </c>
      <c r="AN28" s="23" t="s">
        <v>470</v>
      </c>
      <c r="AO28" s="23" t="s">
        <v>470</v>
      </c>
      <c r="AP28" s="23" t="s">
        <v>470</v>
      </c>
    </row>
    <row r="29" spans="1:42" s="27" customFormat="1" ht="15.75" customHeight="1" x14ac:dyDescent="0.25">
      <c r="A29" s="22" t="s">
        <v>506</v>
      </c>
      <c r="B29" s="23"/>
      <c r="C29" s="23">
        <v>250</v>
      </c>
      <c r="D29" s="23">
        <v>30</v>
      </c>
      <c r="E29" s="24">
        <v>25</v>
      </c>
      <c r="F29" s="23">
        <v>60</v>
      </c>
      <c r="G29" s="23">
        <v>54</v>
      </c>
      <c r="H29" s="23">
        <v>71.570400000000006</v>
      </c>
      <c r="I29" s="23">
        <v>42.4375</v>
      </c>
      <c r="J29" s="23">
        <v>0.6875</v>
      </c>
      <c r="K29" s="23">
        <v>22.5</v>
      </c>
      <c r="L29" s="23">
        <v>16</v>
      </c>
      <c r="M29" s="23">
        <v>116.875</v>
      </c>
      <c r="N29" s="23">
        <v>71.593760000000003</v>
      </c>
      <c r="O29" s="23">
        <v>43.3125</v>
      </c>
      <c r="P29" s="23">
        <v>0.5625</v>
      </c>
      <c r="Q29" s="25">
        <v>60</v>
      </c>
      <c r="R29" s="23">
        <v>6</v>
      </c>
      <c r="S29" s="26">
        <v>162.1875</v>
      </c>
      <c r="T29" s="23">
        <v>116.875</v>
      </c>
      <c r="U29" s="23">
        <v>45.3125</v>
      </c>
      <c r="V29" s="23">
        <v>0.5</v>
      </c>
      <c r="W29" s="23">
        <v>60</v>
      </c>
      <c r="X29" s="23">
        <v>6</v>
      </c>
      <c r="Y29" s="23">
        <v>207.515625</v>
      </c>
      <c r="Z29" s="23">
        <v>162.1875</v>
      </c>
      <c r="AA29" s="23">
        <v>45.3125</v>
      </c>
      <c r="AB29" s="23">
        <v>0.4375</v>
      </c>
      <c r="AC29" s="23">
        <v>45</v>
      </c>
      <c r="AD29" s="23">
        <v>8</v>
      </c>
      <c r="AE29" s="23" t="s">
        <v>470</v>
      </c>
      <c r="AF29" s="23" t="s">
        <v>470</v>
      </c>
      <c r="AG29" s="23" t="s">
        <v>470</v>
      </c>
      <c r="AH29" s="23" t="s">
        <v>470</v>
      </c>
      <c r="AI29" s="23" t="s">
        <v>470</v>
      </c>
      <c r="AJ29" s="23" t="s">
        <v>470</v>
      </c>
      <c r="AK29" s="23" t="s">
        <v>470</v>
      </c>
      <c r="AL29" s="23" t="s">
        <v>470</v>
      </c>
      <c r="AM29" s="23" t="s">
        <v>470</v>
      </c>
      <c r="AN29" s="23" t="s">
        <v>470</v>
      </c>
      <c r="AO29" s="23" t="s">
        <v>470</v>
      </c>
      <c r="AP29" s="23" t="s">
        <v>470</v>
      </c>
    </row>
    <row r="30" spans="1:42" s="27" customFormat="1" ht="15.75" customHeight="1" x14ac:dyDescent="0.25">
      <c r="A30" s="22" t="s">
        <v>507</v>
      </c>
      <c r="B30" s="23"/>
      <c r="C30" s="23">
        <v>250</v>
      </c>
      <c r="D30" s="23">
        <v>30</v>
      </c>
      <c r="E30" s="24">
        <v>30</v>
      </c>
      <c r="F30" s="23">
        <v>60</v>
      </c>
      <c r="G30" s="23">
        <v>54</v>
      </c>
      <c r="H30" s="23">
        <v>71.570400000000006</v>
      </c>
      <c r="I30" s="23">
        <v>42.4375</v>
      </c>
      <c r="J30" s="23">
        <v>0.6875</v>
      </c>
      <c r="K30" s="23">
        <v>22.5</v>
      </c>
      <c r="L30" s="23">
        <v>16</v>
      </c>
      <c r="M30" s="23">
        <v>116.875</v>
      </c>
      <c r="N30" s="23">
        <v>71.593760000000003</v>
      </c>
      <c r="O30" s="23">
        <v>43.3125</v>
      </c>
      <c r="P30" s="23">
        <v>0.5625</v>
      </c>
      <c r="Q30" s="25">
        <v>60</v>
      </c>
      <c r="R30" s="23">
        <v>6</v>
      </c>
      <c r="S30" s="26">
        <v>162.1875</v>
      </c>
      <c r="T30" s="23">
        <v>116.875</v>
      </c>
      <c r="U30" s="23">
        <v>45.3125</v>
      </c>
      <c r="V30" s="23">
        <v>0.5</v>
      </c>
      <c r="W30" s="23">
        <v>60</v>
      </c>
      <c r="X30" s="23">
        <v>6</v>
      </c>
      <c r="Y30" s="23">
        <v>207.515625</v>
      </c>
      <c r="Z30" s="23">
        <v>162.1875</v>
      </c>
      <c r="AA30" s="23">
        <v>45.3125</v>
      </c>
      <c r="AB30" s="23">
        <v>0.4375</v>
      </c>
      <c r="AC30" s="23">
        <v>45</v>
      </c>
      <c r="AD30" s="23">
        <v>8</v>
      </c>
      <c r="AE30" s="23" t="s">
        <v>470</v>
      </c>
      <c r="AF30" s="23" t="s">
        <v>470</v>
      </c>
      <c r="AG30" s="23" t="s">
        <v>470</v>
      </c>
      <c r="AH30" s="23" t="s">
        <v>470</v>
      </c>
      <c r="AI30" s="23" t="s">
        <v>470</v>
      </c>
      <c r="AJ30" s="23" t="s">
        <v>470</v>
      </c>
      <c r="AK30" s="23" t="s">
        <v>470</v>
      </c>
      <c r="AL30" s="23" t="s">
        <v>470</v>
      </c>
      <c r="AM30" s="23" t="s">
        <v>470</v>
      </c>
      <c r="AN30" s="23" t="s">
        <v>470</v>
      </c>
      <c r="AO30" s="23" t="s">
        <v>470</v>
      </c>
      <c r="AP30" s="23" t="s">
        <v>470</v>
      </c>
    </row>
    <row r="31" spans="1:42" s="27" customFormat="1" ht="15.75" customHeight="1" x14ac:dyDescent="0.25">
      <c r="A31" s="22" t="s">
        <v>508</v>
      </c>
      <c r="B31" s="23"/>
      <c r="C31" s="23">
        <v>250</v>
      </c>
      <c r="D31" s="23">
        <v>32</v>
      </c>
      <c r="E31" s="24">
        <v>25</v>
      </c>
      <c r="F31" s="23">
        <v>60</v>
      </c>
      <c r="G31" s="23">
        <v>54</v>
      </c>
      <c r="H31" s="23">
        <v>71.570400000000006</v>
      </c>
      <c r="I31" s="23">
        <v>42.4375</v>
      </c>
      <c r="J31" s="23">
        <v>0.6875</v>
      </c>
      <c r="K31" s="23">
        <v>22.5</v>
      </c>
      <c r="L31" s="23">
        <v>16</v>
      </c>
      <c r="M31" s="23">
        <v>116.875</v>
      </c>
      <c r="N31" s="23">
        <v>71.593760000000003</v>
      </c>
      <c r="O31" s="23">
        <v>43.3125</v>
      </c>
      <c r="P31" s="23">
        <v>0.5625</v>
      </c>
      <c r="Q31" s="25">
        <v>60</v>
      </c>
      <c r="R31" s="23">
        <v>6</v>
      </c>
      <c r="S31" s="26">
        <v>162.1875</v>
      </c>
      <c r="T31" s="23">
        <v>116.875</v>
      </c>
      <c r="U31" s="23">
        <v>45.3125</v>
      </c>
      <c r="V31" s="23">
        <v>0.5</v>
      </c>
      <c r="W31" s="23">
        <v>60</v>
      </c>
      <c r="X31" s="23">
        <v>6</v>
      </c>
      <c r="Y31" s="23">
        <v>207.515625</v>
      </c>
      <c r="Z31" s="23">
        <v>162.1875</v>
      </c>
      <c r="AA31" s="23">
        <v>45.3125</v>
      </c>
      <c r="AB31" s="23">
        <v>0.4375</v>
      </c>
      <c r="AC31" s="23">
        <v>45</v>
      </c>
      <c r="AD31" s="23">
        <v>8</v>
      </c>
      <c r="AE31" s="23" t="s">
        <v>470</v>
      </c>
      <c r="AF31" s="23" t="s">
        <v>470</v>
      </c>
      <c r="AG31" s="23" t="s">
        <v>470</v>
      </c>
      <c r="AH31" s="23" t="s">
        <v>470</v>
      </c>
      <c r="AI31" s="23" t="s">
        <v>470</v>
      </c>
      <c r="AJ31" s="23" t="s">
        <v>470</v>
      </c>
      <c r="AK31" s="23" t="s">
        <v>470</v>
      </c>
      <c r="AL31" s="23" t="s">
        <v>470</v>
      </c>
      <c r="AM31" s="23" t="s">
        <v>470</v>
      </c>
      <c r="AN31" s="23" t="s">
        <v>470</v>
      </c>
      <c r="AO31" s="23" t="s">
        <v>470</v>
      </c>
      <c r="AP31" s="23" t="s">
        <v>470</v>
      </c>
    </row>
    <row r="32" spans="1:42" s="27" customFormat="1" ht="15.75" customHeight="1" x14ac:dyDescent="0.25">
      <c r="A32" s="22" t="s">
        <v>509</v>
      </c>
      <c r="B32" s="23"/>
      <c r="C32" s="23">
        <v>250</v>
      </c>
      <c r="D32" s="23">
        <v>34</v>
      </c>
      <c r="E32" s="24">
        <v>30</v>
      </c>
      <c r="F32" s="23">
        <v>60</v>
      </c>
      <c r="G32" s="23">
        <v>54</v>
      </c>
      <c r="H32" s="23">
        <v>71.570400000000006</v>
      </c>
      <c r="I32" s="23">
        <v>42.4375</v>
      </c>
      <c r="J32" s="23">
        <v>0.6875</v>
      </c>
      <c r="K32" s="23">
        <v>22.5</v>
      </c>
      <c r="L32" s="23">
        <v>16</v>
      </c>
      <c r="M32" s="23">
        <v>116.875</v>
      </c>
      <c r="N32" s="23">
        <v>71.593760000000003</v>
      </c>
      <c r="O32" s="23">
        <v>43.3125</v>
      </c>
      <c r="P32" s="23">
        <v>0.5625</v>
      </c>
      <c r="Q32" s="25">
        <v>60</v>
      </c>
      <c r="R32" s="23">
        <v>6</v>
      </c>
      <c r="S32" s="26">
        <v>162.1875</v>
      </c>
      <c r="T32" s="23">
        <v>116.875</v>
      </c>
      <c r="U32" s="23">
        <v>45.3125</v>
      </c>
      <c r="V32" s="23">
        <v>0.5</v>
      </c>
      <c r="W32" s="23">
        <v>60</v>
      </c>
      <c r="X32" s="23">
        <v>6</v>
      </c>
      <c r="Y32" s="23">
        <v>207.515625</v>
      </c>
      <c r="Z32" s="23">
        <v>162.1875</v>
      </c>
      <c r="AA32" s="23">
        <v>45.3125</v>
      </c>
      <c r="AB32" s="23">
        <v>0.4375</v>
      </c>
      <c r="AC32" s="23">
        <v>45</v>
      </c>
      <c r="AD32" s="23">
        <v>8</v>
      </c>
      <c r="AE32" s="23" t="s">
        <v>470</v>
      </c>
      <c r="AF32" s="23" t="s">
        <v>470</v>
      </c>
      <c r="AG32" s="23" t="s">
        <v>470</v>
      </c>
      <c r="AH32" s="23" t="s">
        <v>470</v>
      </c>
      <c r="AI32" s="23" t="s">
        <v>470</v>
      </c>
      <c r="AJ32" s="23" t="s">
        <v>470</v>
      </c>
      <c r="AK32" s="23" t="s">
        <v>470</v>
      </c>
      <c r="AL32" s="23" t="s">
        <v>470</v>
      </c>
      <c r="AM32" s="23" t="s">
        <v>470</v>
      </c>
      <c r="AN32" s="23" t="s">
        <v>470</v>
      </c>
      <c r="AO32" s="23" t="s">
        <v>470</v>
      </c>
      <c r="AP32" s="23" t="s">
        <v>470</v>
      </c>
    </row>
    <row r="33" spans="1:42" s="27" customFormat="1" ht="15.75" customHeight="1" x14ac:dyDescent="0.25">
      <c r="A33" s="22" t="s">
        <v>510</v>
      </c>
      <c r="B33" s="23"/>
      <c r="C33" s="23">
        <v>250</v>
      </c>
      <c r="D33" s="23">
        <v>40</v>
      </c>
      <c r="E33" s="24">
        <v>30</v>
      </c>
      <c r="F33" s="23">
        <v>60</v>
      </c>
      <c r="G33" s="23">
        <v>54</v>
      </c>
      <c r="H33" s="23">
        <v>71.570400000000006</v>
      </c>
      <c r="I33" s="23">
        <v>42.4375</v>
      </c>
      <c r="J33" s="23">
        <v>0.6875</v>
      </c>
      <c r="K33" s="23">
        <v>22.5</v>
      </c>
      <c r="L33" s="23">
        <v>16</v>
      </c>
      <c r="M33" s="23">
        <v>116.875</v>
      </c>
      <c r="N33" s="23">
        <v>71.593760000000003</v>
      </c>
      <c r="O33" s="23">
        <v>43.3125</v>
      </c>
      <c r="P33" s="23">
        <v>0.5625</v>
      </c>
      <c r="Q33" s="25">
        <v>60</v>
      </c>
      <c r="R33" s="23">
        <v>6</v>
      </c>
      <c r="S33" s="26">
        <v>162.1875</v>
      </c>
      <c r="T33" s="23">
        <v>116.875</v>
      </c>
      <c r="U33" s="23">
        <v>45.3125</v>
      </c>
      <c r="V33" s="23">
        <v>0.5</v>
      </c>
      <c r="W33" s="23">
        <v>60</v>
      </c>
      <c r="X33" s="23">
        <v>6</v>
      </c>
      <c r="Y33" s="23">
        <v>207.515625</v>
      </c>
      <c r="Z33" s="23">
        <v>162.1875</v>
      </c>
      <c r="AA33" s="23">
        <v>45.3125</v>
      </c>
      <c r="AB33" s="23">
        <v>0.4375</v>
      </c>
      <c r="AC33" s="23">
        <v>45</v>
      </c>
      <c r="AD33" s="23">
        <v>8</v>
      </c>
      <c r="AE33" s="23" t="s">
        <v>470</v>
      </c>
      <c r="AF33" s="23" t="s">
        <v>470</v>
      </c>
      <c r="AG33" s="23" t="s">
        <v>470</v>
      </c>
      <c r="AH33" s="23" t="s">
        <v>470</v>
      </c>
      <c r="AI33" s="23" t="s">
        <v>470</v>
      </c>
      <c r="AJ33" s="23" t="s">
        <v>470</v>
      </c>
      <c r="AK33" s="23" t="s">
        <v>470</v>
      </c>
      <c r="AL33" s="23" t="s">
        <v>470</v>
      </c>
      <c r="AM33" s="23" t="s">
        <v>470</v>
      </c>
      <c r="AN33" s="23" t="s">
        <v>470</v>
      </c>
      <c r="AO33" s="23" t="s">
        <v>470</v>
      </c>
      <c r="AP33" s="23" t="s">
        <v>470</v>
      </c>
    </row>
    <row r="34" spans="1:42" s="27" customFormat="1" ht="15.75" customHeight="1" x14ac:dyDescent="0.25">
      <c r="A34" s="22" t="s">
        <v>511</v>
      </c>
      <c r="B34" s="23"/>
      <c r="C34" s="23">
        <v>300</v>
      </c>
      <c r="D34" s="23">
        <v>21</v>
      </c>
      <c r="E34" s="24">
        <v>22.333333333300001</v>
      </c>
      <c r="F34" s="23">
        <v>60</v>
      </c>
      <c r="G34" s="23">
        <v>60</v>
      </c>
      <c r="H34" s="23">
        <v>54</v>
      </c>
      <c r="I34" s="23">
        <v>42.4375</v>
      </c>
      <c r="J34" s="23">
        <v>0.75</v>
      </c>
      <c r="K34" s="23">
        <v>22.5</v>
      </c>
      <c r="L34" s="23">
        <v>16</v>
      </c>
      <c r="M34" s="23">
        <v>121.40625</v>
      </c>
      <c r="N34" s="23">
        <v>71.59375</v>
      </c>
      <c r="O34" s="23">
        <v>49.8125</v>
      </c>
      <c r="P34" s="23">
        <v>0.6875</v>
      </c>
      <c r="Q34" s="25">
        <v>60</v>
      </c>
      <c r="R34" s="23">
        <v>6</v>
      </c>
      <c r="S34" s="26">
        <v>171.21875</v>
      </c>
      <c r="T34" s="23">
        <v>121.40625</v>
      </c>
      <c r="U34" s="23">
        <v>49.8125</v>
      </c>
      <c r="V34" s="23">
        <v>0.5625</v>
      </c>
      <c r="W34" s="23">
        <v>60</v>
      </c>
      <c r="X34" s="23">
        <v>6</v>
      </c>
      <c r="Y34" s="23">
        <v>221</v>
      </c>
      <c r="Z34" s="23">
        <v>171.21875</v>
      </c>
      <c r="AA34" s="23">
        <v>49.8125</v>
      </c>
      <c r="AB34" s="23">
        <v>0.5</v>
      </c>
      <c r="AC34" s="23">
        <v>45</v>
      </c>
      <c r="AD34" s="23">
        <v>8</v>
      </c>
      <c r="AE34" s="23" t="s">
        <v>470</v>
      </c>
      <c r="AF34" s="23" t="s">
        <v>470</v>
      </c>
      <c r="AG34" s="23" t="s">
        <v>470</v>
      </c>
      <c r="AH34" s="23" t="s">
        <v>470</v>
      </c>
      <c r="AI34" s="23" t="s">
        <v>470</v>
      </c>
      <c r="AJ34" s="23" t="s">
        <v>470</v>
      </c>
      <c r="AK34" s="23" t="s">
        <v>470</v>
      </c>
      <c r="AL34" s="23" t="s">
        <v>470</v>
      </c>
      <c r="AM34" s="23" t="s">
        <v>470</v>
      </c>
      <c r="AN34" s="23" t="s">
        <v>470</v>
      </c>
      <c r="AO34" s="23" t="s">
        <v>470</v>
      </c>
      <c r="AP34" s="23" t="s">
        <v>470</v>
      </c>
    </row>
    <row r="35" spans="1:42" s="27" customFormat="1" ht="15.75" customHeight="1" x14ac:dyDescent="0.25">
      <c r="A35" s="22" t="s">
        <v>513</v>
      </c>
      <c r="B35" s="23"/>
      <c r="C35" s="23">
        <v>300</v>
      </c>
      <c r="D35" s="23">
        <v>23</v>
      </c>
      <c r="E35" s="24">
        <v>22.333333333300001</v>
      </c>
      <c r="F35" s="23">
        <v>60</v>
      </c>
      <c r="G35" s="23">
        <v>60</v>
      </c>
      <c r="H35" s="23">
        <v>54</v>
      </c>
      <c r="I35" s="23">
        <v>42.4375</v>
      </c>
      <c r="J35" s="23">
        <v>0.75</v>
      </c>
      <c r="K35" s="23">
        <v>22.5</v>
      </c>
      <c r="L35" s="23">
        <v>16</v>
      </c>
      <c r="M35" s="23">
        <v>121.40625</v>
      </c>
      <c r="N35" s="23">
        <v>71.59375</v>
      </c>
      <c r="O35" s="23">
        <v>49.8125</v>
      </c>
      <c r="P35" s="23">
        <v>0.6875</v>
      </c>
      <c r="Q35" s="25">
        <v>60</v>
      </c>
      <c r="R35" s="23">
        <v>6</v>
      </c>
      <c r="S35" s="26">
        <v>171.21875</v>
      </c>
      <c r="T35" s="23">
        <v>121.40625</v>
      </c>
      <c r="U35" s="23">
        <v>49.8125</v>
      </c>
      <c r="V35" s="23">
        <v>0.5625</v>
      </c>
      <c r="W35" s="23">
        <v>60</v>
      </c>
      <c r="X35" s="23">
        <v>6</v>
      </c>
      <c r="Y35" s="23">
        <v>221</v>
      </c>
      <c r="Z35" s="23">
        <v>171.21875</v>
      </c>
      <c r="AA35" s="23">
        <v>49.8125</v>
      </c>
      <c r="AB35" s="23">
        <v>0.5</v>
      </c>
      <c r="AC35" s="23">
        <v>45</v>
      </c>
      <c r="AD35" s="23">
        <v>8</v>
      </c>
      <c r="AE35" s="23" t="s">
        <v>470</v>
      </c>
      <c r="AF35" s="23" t="s">
        <v>470</v>
      </c>
      <c r="AG35" s="23" t="s">
        <v>470</v>
      </c>
      <c r="AH35" s="23" t="s">
        <v>470</v>
      </c>
      <c r="AI35" s="23" t="s">
        <v>470</v>
      </c>
      <c r="AJ35" s="23" t="s">
        <v>470</v>
      </c>
      <c r="AK35" s="23" t="s">
        <v>470</v>
      </c>
      <c r="AL35" s="23" t="s">
        <v>470</v>
      </c>
      <c r="AM35" s="23" t="s">
        <v>470</v>
      </c>
      <c r="AN35" s="23" t="s">
        <v>470</v>
      </c>
      <c r="AO35" s="23" t="s">
        <v>470</v>
      </c>
      <c r="AP35" s="23" t="s">
        <v>470</v>
      </c>
    </row>
    <row r="36" spans="1:42" s="27" customFormat="1" ht="15.75" customHeight="1" x14ac:dyDescent="0.25">
      <c r="A36" s="22" t="s">
        <v>514</v>
      </c>
      <c r="B36" s="23"/>
      <c r="C36" s="23">
        <v>300</v>
      </c>
      <c r="D36" s="23">
        <v>25</v>
      </c>
      <c r="E36" s="24">
        <v>25</v>
      </c>
      <c r="F36" s="23">
        <v>60</v>
      </c>
      <c r="G36" s="23">
        <v>54</v>
      </c>
      <c r="H36" s="23">
        <v>71.59375</v>
      </c>
      <c r="I36" s="23" t="s">
        <v>515</v>
      </c>
      <c r="J36" s="23">
        <v>0.75</v>
      </c>
      <c r="K36" s="23">
        <v>22.5</v>
      </c>
      <c r="L36" s="23">
        <v>16</v>
      </c>
      <c r="M36" s="23">
        <v>121.40625</v>
      </c>
      <c r="N36" s="23">
        <v>71.59375</v>
      </c>
      <c r="O36" s="23">
        <v>49.8125</v>
      </c>
      <c r="P36" s="23">
        <v>0.6875</v>
      </c>
      <c r="Q36" s="25">
        <v>60</v>
      </c>
      <c r="R36" s="23">
        <v>6</v>
      </c>
      <c r="S36" s="26">
        <v>171.21875</v>
      </c>
      <c r="T36" s="23">
        <v>121.40625</v>
      </c>
      <c r="U36" s="23">
        <v>49.8125</v>
      </c>
      <c r="V36" s="23">
        <v>0.5625</v>
      </c>
      <c r="W36" s="23">
        <v>60</v>
      </c>
      <c r="X36" s="23">
        <v>6</v>
      </c>
      <c r="Y36" s="23">
        <v>221</v>
      </c>
      <c r="Z36" s="23">
        <v>171.21875</v>
      </c>
      <c r="AA36" s="23">
        <v>49.8125</v>
      </c>
      <c r="AB36" s="23">
        <v>0.5</v>
      </c>
      <c r="AC36" s="23">
        <v>45</v>
      </c>
      <c r="AD36" s="23">
        <v>8</v>
      </c>
      <c r="AE36" s="23" t="s">
        <v>470</v>
      </c>
      <c r="AF36" s="23" t="s">
        <v>470</v>
      </c>
      <c r="AG36" s="23" t="s">
        <v>470</v>
      </c>
      <c r="AH36" s="23" t="s">
        <v>470</v>
      </c>
      <c r="AI36" s="23" t="s">
        <v>470</v>
      </c>
      <c r="AJ36" s="23" t="s">
        <v>470</v>
      </c>
      <c r="AK36" s="23" t="s">
        <v>470</v>
      </c>
      <c r="AL36" s="23" t="s">
        <v>470</v>
      </c>
      <c r="AM36" s="23" t="s">
        <v>470</v>
      </c>
      <c r="AN36" s="23" t="s">
        <v>470</v>
      </c>
      <c r="AO36" s="23" t="s">
        <v>470</v>
      </c>
      <c r="AP36" s="23" t="s">
        <v>470</v>
      </c>
    </row>
    <row r="37" spans="1:42" s="27" customFormat="1" ht="15.75" customHeight="1" x14ac:dyDescent="0.25">
      <c r="A37" s="22" t="s">
        <v>516</v>
      </c>
      <c r="B37" s="23"/>
      <c r="C37" s="23">
        <v>300</v>
      </c>
      <c r="D37" s="23">
        <v>28</v>
      </c>
      <c r="E37" s="24">
        <v>25</v>
      </c>
      <c r="F37" s="23">
        <v>60</v>
      </c>
      <c r="G37" s="23">
        <v>60</v>
      </c>
      <c r="H37" s="23">
        <v>54</v>
      </c>
      <c r="I37" s="23">
        <v>42.4375</v>
      </c>
      <c r="J37" s="23">
        <v>0.75</v>
      </c>
      <c r="K37" s="23">
        <v>22.5</v>
      </c>
      <c r="L37" s="23">
        <v>16</v>
      </c>
      <c r="M37" s="23">
        <v>121.40625</v>
      </c>
      <c r="N37" s="23">
        <v>71.59375</v>
      </c>
      <c r="O37" s="23">
        <v>49.8125</v>
      </c>
      <c r="P37" s="23">
        <v>0.6875</v>
      </c>
      <c r="Q37" s="25">
        <v>60</v>
      </c>
      <c r="R37" s="23">
        <v>6</v>
      </c>
      <c r="S37" s="26">
        <v>171.21875</v>
      </c>
      <c r="T37" s="23">
        <v>121.40625</v>
      </c>
      <c r="U37" s="23">
        <v>49.8125</v>
      </c>
      <c r="V37" s="23">
        <v>0.5625</v>
      </c>
      <c r="W37" s="23">
        <v>60</v>
      </c>
      <c r="X37" s="23">
        <v>6</v>
      </c>
      <c r="Y37" s="23">
        <v>221</v>
      </c>
      <c r="Z37" s="23">
        <v>171.21875</v>
      </c>
      <c r="AA37" s="23">
        <v>49.8125</v>
      </c>
      <c r="AB37" s="23">
        <v>0.5</v>
      </c>
      <c r="AC37" s="23">
        <v>45</v>
      </c>
      <c r="AD37" s="23">
        <v>8</v>
      </c>
      <c r="AE37" s="23" t="s">
        <v>470</v>
      </c>
      <c r="AF37" s="23" t="s">
        <v>470</v>
      </c>
      <c r="AG37" s="23" t="s">
        <v>470</v>
      </c>
      <c r="AH37" s="23" t="s">
        <v>470</v>
      </c>
      <c r="AI37" s="23" t="s">
        <v>470</v>
      </c>
      <c r="AJ37" s="23" t="s">
        <v>470</v>
      </c>
      <c r="AK37" s="23" t="s">
        <v>470</v>
      </c>
      <c r="AL37" s="23" t="s">
        <v>470</v>
      </c>
      <c r="AM37" s="23" t="s">
        <v>470</v>
      </c>
      <c r="AN37" s="23" t="s">
        <v>470</v>
      </c>
      <c r="AO37" s="23" t="s">
        <v>470</v>
      </c>
      <c r="AP37" s="23" t="s">
        <v>470</v>
      </c>
    </row>
    <row r="38" spans="1:42" s="27" customFormat="1" ht="15.75" customHeight="1" x14ac:dyDescent="0.25">
      <c r="A38" s="22" t="s">
        <v>517</v>
      </c>
      <c r="B38" s="23"/>
      <c r="C38" s="23">
        <v>300</v>
      </c>
      <c r="D38" s="23">
        <v>30</v>
      </c>
      <c r="E38" s="24">
        <v>30</v>
      </c>
      <c r="F38" s="23">
        <v>60</v>
      </c>
      <c r="G38" s="23">
        <v>60</v>
      </c>
      <c r="H38" s="23">
        <v>54</v>
      </c>
      <c r="I38" s="23">
        <v>42.4375</v>
      </c>
      <c r="J38" s="23">
        <v>0.75</v>
      </c>
      <c r="K38" s="23">
        <v>22.5</v>
      </c>
      <c r="L38" s="23">
        <v>16</v>
      </c>
      <c r="M38" s="23">
        <v>121.40625</v>
      </c>
      <c r="N38" s="23">
        <v>71.59375</v>
      </c>
      <c r="O38" s="23">
        <v>49.8125</v>
      </c>
      <c r="P38" s="23">
        <v>0.6875</v>
      </c>
      <c r="Q38" s="25">
        <v>60</v>
      </c>
      <c r="R38" s="23">
        <v>6</v>
      </c>
      <c r="S38" s="26">
        <v>171.21875</v>
      </c>
      <c r="T38" s="23">
        <v>121.40625</v>
      </c>
      <c r="U38" s="23">
        <v>49.8125</v>
      </c>
      <c r="V38" s="23">
        <v>0.5625</v>
      </c>
      <c r="W38" s="23">
        <v>60</v>
      </c>
      <c r="X38" s="23">
        <v>6</v>
      </c>
      <c r="Y38" s="23">
        <v>221</v>
      </c>
      <c r="Z38" s="23">
        <v>171.21875</v>
      </c>
      <c r="AA38" s="23">
        <v>49.8125</v>
      </c>
      <c r="AB38" s="23">
        <v>0.5</v>
      </c>
      <c r="AC38" s="23">
        <v>45</v>
      </c>
      <c r="AD38" s="23">
        <v>8</v>
      </c>
      <c r="AE38" s="23" t="s">
        <v>470</v>
      </c>
      <c r="AF38" s="23" t="s">
        <v>470</v>
      </c>
      <c r="AG38" s="23" t="s">
        <v>470</v>
      </c>
      <c r="AH38" s="23" t="s">
        <v>470</v>
      </c>
      <c r="AI38" s="23" t="s">
        <v>470</v>
      </c>
      <c r="AJ38" s="23" t="s">
        <v>470</v>
      </c>
      <c r="AK38" s="23" t="s">
        <v>470</v>
      </c>
      <c r="AL38" s="23" t="s">
        <v>470</v>
      </c>
      <c r="AM38" s="23" t="s">
        <v>470</v>
      </c>
      <c r="AN38" s="23" t="s">
        <v>470</v>
      </c>
      <c r="AO38" s="23" t="s">
        <v>470</v>
      </c>
      <c r="AP38" s="23" t="s">
        <v>470</v>
      </c>
    </row>
    <row r="39" spans="1:42" s="27" customFormat="1" ht="15.75" customHeight="1" x14ac:dyDescent="0.25">
      <c r="A39" s="22" t="s">
        <v>518</v>
      </c>
      <c r="B39" s="23"/>
      <c r="C39" s="23">
        <v>300</v>
      </c>
      <c r="D39" s="23">
        <v>32</v>
      </c>
      <c r="E39" s="24">
        <v>25</v>
      </c>
      <c r="F39" s="23">
        <v>60</v>
      </c>
      <c r="G39" s="23">
        <v>60</v>
      </c>
      <c r="H39" s="23">
        <v>54</v>
      </c>
      <c r="I39" s="23">
        <v>42.4375</v>
      </c>
      <c r="J39" s="23">
        <v>0.75</v>
      </c>
      <c r="K39" s="23">
        <v>22.5</v>
      </c>
      <c r="L39" s="23">
        <v>16</v>
      </c>
      <c r="M39" s="23">
        <v>121.40625</v>
      </c>
      <c r="N39" s="23">
        <v>71.59375</v>
      </c>
      <c r="O39" s="23">
        <v>49.8125</v>
      </c>
      <c r="P39" s="23">
        <v>0.6875</v>
      </c>
      <c r="Q39" s="25">
        <v>60</v>
      </c>
      <c r="R39" s="23">
        <v>6</v>
      </c>
      <c r="S39" s="26">
        <v>171.21875</v>
      </c>
      <c r="T39" s="23">
        <v>121.40625</v>
      </c>
      <c r="U39" s="23">
        <v>49.8125</v>
      </c>
      <c r="V39" s="23">
        <v>0.5625</v>
      </c>
      <c r="W39" s="23">
        <v>60</v>
      </c>
      <c r="X39" s="23">
        <v>6</v>
      </c>
      <c r="Y39" s="23">
        <v>221</v>
      </c>
      <c r="Z39" s="23">
        <v>171.21875</v>
      </c>
      <c r="AA39" s="23">
        <v>49.8125</v>
      </c>
      <c r="AB39" s="23">
        <v>0.5</v>
      </c>
      <c r="AC39" s="23">
        <v>45</v>
      </c>
      <c r="AD39" s="23">
        <v>8</v>
      </c>
      <c r="AE39" s="23" t="s">
        <v>470</v>
      </c>
      <c r="AF39" s="23" t="s">
        <v>470</v>
      </c>
      <c r="AG39" s="23" t="s">
        <v>470</v>
      </c>
      <c r="AH39" s="23" t="s">
        <v>470</v>
      </c>
      <c r="AI39" s="23" t="s">
        <v>470</v>
      </c>
      <c r="AJ39" s="23" t="s">
        <v>470</v>
      </c>
      <c r="AK39" s="23" t="s">
        <v>470</v>
      </c>
      <c r="AL39" s="23" t="s">
        <v>470</v>
      </c>
      <c r="AM39" s="23" t="s">
        <v>470</v>
      </c>
      <c r="AN39" s="23" t="s">
        <v>470</v>
      </c>
      <c r="AO39" s="23" t="s">
        <v>470</v>
      </c>
      <c r="AP39" s="23" t="s">
        <v>470</v>
      </c>
    </row>
    <row r="40" spans="1:42" s="27" customFormat="1" ht="15.75" customHeight="1" x14ac:dyDescent="0.25">
      <c r="A40" s="22" t="s">
        <v>519</v>
      </c>
      <c r="B40" s="23"/>
      <c r="C40" s="23">
        <v>300</v>
      </c>
      <c r="D40" s="23">
        <v>32</v>
      </c>
      <c r="E40" s="24">
        <v>30</v>
      </c>
      <c r="F40" s="23">
        <v>60</v>
      </c>
      <c r="G40" s="23">
        <v>60</v>
      </c>
      <c r="H40" s="23">
        <v>54</v>
      </c>
      <c r="I40" s="23">
        <v>42.4375</v>
      </c>
      <c r="J40" s="23">
        <v>0.75</v>
      </c>
      <c r="K40" s="23">
        <v>22.5</v>
      </c>
      <c r="L40" s="23">
        <v>16</v>
      </c>
      <c r="M40" s="23">
        <v>121.40625</v>
      </c>
      <c r="N40" s="23">
        <v>71.59375</v>
      </c>
      <c r="O40" s="23">
        <v>49.8125</v>
      </c>
      <c r="P40" s="23">
        <v>0.6875</v>
      </c>
      <c r="Q40" s="25">
        <v>60</v>
      </c>
      <c r="R40" s="23">
        <v>6</v>
      </c>
      <c r="S40" s="26">
        <v>171.21875</v>
      </c>
      <c r="T40" s="23">
        <v>121.40625</v>
      </c>
      <c r="U40" s="23">
        <v>49.8125</v>
      </c>
      <c r="V40" s="23">
        <v>0.5625</v>
      </c>
      <c r="W40" s="23">
        <v>60</v>
      </c>
      <c r="X40" s="23">
        <v>6</v>
      </c>
      <c r="Y40" s="23">
        <v>221</v>
      </c>
      <c r="Z40" s="23">
        <v>171.21875</v>
      </c>
      <c r="AA40" s="23">
        <v>49.8125</v>
      </c>
      <c r="AB40" s="23">
        <v>0.5</v>
      </c>
      <c r="AC40" s="23">
        <v>45</v>
      </c>
      <c r="AD40" s="23">
        <v>8</v>
      </c>
      <c r="AE40" s="23" t="s">
        <v>470</v>
      </c>
      <c r="AF40" s="23" t="s">
        <v>470</v>
      </c>
      <c r="AG40" s="23" t="s">
        <v>470</v>
      </c>
      <c r="AH40" s="23" t="s">
        <v>470</v>
      </c>
      <c r="AI40" s="23" t="s">
        <v>470</v>
      </c>
      <c r="AJ40" s="23" t="s">
        <v>470</v>
      </c>
      <c r="AK40" s="23" t="s">
        <v>470</v>
      </c>
      <c r="AL40" s="23" t="s">
        <v>470</v>
      </c>
      <c r="AM40" s="23" t="s">
        <v>470</v>
      </c>
      <c r="AN40" s="23" t="s">
        <v>470</v>
      </c>
      <c r="AO40" s="23" t="s">
        <v>470</v>
      </c>
      <c r="AP40" s="23" t="s">
        <v>470</v>
      </c>
    </row>
    <row r="41" spans="1:42" s="27" customFormat="1" ht="15.75" customHeight="1" x14ac:dyDescent="0.25">
      <c r="A41" s="22" t="s">
        <v>520</v>
      </c>
      <c r="B41" s="23"/>
      <c r="C41" s="23">
        <v>300</v>
      </c>
      <c r="D41" s="23">
        <v>34</v>
      </c>
      <c r="E41" s="24">
        <v>30</v>
      </c>
      <c r="F41" s="23">
        <v>60</v>
      </c>
      <c r="G41" s="23">
        <v>60</v>
      </c>
      <c r="H41" s="23">
        <v>54</v>
      </c>
      <c r="I41" s="23">
        <v>42.4375</v>
      </c>
      <c r="J41" s="23">
        <v>0.75</v>
      </c>
      <c r="K41" s="23">
        <v>22.5</v>
      </c>
      <c r="L41" s="23">
        <v>16</v>
      </c>
      <c r="M41" s="23">
        <v>121.40625</v>
      </c>
      <c r="N41" s="23">
        <v>71.59375</v>
      </c>
      <c r="O41" s="23">
        <v>49.8125</v>
      </c>
      <c r="P41" s="23">
        <v>0.6875</v>
      </c>
      <c r="Q41" s="25">
        <v>60</v>
      </c>
      <c r="R41" s="23">
        <v>6</v>
      </c>
      <c r="S41" s="26">
        <v>171.21875</v>
      </c>
      <c r="T41" s="23">
        <v>121.40625</v>
      </c>
      <c r="U41" s="23">
        <v>49.8125</v>
      </c>
      <c r="V41" s="23">
        <v>0.5625</v>
      </c>
      <c r="W41" s="23">
        <v>60</v>
      </c>
      <c r="X41" s="23">
        <v>6</v>
      </c>
      <c r="Y41" s="23">
        <v>221</v>
      </c>
      <c r="Z41" s="23">
        <v>171.21875</v>
      </c>
      <c r="AA41" s="23">
        <v>49.8125</v>
      </c>
      <c r="AB41" s="23">
        <v>0.5</v>
      </c>
      <c r="AC41" s="23">
        <v>45</v>
      </c>
      <c r="AD41" s="23">
        <v>8</v>
      </c>
      <c r="AE41" s="23" t="s">
        <v>470</v>
      </c>
      <c r="AF41" s="23" t="s">
        <v>470</v>
      </c>
      <c r="AG41" s="23" t="s">
        <v>470</v>
      </c>
      <c r="AH41" s="23" t="s">
        <v>470</v>
      </c>
      <c r="AI41" s="23" t="s">
        <v>470</v>
      </c>
      <c r="AJ41" s="23" t="s">
        <v>470</v>
      </c>
      <c r="AK41" s="23" t="s">
        <v>470</v>
      </c>
      <c r="AL41" s="23" t="s">
        <v>470</v>
      </c>
      <c r="AM41" s="23" t="s">
        <v>470</v>
      </c>
      <c r="AN41" s="23" t="s">
        <v>470</v>
      </c>
      <c r="AO41" s="23" t="s">
        <v>470</v>
      </c>
      <c r="AP41" s="23" t="s">
        <v>470</v>
      </c>
    </row>
    <row r="42" spans="1:42" s="27" customFormat="1" ht="15.75" customHeight="1" x14ac:dyDescent="0.25">
      <c r="A42" s="22" t="s">
        <v>521</v>
      </c>
      <c r="B42" s="23"/>
      <c r="C42" s="23">
        <v>300</v>
      </c>
      <c r="D42" s="23">
        <v>38</v>
      </c>
      <c r="E42" s="24">
        <v>30</v>
      </c>
      <c r="F42" s="23">
        <v>60</v>
      </c>
      <c r="G42" s="23">
        <v>60</v>
      </c>
      <c r="H42" s="23">
        <v>54</v>
      </c>
      <c r="I42" s="23">
        <v>42.4375</v>
      </c>
      <c r="J42" s="23">
        <v>0.75</v>
      </c>
      <c r="K42" s="23">
        <v>22.5</v>
      </c>
      <c r="L42" s="23">
        <v>16</v>
      </c>
      <c r="M42" s="23">
        <v>121.40625</v>
      </c>
      <c r="N42" s="23">
        <v>71.59375</v>
      </c>
      <c r="O42" s="23">
        <v>49.8125</v>
      </c>
      <c r="P42" s="23">
        <v>0.6875</v>
      </c>
      <c r="Q42" s="25">
        <v>60</v>
      </c>
      <c r="R42" s="23">
        <v>6</v>
      </c>
      <c r="S42" s="26">
        <v>171.21875</v>
      </c>
      <c r="T42" s="23">
        <v>121.40625</v>
      </c>
      <c r="U42" s="23">
        <v>49.8125</v>
      </c>
      <c r="V42" s="23">
        <v>0.5625</v>
      </c>
      <c r="W42" s="23">
        <v>60</v>
      </c>
      <c r="X42" s="23">
        <v>6</v>
      </c>
      <c r="Y42" s="23">
        <v>221</v>
      </c>
      <c r="Z42" s="23">
        <v>171.21875</v>
      </c>
      <c r="AA42" s="23">
        <v>49.8125</v>
      </c>
      <c r="AB42" s="23">
        <v>0.5</v>
      </c>
      <c r="AC42" s="23">
        <v>45</v>
      </c>
      <c r="AD42" s="23">
        <v>8</v>
      </c>
      <c r="AE42" s="23" t="s">
        <v>470</v>
      </c>
      <c r="AF42" s="23" t="s">
        <v>470</v>
      </c>
      <c r="AG42" s="23" t="s">
        <v>470</v>
      </c>
      <c r="AH42" s="23" t="s">
        <v>470</v>
      </c>
      <c r="AI42" s="23" t="s">
        <v>470</v>
      </c>
      <c r="AJ42" s="23" t="s">
        <v>470</v>
      </c>
      <c r="AK42" s="23" t="s">
        <v>470</v>
      </c>
      <c r="AL42" s="23" t="s">
        <v>470</v>
      </c>
      <c r="AM42" s="23" t="s">
        <v>470</v>
      </c>
      <c r="AN42" s="23" t="s">
        <v>470</v>
      </c>
      <c r="AO42" s="23" t="s">
        <v>470</v>
      </c>
      <c r="AP42" s="23" t="s">
        <v>470</v>
      </c>
    </row>
    <row r="43" spans="1:42" s="27" customFormat="1" ht="15.75" customHeight="1" x14ac:dyDescent="0.25">
      <c r="A43" s="22" t="s">
        <v>522</v>
      </c>
      <c r="B43" s="23"/>
      <c r="C43" s="23">
        <v>325</v>
      </c>
      <c r="D43" s="23">
        <v>25</v>
      </c>
      <c r="E43" s="24">
        <v>25</v>
      </c>
      <c r="F43" s="23">
        <v>60</v>
      </c>
      <c r="G43" s="23"/>
      <c r="H43" s="23">
        <v>71.5625</v>
      </c>
      <c r="I43" s="23">
        <v>42.4375</v>
      </c>
      <c r="J43" s="23">
        <v>0.8125</v>
      </c>
      <c r="K43" s="23">
        <v>22.5</v>
      </c>
      <c r="L43" s="23">
        <v>16</v>
      </c>
      <c r="M43" s="23">
        <v>123.79170000000001</v>
      </c>
      <c r="N43" s="23">
        <v>71.5625</v>
      </c>
      <c r="O43" s="23">
        <v>52.52</v>
      </c>
      <c r="P43" s="23">
        <v>0.6875</v>
      </c>
      <c r="Q43" s="25">
        <v>60</v>
      </c>
      <c r="R43" s="23">
        <v>6</v>
      </c>
      <c r="S43" s="26">
        <v>176.02080000000001</v>
      </c>
      <c r="T43" s="23">
        <v>123.79170000000001</v>
      </c>
      <c r="U43" s="23">
        <v>52.52</v>
      </c>
      <c r="V43" s="23">
        <v>0.5625</v>
      </c>
      <c r="W43" s="23">
        <v>45</v>
      </c>
      <c r="X43" s="23">
        <v>8</v>
      </c>
      <c r="Y43" s="23">
        <v>228.25</v>
      </c>
      <c r="Z43" s="23">
        <v>176.02080000000001</v>
      </c>
      <c r="AA43" s="23">
        <v>52.52</v>
      </c>
      <c r="AB43" s="23">
        <v>0.5</v>
      </c>
      <c r="AC43" s="23">
        <v>36</v>
      </c>
      <c r="AD43" s="23">
        <v>10</v>
      </c>
      <c r="AE43" s="23" t="s">
        <v>470</v>
      </c>
      <c r="AF43" s="23" t="s">
        <v>470</v>
      </c>
      <c r="AG43" s="23" t="s">
        <v>470</v>
      </c>
      <c r="AH43" s="23" t="s">
        <v>470</v>
      </c>
      <c r="AI43" s="23" t="s">
        <v>470</v>
      </c>
      <c r="AJ43" s="23" t="s">
        <v>470</v>
      </c>
      <c r="AK43" s="23" t="s">
        <v>470</v>
      </c>
      <c r="AL43" s="23" t="s">
        <v>470</v>
      </c>
      <c r="AM43" s="23" t="s">
        <v>470</v>
      </c>
      <c r="AN43" s="23" t="s">
        <v>470</v>
      </c>
      <c r="AO43" s="23" t="s">
        <v>470</v>
      </c>
      <c r="AP43" s="23" t="s">
        <v>470</v>
      </c>
    </row>
    <row r="44" spans="1:42" s="27" customFormat="1" ht="15.75" customHeight="1" x14ac:dyDescent="0.25">
      <c r="A44" s="22" t="s">
        <v>524</v>
      </c>
      <c r="B44" s="23"/>
      <c r="C44" s="23">
        <v>400</v>
      </c>
      <c r="D44" s="23">
        <v>25</v>
      </c>
      <c r="E44" s="24">
        <v>25</v>
      </c>
      <c r="F44" s="23">
        <v>60</v>
      </c>
      <c r="G44" s="23">
        <v>60</v>
      </c>
      <c r="H44" s="23">
        <v>77.5625</v>
      </c>
      <c r="I44" s="23">
        <v>42.4375</v>
      </c>
      <c r="J44" s="23">
        <v>0.9375</v>
      </c>
      <c r="K44" s="23">
        <v>40</v>
      </c>
      <c r="L44" s="23">
        <v>9</v>
      </c>
      <c r="M44" s="23">
        <v>133.09379999999999</v>
      </c>
      <c r="N44" s="23">
        <v>77.5625</v>
      </c>
      <c r="O44" s="23">
        <v>55.4375</v>
      </c>
      <c r="P44" s="23">
        <v>0.75</v>
      </c>
      <c r="Q44" s="25">
        <v>60</v>
      </c>
      <c r="R44" s="23">
        <v>6</v>
      </c>
      <c r="S44" s="26">
        <v>188.53129999999999</v>
      </c>
      <c r="T44" s="23">
        <v>133.09379999999999</v>
      </c>
      <c r="U44" s="23">
        <v>55.4375</v>
      </c>
      <c r="V44" s="23">
        <v>0.625</v>
      </c>
      <c r="W44" s="23">
        <v>45</v>
      </c>
      <c r="X44" s="23">
        <v>8</v>
      </c>
      <c r="Y44" s="23">
        <v>243.96875</v>
      </c>
      <c r="Z44" s="23">
        <v>188.53129999999999</v>
      </c>
      <c r="AA44" s="23">
        <v>55.4375</v>
      </c>
      <c r="AB44" s="23">
        <v>0.5625</v>
      </c>
      <c r="AC44" s="23">
        <v>36</v>
      </c>
      <c r="AD44" s="23">
        <v>10</v>
      </c>
      <c r="AE44" s="23" t="s">
        <v>470</v>
      </c>
      <c r="AF44" s="23" t="s">
        <v>470</v>
      </c>
      <c r="AG44" s="23" t="s">
        <v>470</v>
      </c>
      <c r="AH44" s="23" t="s">
        <v>470</v>
      </c>
      <c r="AI44" s="23" t="s">
        <v>470</v>
      </c>
      <c r="AJ44" s="23" t="s">
        <v>470</v>
      </c>
      <c r="AK44" s="23" t="s">
        <v>470</v>
      </c>
      <c r="AL44" s="23" t="s">
        <v>470</v>
      </c>
      <c r="AM44" s="23" t="s">
        <v>470</v>
      </c>
      <c r="AN44" s="23" t="s">
        <v>470</v>
      </c>
      <c r="AO44" s="23" t="s">
        <v>470</v>
      </c>
      <c r="AP44" s="23" t="s">
        <v>470</v>
      </c>
    </row>
    <row r="45" spans="1:42" s="27" customFormat="1" ht="15.75" customHeight="1" x14ac:dyDescent="0.25">
      <c r="A45" s="22" t="s">
        <v>526</v>
      </c>
      <c r="B45" s="23"/>
      <c r="C45" s="23">
        <v>400</v>
      </c>
      <c r="D45" s="23">
        <v>28</v>
      </c>
      <c r="E45" s="24">
        <v>25</v>
      </c>
      <c r="F45" s="23">
        <v>60</v>
      </c>
      <c r="G45" s="23">
        <v>60</v>
      </c>
      <c r="H45" s="23">
        <v>77.5625</v>
      </c>
      <c r="I45" s="23">
        <v>42.4375</v>
      </c>
      <c r="J45" s="23">
        <v>0.9375</v>
      </c>
      <c r="K45" s="23">
        <v>40</v>
      </c>
      <c r="L45" s="23">
        <v>9</v>
      </c>
      <c r="M45" s="23">
        <v>133.09379999999999</v>
      </c>
      <c r="N45" s="23">
        <v>77.5625</v>
      </c>
      <c r="O45" s="23">
        <v>55.4375</v>
      </c>
      <c r="P45" s="23">
        <v>0.75</v>
      </c>
      <c r="Q45" s="25">
        <v>60</v>
      </c>
      <c r="R45" s="23">
        <v>6</v>
      </c>
      <c r="S45" s="26">
        <v>188.53129999999999</v>
      </c>
      <c r="T45" s="23">
        <v>133.09379999999999</v>
      </c>
      <c r="U45" s="23">
        <v>55.4375</v>
      </c>
      <c r="V45" s="23">
        <v>0.625</v>
      </c>
      <c r="W45" s="23">
        <v>45</v>
      </c>
      <c r="X45" s="23">
        <v>8</v>
      </c>
      <c r="Y45" s="23">
        <v>243.96875</v>
      </c>
      <c r="Z45" s="23">
        <v>188.53129999999999</v>
      </c>
      <c r="AA45" s="23">
        <v>55.4375</v>
      </c>
      <c r="AB45" s="23">
        <v>0.5625</v>
      </c>
      <c r="AC45" s="23">
        <v>36</v>
      </c>
      <c r="AD45" s="23">
        <v>10</v>
      </c>
      <c r="AE45" s="23" t="s">
        <v>470</v>
      </c>
      <c r="AF45" s="23" t="s">
        <v>470</v>
      </c>
      <c r="AG45" s="23" t="s">
        <v>470</v>
      </c>
      <c r="AH45" s="23" t="s">
        <v>470</v>
      </c>
      <c r="AI45" s="23" t="s">
        <v>470</v>
      </c>
      <c r="AJ45" s="23" t="s">
        <v>470</v>
      </c>
      <c r="AK45" s="23" t="s">
        <v>470</v>
      </c>
      <c r="AL45" s="23" t="s">
        <v>470</v>
      </c>
      <c r="AM45" s="23" t="s">
        <v>470</v>
      </c>
      <c r="AN45" s="23" t="s">
        <v>470</v>
      </c>
      <c r="AO45" s="23" t="s">
        <v>470</v>
      </c>
      <c r="AP45" s="23" t="s">
        <v>470</v>
      </c>
    </row>
    <row r="46" spans="1:42" s="27" customFormat="1" ht="15.75" customHeight="1" x14ac:dyDescent="0.25">
      <c r="A46" s="22" t="s">
        <v>527</v>
      </c>
      <c r="B46" s="23"/>
      <c r="C46" s="23">
        <v>400</v>
      </c>
      <c r="D46" s="23">
        <v>30</v>
      </c>
      <c r="E46" s="24">
        <v>30</v>
      </c>
      <c r="F46" s="23">
        <v>60</v>
      </c>
      <c r="G46" s="23">
        <v>60</v>
      </c>
      <c r="H46" s="23">
        <v>77.5625</v>
      </c>
      <c r="I46" s="23">
        <v>42.4375</v>
      </c>
      <c r="J46" s="23">
        <v>0.9375</v>
      </c>
      <c r="K46" s="23">
        <v>40</v>
      </c>
      <c r="L46" s="23">
        <v>9</v>
      </c>
      <c r="M46" s="23">
        <v>133.09379999999999</v>
      </c>
      <c r="N46" s="23">
        <v>77.5625</v>
      </c>
      <c r="O46" s="23">
        <v>55.4375</v>
      </c>
      <c r="P46" s="23">
        <v>0.75</v>
      </c>
      <c r="Q46" s="25">
        <v>60</v>
      </c>
      <c r="R46" s="23">
        <v>6</v>
      </c>
      <c r="S46" s="26">
        <v>188.53129999999999</v>
      </c>
      <c r="T46" s="23">
        <v>133.09379999999999</v>
      </c>
      <c r="U46" s="23">
        <v>55.4375</v>
      </c>
      <c r="V46" s="23">
        <v>0.625</v>
      </c>
      <c r="W46" s="23">
        <v>45</v>
      </c>
      <c r="X46" s="23">
        <v>8</v>
      </c>
      <c r="Y46" s="23">
        <v>243.96875</v>
      </c>
      <c r="Z46" s="23">
        <v>188.53129999999999</v>
      </c>
      <c r="AA46" s="23">
        <v>55.4375</v>
      </c>
      <c r="AB46" s="23">
        <v>0.5625</v>
      </c>
      <c r="AC46" s="23">
        <v>36</v>
      </c>
      <c r="AD46" s="23">
        <v>10</v>
      </c>
      <c r="AE46" s="23" t="s">
        <v>470</v>
      </c>
      <c r="AF46" s="23" t="s">
        <v>470</v>
      </c>
      <c r="AG46" s="23" t="s">
        <v>470</v>
      </c>
      <c r="AH46" s="23" t="s">
        <v>470</v>
      </c>
      <c r="AI46" s="23" t="s">
        <v>470</v>
      </c>
      <c r="AJ46" s="23" t="s">
        <v>470</v>
      </c>
      <c r="AK46" s="23" t="s">
        <v>470</v>
      </c>
      <c r="AL46" s="23" t="s">
        <v>470</v>
      </c>
      <c r="AM46" s="23" t="s">
        <v>470</v>
      </c>
      <c r="AN46" s="23" t="s">
        <v>470</v>
      </c>
      <c r="AO46" s="23" t="s">
        <v>470</v>
      </c>
      <c r="AP46" s="23" t="s">
        <v>470</v>
      </c>
    </row>
    <row r="47" spans="1:42" s="27" customFormat="1" ht="15.75" customHeight="1" x14ac:dyDescent="0.25">
      <c r="A47" s="22" t="s">
        <v>529</v>
      </c>
      <c r="B47" s="23"/>
      <c r="C47" s="23">
        <v>400</v>
      </c>
      <c r="D47" s="23">
        <v>32</v>
      </c>
      <c r="E47" s="24">
        <v>25</v>
      </c>
      <c r="F47" s="23">
        <v>60</v>
      </c>
      <c r="G47" s="23">
        <v>60</v>
      </c>
      <c r="H47" s="23">
        <v>77.5625</v>
      </c>
      <c r="I47" s="23">
        <v>42.4375</v>
      </c>
      <c r="J47" s="23">
        <v>0.9375</v>
      </c>
      <c r="K47" s="23">
        <v>40</v>
      </c>
      <c r="L47" s="23">
        <v>9</v>
      </c>
      <c r="M47" s="23">
        <v>133.09379999999999</v>
      </c>
      <c r="N47" s="23">
        <v>77.5625</v>
      </c>
      <c r="O47" s="23">
        <v>55.4375</v>
      </c>
      <c r="P47" s="23">
        <v>0.75</v>
      </c>
      <c r="Q47" s="25">
        <v>60</v>
      </c>
      <c r="R47" s="23">
        <v>6</v>
      </c>
      <c r="S47" s="26">
        <v>188.53129999999999</v>
      </c>
      <c r="T47" s="23">
        <v>133.09379999999999</v>
      </c>
      <c r="U47" s="23">
        <v>55.4375</v>
      </c>
      <c r="V47" s="23">
        <v>0.625</v>
      </c>
      <c r="W47" s="23">
        <v>45</v>
      </c>
      <c r="X47" s="23">
        <v>8</v>
      </c>
      <c r="Y47" s="23">
        <v>243.96875</v>
      </c>
      <c r="Z47" s="23">
        <v>188.53129999999999</v>
      </c>
      <c r="AA47" s="23">
        <v>55.4375</v>
      </c>
      <c r="AB47" s="23">
        <v>0.5625</v>
      </c>
      <c r="AC47" s="23">
        <v>36</v>
      </c>
      <c r="AD47" s="23">
        <v>10</v>
      </c>
      <c r="AE47" s="23" t="s">
        <v>470</v>
      </c>
      <c r="AF47" s="23" t="s">
        <v>470</v>
      </c>
      <c r="AG47" s="23" t="s">
        <v>470</v>
      </c>
      <c r="AH47" s="23" t="s">
        <v>470</v>
      </c>
      <c r="AI47" s="23" t="s">
        <v>470</v>
      </c>
      <c r="AJ47" s="23" t="s">
        <v>470</v>
      </c>
      <c r="AK47" s="23" t="s">
        <v>470</v>
      </c>
      <c r="AL47" s="23" t="s">
        <v>470</v>
      </c>
      <c r="AM47" s="23" t="s">
        <v>470</v>
      </c>
      <c r="AN47" s="23" t="s">
        <v>470</v>
      </c>
      <c r="AO47" s="23" t="s">
        <v>470</v>
      </c>
      <c r="AP47" s="23" t="s">
        <v>470</v>
      </c>
    </row>
    <row r="48" spans="1:42" s="27" customFormat="1" ht="15.75" customHeight="1" x14ac:dyDescent="0.25">
      <c r="A48" s="22" t="s">
        <v>530</v>
      </c>
      <c r="B48" s="23"/>
      <c r="C48" s="23">
        <v>400</v>
      </c>
      <c r="D48" s="23">
        <v>32</v>
      </c>
      <c r="E48" s="24">
        <v>30</v>
      </c>
      <c r="F48" s="23">
        <v>60</v>
      </c>
      <c r="G48" s="23">
        <v>60</v>
      </c>
      <c r="H48" s="23">
        <v>77.5625</v>
      </c>
      <c r="I48" s="23">
        <v>42.4375</v>
      </c>
      <c r="J48" s="23">
        <v>0.9375</v>
      </c>
      <c r="K48" s="23">
        <v>40</v>
      </c>
      <c r="L48" s="23">
        <v>9</v>
      </c>
      <c r="M48" s="23">
        <v>133.09379999999999</v>
      </c>
      <c r="N48" s="23">
        <v>77.5625</v>
      </c>
      <c r="O48" s="23">
        <v>55.4375</v>
      </c>
      <c r="P48" s="23">
        <v>0.75</v>
      </c>
      <c r="Q48" s="25">
        <v>60</v>
      </c>
      <c r="R48" s="23">
        <v>6</v>
      </c>
      <c r="S48" s="26">
        <v>188.53129999999999</v>
      </c>
      <c r="T48" s="23">
        <v>133.09379999999999</v>
      </c>
      <c r="U48" s="23">
        <v>55.4375</v>
      </c>
      <c r="V48" s="23">
        <v>0.625</v>
      </c>
      <c r="W48" s="23">
        <v>45</v>
      </c>
      <c r="X48" s="23">
        <v>8</v>
      </c>
      <c r="Y48" s="23">
        <v>243.96875</v>
      </c>
      <c r="Z48" s="23">
        <v>188.53129999999999</v>
      </c>
      <c r="AA48" s="23">
        <v>55.4375</v>
      </c>
      <c r="AB48" s="23">
        <v>0.5625</v>
      </c>
      <c r="AC48" s="23">
        <v>36</v>
      </c>
      <c r="AD48" s="23">
        <v>10</v>
      </c>
      <c r="AE48" s="23" t="s">
        <v>470</v>
      </c>
      <c r="AF48" s="23" t="s">
        <v>470</v>
      </c>
      <c r="AG48" s="23" t="s">
        <v>470</v>
      </c>
      <c r="AH48" s="23" t="s">
        <v>470</v>
      </c>
      <c r="AI48" s="23" t="s">
        <v>470</v>
      </c>
      <c r="AJ48" s="23" t="s">
        <v>470</v>
      </c>
      <c r="AK48" s="23" t="s">
        <v>470</v>
      </c>
      <c r="AL48" s="23" t="s">
        <v>470</v>
      </c>
      <c r="AM48" s="23" t="s">
        <v>470</v>
      </c>
      <c r="AN48" s="23" t="s">
        <v>470</v>
      </c>
      <c r="AO48" s="23" t="s">
        <v>470</v>
      </c>
      <c r="AP48" s="23" t="s">
        <v>470</v>
      </c>
    </row>
    <row r="49" spans="1:42" s="27" customFormat="1" ht="15.75" customHeight="1" x14ac:dyDescent="0.25">
      <c r="A49" s="22" t="s">
        <v>531</v>
      </c>
      <c r="B49" s="23"/>
      <c r="C49" s="23">
        <v>400</v>
      </c>
      <c r="D49" s="23">
        <v>40</v>
      </c>
      <c r="E49" s="24">
        <v>30</v>
      </c>
      <c r="F49" s="23">
        <v>60</v>
      </c>
      <c r="G49" s="23">
        <v>60</v>
      </c>
      <c r="H49" s="23">
        <v>77.5625</v>
      </c>
      <c r="I49" s="23">
        <v>42.4375</v>
      </c>
      <c r="J49" s="23">
        <v>0.9375</v>
      </c>
      <c r="K49" s="23">
        <v>40</v>
      </c>
      <c r="L49" s="23">
        <v>9</v>
      </c>
      <c r="M49" s="23">
        <v>133.09379999999999</v>
      </c>
      <c r="N49" s="23">
        <v>77.5625</v>
      </c>
      <c r="O49" s="23">
        <v>55.4375</v>
      </c>
      <c r="P49" s="23">
        <v>0.75</v>
      </c>
      <c r="Q49" s="25">
        <v>60</v>
      </c>
      <c r="R49" s="23">
        <v>6</v>
      </c>
      <c r="S49" s="26">
        <v>188.53129999999999</v>
      </c>
      <c r="T49" s="23">
        <v>133.09379999999999</v>
      </c>
      <c r="U49" s="23">
        <v>55.4375</v>
      </c>
      <c r="V49" s="23">
        <v>0.625</v>
      </c>
      <c r="W49" s="23">
        <v>45</v>
      </c>
      <c r="X49" s="23">
        <v>8</v>
      </c>
      <c r="Y49" s="23">
        <v>243.96875</v>
      </c>
      <c r="Z49" s="23">
        <v>188.53129999999999</v>
      </c>
      <c r="AA49" s="23">
        <v>55.4375</v>
      </c>
      <c r="AB49" s="23">
        <v>0.5625</v>
      </c>
      <c r="AC49" s="23">
        <v>36</v>
      </c>
      <c r="AD49" s="23">
        <v>10</v>
      </c>
      <c r="AE49" s="23" t="s">
        <v>470</v>
      </c>
      <c r="AF49" s="23" t="s">
        <v>470</v>
      </c>
      <c r="AG49" s="23" t="s">
        <v>470</v>
      </c>
      <c r="AH49" s="23" t="s">
        <v>470</v>
      </c>
      <c r="AI49" s="23" t="s">
        <v>470</v>
      </c>
      <c r="AJ49" s="23" t="s">
        <v>470</v>
      </c>
      <c r="AK49" s="23" t="s">
        <v>470</v>
      </c>
      <c r="AL49" s="23" t="s">
        <v>470</v>
      </c>
      <c r="AM49" s="23" t="s">
        <v>470</v>
      </c>
      <c r="AN49" s="23" t="s">
        <v>470</v>
      </c>
      <c r="AO49" s="23" t="s">
        <v>470</v>
      </c>
      <c r="AP49" s="23" t="s">
        <v>470</v>
      </c>
    </row>
    <row r="50" spans="1:42" s="27" customFormat="1" ht="15.75" customHeight="1" x14ac:dyDescent="0.25">
      <c r="A50" s="22" t="s">
        <v>532</v>
      </c>
      <c r="B50" s="23" t="s">
        <v>482</v>
      </c>
      <c r="C50" s="23">
        <v>500</v>
      </c>
      <c r="D50" s="23">
        <v>25</v>
      </c>
      <c r="E50" s="24">
        <v>25</v>
      </c>
      <c r="F50" s="23">
        <v>60</v>
      </c>
      <c r="G50" s="23">
        <v>60</v>
      </c>
      <c r="H50" s="23">
        <v>77.581999999999994</v>
      </c>
      <c r="I50" s="23">
        <v>42.4375</v>
      </c>
      <c r="J50" s="23">
        <v>1.1875</v>
      </c>
      <c r="K50" s="23">
        <v>40</v>
      </c>
      <c r="L50" s="23">
        <v>9</v>
      </c>
      <c r="M50" s="23">
        <v>137.453125</v>
      </c>
      <c r="N50" s="23">
        <v>77.5625</v>
      </c>
      <c r="O50" s="23">
        <v>59.875</v>
      </c>
      <c r="P50" s="23">
        <v>0.875</v>
      </c>
      <c r="Q50" s="25">
        <v>60</v>
      </c>
      <c r="R50" s="23">
        <v>6</v>
      </c>
      <c r="S50" s="26">
        <v>197.34375</v>
      </c>
      <c r="T50" s="23">
        <v>137.453125</v>
      </c>
      <c r="U50" s="23">
        <v>59.875</v>
      </c>
      <c r="V50" s="23">
        <v>0.6875</v>
      </c>
      <c r="W50" s="23">
        <v>45</v>
      </c>
      <c r="X50" s="23">
        <v>8</v>
      </c>
      <c r="Y50" s="23">
        <v>257.21875</v>
      </c>
      <c r="Z50" s="23">
        <v>197.34375</v>
      </c>
      <c r="AA50" s="23">
        <v>59.875</v>
      </c>
      <c r="AB50" s="23">
        <v>0.625</v>
      </c>
      <c r="AC50" s="23">
        <v>36</v>
      </c>
      <c r="AD50" s="23">
        <v>10</v>
      </c>
      <c r="AE50" s="23" t="s">
        <v>470</v>
      </c>
      <c r="AF50" s="23" t="s">
        <v>470</v>
      </c>
      <c r="AG50" s="23" t="s">
        <v>470</v>
      </c>
      <c r="AH50" s="23" t="s">
        <v>470</v>
      </c>
      <c r="AI50" s="23" t="s">
        <v>470</v>
      </c>
      <c r="AJ50" s="23" t="s">
        <v>470</v>
      </c>
      <c r="AK50" s="23" t="s">
        <v>470</v>
      </c>
      <c r="AL50" s="23" t="s">
        <v>470</v>
      </c>
      <c r="AM50" s="23" t="s">
        <v>470</v>
      </c>
      <c r="AN50" s="23" t="s">
        <v>470</v>
      </c>
      <c r="AO50" s="23" t="s">
        <v>470</v>
      </c>
      <c r="AP50" s="23" t="s">
        <v>470</v>
      </c>
    </row>
    <row r="51" spans="1:42" s="27" customFormat="1" ht="15.75" customHeight="1" x14ac:dyDescent="0.25">
      <c r="A51" s="22" t="s">
        <v>533</v>
      </c>
      <c r="B51" s="23"/>
      <c r="C51" s="23">
        <v>500</v>
      </c>
      <c r="D51" s="23">
        <v>28</v>
      </c>
      <c r="E51" s="24">
        <v>25</v>
      </c>
      <c r="F51" s="23">
        <v>60</v>
      </c>
      <c r="G51" s="23">
        <v>60</v>
      </c>
      <c r="H51" s="23">
        <v>77.581999999999994</v>
      </c>
      <c r="I51" s="23">
        <v>42.4375</v>
      </c>
      <c r="J51" s="23">
        <v>1.1875</v>
      </c>
      <c r="K51" s="23">
        <v>40</v>
      </c>
      <c r="L51" s="23">
        <v>9</v>
      </c>
      <c r="M51" s="23">
        <v>137.453125</v>
      </c>
      <c r="N51" s="23">
        <v>77.5625</v>
      </c>
      <c r="O51" s="23">
        <v>59.875</v>
      </c>
      <c r="P51" s="23">
        <v>0.875</v>
      </c>
      <c r="Q51" s="25">
        <v>60</v>
      </c>
      <c r="R51" s="23">
        <v>6</v>
      </c>
      <c r="S51" s="26">
        <v>197.34375</v>
      </c>
      <c r="T51" s="23">
        <v>137.453125</v>
      </c>
      <c r="U51" s="23">
        <v>59.875</v>
      </c>
      <c r="V51" s="23">
        <v>0.6875</v>
      </c>
      <c r="W51" s="23">
        <v>45</v>
      </c>
      <c r="X51" s="23">
        <v>8</v>
      </c>
      <c r="Y51" s="23">
        <v>257.21875</v>
      </c>
      <c r="Z51" s="23">
        <v>197.34375</v>
      </c>
      <c r="AA51" s="23">
        <v>59.875</v>
      </c>
      <c r="AB51" s="23">
        <v>0.625</v>
      </c>
      <c r="AC51" s="23">
        <v>36</v>
      </c>
      <c r="AD51" s="23">
        <v>10</v>
      </c>
      <c r="AE51" s="23" t="s">
        <v>470</v>
      </c>
      <c r="AF51" s="23" t="s">
        <v>470</v>
      </c>
      <c r="AG51" s="23" t="s">
        <v>470</v>
      </c>
      <c r="AH51" s="23" t="s">
        <v>470</v>
      </c>
      <c r="AI51" s="23" t="s">
        <v>470</v>
      </c>
      <c r="AJ51" s="23" t="s">
        <v>470</v>
      </c>
      <c r="AK51" s="23" t="s">
        <v>470</v>
      </c>
      <c r="AL51" s="23" t="s">
        <v>470</v>
      </c>
      <c r="AM51" s="23" t="s">
        <v>470</v>
      </c>
      <c r="AN51" s="23" t="s">
        <v>470</v>
      </c>
      <c r="AO51" s="23" t="s">
        <v>470</v>
      </c>
      <c r="AP51" s="23" t="s">
        <v>470</v>
      </c>
    </row>
    <row r="52" spans="1:42" s="27" customFormat="1" ht="15.75" customHeight="1" x14ac:dyDescent="0.25">
      <c r="A52" s="22" t="s">
        <v>534</v>
      </c>
      <c r="B52" s="23"/>
      <c r="C52" s="23">
        <v>500</v>
      </c>
      <c r="D52" s="23">
        <v>30</v>
      </c>
      <c r="E52" s="24">
        <v>30</v>
      </c>
      <c r="F52" s="23">
        <v>60</v>
      </c>
      <c r="G52" s="23">
        <v>60</v>
      </c>
      <c r="H52" s="23">
        <v>77.581999999999994</v>
      </c>
      <c r="I52" s="23">
        <v>42.4375</v>
      </c>
      <c r="J52" s="23">
        <v>1.1875</v>
      </c>
      <c r="K52" s="23">
        <v>40</v>
      </c>
      <c r="L52" s="23">
        <v>9</v>
      </c>
      <c r="M52" s="23">
        <v>137.453125</v>
      </c>
      <c r="N52" s="23">
        <v>77.5625</v>
      </c>
      <c r="O52" s="23">
        <v>59.875</v>
      </c>
      <c r="P52" s="23">
        <v>0.875</v>
      </c>
      <c r="Q52" s="25">
        <v>60</v>
      </c>
      <c r="R52" s="23">
        <v>6</v>
      </c>
      <c r="S52" s="26">
        <v>197.34375</v>
      </c>
      <c r="T52" s="23">
        <v>137.453125</v>
      </c>
      <c r="U52" s="23">
        <v>59.875</v>
      </c>
      <c r="V52" s="23">
        <v>0.6875</v>
      </c>
      <c r="W52" s="23">
        <v>45</v>
      </c>
      <c r="X52" s="23">
        <v>8</v>
      </c>
      <c r="Y52" s="23">
        <v>257.21875</v>
      </c>
      <c r="Z52" s="23">
        <v>197.34375</v>
      </c>
      <c r="AA52" s="23">
        <v>59.875</v>
      </c>
      <c r="AB52" s="23">
        <v>0.625</v>
      </c>
      <c r="AC52" s="23">
        <v>36</v>
      </c>
      <c r="AD52" s="23">
        <v>10</v>
      </c>
      <c r="AE52" s="23" t="s">
        <v>470</v>
      </c>
      <c r="AF52" s="23" t="s">
        <v>470</v>
      </c>
      <c r="AG52" s="23" t="s">
        <v>470</v>
      </c>
      <c r="AH52" s="23" t="s">
        <v>470</v>
      </c>
      <c r="AI52" s="23" t="s">
        <v>470</v>
      </c>
      <c r="AJ52" s="23" t="s">
        <v>470</v>
      </c>
      <c r="AK52" s="23" t="s">
        <v>470</v>
      </c>
      <c r="AL52" s="23" t="s">
        <v>470</v>
      </c>
      <c r="AM52" s="23" t="s">
        <v>470</v>
      </c>
      <c r="AN52" s="23" t="s">
        <v>470</v>
      </c>
      <c r="AO52" s="23" t="s">
        <v>470</v>
      </c>
      <c r="AP52" s="23" t="s">
        <v>470</v>
      </c>
    </row>
    <row r="53" spans="1:42" s="27" customFormat="1" ht="15.75" customHeight="1" x14ac:dyDescent="0.25">
      <c r="A53" s="22" t="s">
        <v>535</v>
      </c>
      <c r="B53" s="23"/>
      <c r="C53" s="23">
        <v>500</v>
      </c>
      <c r="D53" s="23">
        <v>32</v>
      </c>
      <c r="E53" s="24">
        <v>25</v>
      </c>
      <c r="F53" s="23">
        <v>60</v>
      </c>
      <c r="G53" s="23">
        <v>60</v>
      </c>
      <c r="H53" s="23">
        <v>77.581999999999994</v>
      </c>
      <c r="I53" s="23">
        <v>42.4375</v>
      </c>
      <c r="J53" s="23">
        <v>1.1875</v>
      </c>
      <c r="K53" s="23">
        <v>40</v>
      </c>
      <c r="L53" s="23">
        <v>9</v>
      </c>
      <c r="M53" s="23">
        <v>137.453125</v>
      </c>
      <c r="N53" s="23">
        <v>77.5625</v>
      </c>
      <c r="O53" s="23">
        <v>59.875</v>
      </c>
      <c r="P53" s="23">
        <v>0.875</v>
      </c>
      <c r="Q53" s="25">
        <v>60</v>
      </c>
      <c r="R53" s="23">
        <v>6</v>
      </c>
      <c r="S53" s="26">
        <v>197.34375</v>
      </c>
      <c r="T53" s="23">
        <v>137.453125</v>
      </c>
      <c r="U53" s="23">
        <v>59.875</v>
      </c>
      <c r="V53" s="23">
        <v>0.6875</v>
      </c>
      <c r="W53" s="23">
        <v>45</v>
      </c>
      <c r="X53" s="23">
        <v>8</v>
      </c>
      <c r="Y53" s="23">
        <v>257.21875</v>
      </c>
      <c r="Z53" s="23">
        <v>197.34375</v>
      </c>
      <c r="AA53" s="23">
        <v>59.875</v>
      </c>
      <c r="AB53" s="23">
        <v>0.625</v>
      </c>
      <c r="AC53" s="23">
        <v>36</v>
      </c>
      <c r="AD53" s="23">
        <v>10</v>
      </c>
      <c r="AE53" s="23" t="s">
        <v>470</v>
      </c>
      <c r="AF53" s="23" t="s">
        <v>470</v>
      </c>
      <c r="AG53" s="23" t="s">
        <v>470</v>
      </c>
      <c r="AH53" s="23" t="s">
        <v>470</v>
      </c>
      <c r="AI53" s="23" t="s">
        <v>470</v>
      </c>
      <c r="AJ53" s="23" t="s">
        <v>470</v>
      </c>
      <c r="AK53" s="23" t="s">
        <v>470</v>
      </c>
      <c r="AL53" s="23" t="s">
        <v>470</v>
      </c>
      <c r="AM53" s="23" t="s">
        <v>470</v>
      </c>
      <c r="AN53" s="23" t="s">
        <v>470</v>
      </c>
      <c r="AO53" s="23" t="s">
        <v>470</v>
      </c>
      <c r="AP53" s="23" t="s">
        <v>470</v>
      </c>
    </row>
    <row r="54" spans="1:42" s="27" customFormat="1" ht="15.75" customHeight="1" x14ac:dyDescent="0.25">
      <c r="A54" s="22" t="s">
        <v>536</v>
      </c>
      <c r="B54" s="23"/>
      <c r="C54" s="23">
        <v>500</v>
      </c>
      <c r="D54" s="23">
        <v>32</v>
      </c>
      <c r="E54" s="24">
        <v>28</v>
      </c>
      <c r="F54" s="23">
        <v>60</v>
      </c>
      <c r="G54" s="23">
        <v>60</v>
      </c>
      <c r="H54" s="23">
        <v>77.581999999999994</v>
      </c>
      <c r="I54" s="23">
        <v>42.4375</v>
      </c>
      <c r="J54" s="23">
        <v>1.1875</v>
      </c>
      <c r="K54" s="23">
        <v>40</v>
      </c>
      <c r="L54" s="23">
        <v>9</v>
      </c>
      <c r="M54" s="23">
        <v>137.453125</v>
      </c>
      <c r="N54" s="23">
        <v>77.5625</v>
      </c>
      <c r="O54" s="23">
        <v>59.875</v>
      </c>
      <c r="P54" s="23">
        <v>0.875</v>
      </c>
      <c r="Q54" s="25">
        <v>60</v>
      </c>
      <c r="R54" s="23">
        <v>6</v>
      </c>
      <c r="S54" s="26">
        <v>197.34375</v>
      </c>
      <c r="T54" s="23">
        <v>137.453125</v>
      </c>
      <c r="U54" s="23">
        <v>59.875</v>
      </c>
      <c r="V54" s="23">
        <v>0.6875</v>
      </c>
      <c r="W54" s="23">
        <v>45</v>
      </c>
      <c r="X54" s="23">
        <v>8</v>
      </c>
      <c r="Y54" s="23">
        <v>257.21875</v>
      </c>
      <c r="Z54" s="23">
        <v>197.34375</v>
      </c>
      <c r="AA54" s="23">
        <v>59.875</v>
      </c>
      <c r="AB54" s="23">
        <v>0.625</v>
      </c>
      <c r="AC54" s="23">
        <v>36</v>
      </c>
      <c r="AD54" s="23">
        <v>10</v>
      </c>
      <c r="AE54" s="23" t="s">
        <v>470</v>
      </c>
      <c r="AF54" s="23" t="s">
        <v>470</v>
      </c>
      <c r="AG54" s="23" t="s">
        <v>470</v>
      </c>
      <c r="AH54" s="23" t="s">
        <v>470</v>
      </c>
      <c r="AI54" s="23" t="s">
        <v>470</v>
      </c>
      <c r="AJ54" s="23" t="s">
        <v>470</v>
      </c>
      <c r="AK54" s="23" t="s">
        <v>470</v>
      </c>
      <c r="AL54" s="23" t="s">
        <v>470</v>
      </c>
      <c r="AM54" s="23" t="s">
        <v>470</v>
      </c>
      <c r="AN54" s="23" t="s">
        <v>470</v>
      </c>
      <c r="AO54" s="23" t="s">
        <v>470</v>
      </c>
      <c r="AP54" s="23" t="s">
        <v>470</v>
      </c>
    </row>
    <row r="55" spans="1:42" s="27" customFormat="1" ht="15.75" customHeight="1" x14ac:dyDescent="0.25">
      <c r="A55" s="22" t="s">
        <v>537</v>
      </c>
      <c r="B55" s="23"/>
      <c r="C55" s="23">
        <v>500</v>
      </c>
      <c r="D55" s="23">
        <v>32</v>
      </c>
      <c r="E55" s="24">
        <v>30</v>
      </c>
      <c r="F55" s="23">
        <v>60</v>
      </c>
      <c r="G55" s="23">
        <v>60</v>
      </c>
      <c r="H55" s="23">
        <v>77.581999999999994</v>
      </c>
      <c r="I55" s="23">
        <v>42.4375</v>
      </c>
      <c r="J55" s="23">
        <v>1.1875</v>
      </c>
      <c r="K55" s="23">
        <v>40</v>
      </c>
      <c r="L55" s="23">
        <v>9</v>
      </c>
      <c r="M55" s="23">
        <v>137.453125</v>
      </c>
      <c r="N55" s="23">
        <v>77.5625</v>
      </c>
      <c r="O55" s="23">
        <v>59.875</v>
      </c>
      <c r="P55" s="23">
        <v>0.875</v>
      </c>
      <c r="Q55" s="25">
        <v>60</v>
      </c>
      <c r="R55" s="23">
        <v>6</v>
      </c>
      <c r="S55" s="26">
        <v>197.34375</v>
      </c>
      <c r="T55" s="23">
        <v>137.453125</v>
      </c>
      <c r="U55" s="23">
        <v>59.875</v>
      </c>
      <c r="V55" s="23">
        <v>0.6875</v>
      </c>
      <c r="W55" s="23">
        <v>45</v>
      </c>
      <c r="X55" s="23">
        <v>8</v>
      </c>
      <c r="Y55" s="23">
        <v>257.21875</v>
      </c>
      <c r="Z55" s="23">
        <v>197.34375</v>
      </c>
      <c r="AA55" s="23">
        <v>59.875</v>
      </c>
      <c r="AB55" s="23">
        <v>0.625</v>
      </c>
      <c r="AC55" s="23">
        <v>36</v>
      </c>
      <c r="AD55" s="23">
        <v>10</v>
      </c>
      <c r="AE55" s="23" t="s">
        <v>470</v>
      </c>
      <c r="AF55" s="23" t="s">
        <v>470</v>
      </c>
      <c r="AG55" s="23" t="s">
        <v>470</v>
      </c>
      <c r="AH55" s="23" t="s">
        <v>470</v>
      </c>
      <c r="AI55" s="23" t="s">
        <v>470</v>
      </c>
      <c r="AJ55" s="23" t="s">
        <v>470</v>
      </c>
      <c r="AK55" s="23" t="s">
        <v>470</v>
      </c>
      <c r="AL55" s="23" t="s">
        <v>470</v>
      </c>
      <c r="AM55" s="23" t="s">
        <v>470</v>
      </c>
      <c r="AN55" s="23" t="s">
        <v>470</v>
      </c>
      <c r="AO55" s="23" t="s">
        <v>470</v>
      </c>
      <c r="AP55" s="23" t="s">
        <v>470</v>
      </c>
    </row>
    <row r="56" spans="1:42" s="27" customFormat="1" ht="15.75" customHeight="1" x14ac:dyDescent="0.25">
      <c r="A56" s="22" t="s">
        <v>538</v>
      </c>
      <c r="B56" s="23"/>
      <c r="C56" s="23">
        <v>500</v>
      </c>
      <c r="D56" s="23">
        <v>34</v>
      </c>
      <c r="E56" s="24">
        <v>30</v>
      </c>
      <c r="F56" s="23">
        <v>60</v>
      </c>
      <c r="G56" s="23">
        <v>60</v>
      </c>
      <c r="H56" s="23">
        <v>77.581999999999994</v>
      </c>
      <c r="I56" s="23">
        <v>42.4375</v>
      </c>
      <c r="J56" s="23">
        <v>1.1875</v>
      </c>
      <c r="K56" s="23">
        <v>40</v>
      </c>
      <c r="L56" s="23">
        <v>9</v>
      </c>
      <c r="M56" s="23">
        <v>137.453125</v>
      </c>
      <c r="N56" s="23">
        <v>77.5625</v>
      </c>
      <c r="O56" s="23">
        <v>59.875</v>
      </c>
      <c r="P56" s="23">
        <v>0.875</v>
      </c>
      <c r="Q56" s="25">
        <v>60</v>
      </c>
      <c r="R56" s="23">
        <v>6</v>
      </c>
      <c r="S56" s="26">
        <v>197.34375</v>
      </c>
      <c r="T56" s="23">
        <v>137.453125</v>
      </c>
      <c r="U56" s="23">
        <v>59.875</v>
      </c>
      <c r="V56" s="23">
        <v>0.6875</v>
      </c>
      <c r="W56" s="23">
        <v>45</v>
      </c>
      <c r="X56" s="23">
        <v>8</v>
      </c>
      <c r="Y56" s="23">
        <v>257.21875</v>
      </c>
      <c r="Z56" s="23">
        <v>197.34375</v>
      </c>
      <c r="AA56" s="23">
        <v>59.875</v>
      </c>
      <c r="AB56" s="23">
        <v>0.625</v>
      </c>
      <c r="AC56" s="23">
        <v>36</v>
      </c>
      <c r="AD56" s="23">
        <v>10</v>
      </c>
      <c r="AE56" s="23" t="s">
        <v>470</v>
      </c>
      <c r="AF56" s="23" t="s">
        <v>470</v>
      </c>
      <c r="AG56" s="23" t="s">
        <v>470</v>
      </c>
      <c r="AH56" s="23" t="s">
        <v>470</v>
      </c>
      <c r="AI56" s="23" t="s">
        <v>470</v>
      </c>
      <c r="AJ56" s="23" t="s">
        <v>470</v>
      </c>
      <c r="AK56" s="23" t="s">
        <v>470</v>
      </c>
      <c r="AL56" s="23" t="s">
        <v>470</v>
      </c>
      <c r="AM56" s="23" t="s">
        <v>470</v>
      </c>
      <c r="AN56" s="23" t="s">
        <v>470</v>
      </c>
      <c r="AO56" s="23" t="s">
        <v>470</v>
      </c>
      <c r="AP56" s="23" t="s">
        <v>470</v>
      </c>
    </row>
    <row r="57" spans="1:42" s="27" customFormat="1" ht="15.75" customHeight="1" x14ac:dyDescent="0.25">
      <c r="A57" s="22" t="s">
        <v>539</v>
      </c>
      <c r="B57" s="23"/>
      <c r="C57" s="23">
        <v>500</v>
      </c>
      <c r="D57" s="23">
        <v>38</v>
      </c>
      <c r="E57" s="24">
        <v>30</v>
      </c>
      <c r="F57" s="23">
        <v>60</v>
      </c>
      <c r="G57" s="23">
        <v>60</v>
      </c>
      <c r="H57" s="23">
        <v>77.581999999999994</v>
      </c>
      <c r="I57" s="23">
        <v>42.4375</v>
      </c>
      <c r="J57" s="23">
        <v>1.1875</v>
      </c>
      <c r="K57" s="23">
        <v>40</v>
      </c>
      <c r="L57" s="23">
        <v>9</v>
      </c>
      <c r="M57" s="23">
        <v>137.453125</v>
      </c>
      <c r="N57" s="23">
        <v>77.5625</v>
      </c>
      <c r="O57" s="23">
        <v>59.875</v>
      </c>
      <c r="P57" s="23">
        <v>0.875</v>
      </c>
      <c r="Q57" s="25">
        <v>60</v>
      </c>
      <c r="R57" s="23">
        <v>6</v>
      </c>
      <c r="S57" s="26">
        <v>197.34375</v>
      </c>
      <c r="T57" s="23">
        <v>137.453125</v>
      </c>
      <c r="U57" s="23">
        <v>59.875</v>
      </c>
      <c r="V57" s="23">
        <v>0.6875</v>
      </c>
      <c r="W57" s="23">
        <v>45</v>
      </c>
      <c r="X57" s="23">
        <v>8</v>
      </c>
      <c r="Y57" s="23">
        <v>257.21875</v>
      </c>
      <c r="Z57" s="23">
        <v>197.34375</v>
      </c>
      <c r="AA57" s="23">
        <v>59.875</v>
      </c>
      <c r="AB57" s="23">
        <v>0.625</v>
      </c>
      <c r="AC57" s="23">
        <v>36</v>
      </c>
      <c r="AD57" s="23">
        <v>10</v>
      </c>
      <c r="AE57" s="23" t="s">
        <v>470</v>
      </c>
      <c r="AF57" s="23" t="s">
        <v>470</v>
      </c>
      <c r="AG57" s="23" t="s">
        <v>470</v>
      </c>
      <c r="AH57" s="23" t="s">
        <v>470</v>
      </c>
      <c r="AI57" s="23" t="s">
        <v>470</v>
      </c>
      <c r="AJ57" s="23" t="s">
        <v>470</v>
      </c>
      <c r="AK57" s="23" t="s">
        <v>470</v>
      </c>
      <c r="AL57" s="23" t="s">
        <v>470</v>
      </c>
      <c r="AM57" s="23" t="s">
        <v>470</v>
      </c>
      <c r="AN57" s="23" t="s">
        <v>470</v>
      </c>
      <c r="AO57" s="23" t="s">
        <v>470</v>
      </c>
      <c r="AP57" s="23" t="s">
        <v>470</v>
      </c>
    </row>
    <row r="58" spans="1:42" s="27" customFormat="1" ht="15.75" customHeight="1" x14ac:dyDescent="0.25">
      <c r="A58" s="22" t="s">
        <v>540</v>
      </c>
      <c r="B58" s="23" t="s">
        <v>541</v>
      </c>
      <c r="C58" s="23">
        <v>500</v>
      </c>
      <c r="D58" s="23">
        <v>40</v>
      </c>
      <c r="E58" s="24">
        <v>30</v>
      </c>
      <c r="F58" s="23">
        <v>60</v>
      </c>
      <c r="G58" s="23">
        <v>60</v>
      </c>
      <c r="H58" s="23">
        <v>77.581999999999994</v>
      </c>
      <c r="I58" s="23">
        <v>42.4375</v>
      </c>
      <c r="J58" s="23">
        <v>1.1875</v>
      </c>
      <c r="K58" s="23">
        <v>40</v>
      </c>
      <c r="L58" s="23">
        <v>9</v>
      </c>
      <c r="M58" s="23">
        <v>137.453125</v>
      </c>
      <c r="N58" s="23">
        <v>77.5625</v>
      </c>
      <c r="O58" s="23">
        <v>59.875</v>
      </c>
      <c r="P58" s="23">
        <v>0.875</v>
      </c>
      <c r="Q58" s="25">
        <v>60</v>
      </c>
      <c r="R58" s="23">
        <v>6</v>
      </c>
      <c r="S58" s="26">
        <v>197.34375</v>
      </c>
      <c r="T58" s="23">
        <v>137.453125</v>
      </c>
      <c r="U58" s="23">
        <v>59.875</v>
      </c>
      <c r="V58" s="23">
        <v>0.6875</v>
      </c>
      <c r="W58" s="23">
        <v>45</v>
      </c>
      <c r="X58" s="23">
        <v>8</v>
      </c>
      <c r="Y58" s="23">
        <v>257.21875</v>
      </c>
      <c r="Z58" s="23">
        <v>197.34375</v>
      </c>
      <c r="AA58" s="23">
        <v>59.875</v>
      </c>
      <c r="AB58" s="23">
        <v>0.625</v>
      </c>
      <c r="AC58" s="23">
        <v>36</v>
      </c>
      <c r="AD58" s="23">
        <v>10</v>
      </c>
      <c r="AE58" s="23" t="s">
        <v>470</v>
      </c>
      <c r="AF58" s="23" t="s">
        <v>470</v>
      </c>
      <c r="AG58" s="23" t="s">
        <v>470</v>
      </c>
      <c r="AH58" s="23" t="s">
        <v>470</v>
      </c>
      <c r="AI58" s="23" t="s">
        <v>470</v>
      </c>
      <c r="AJ58" s="23" t="s">
        <v>470</v>
      </c>
      <c r="AK58" s="23" t="s">
        <v>470</v>
      </c>
      <c r="AL58" s="23" t="s">
        <v>470</v>
      </c>
      <c r="AM58" s="23" t="s">
        <v>470</v>
      </c>
      <c r="AN58" s="23" t="s">
        <v>470</v>
      </c>
      <c r="AO58" s="23" t="s">
        <v>470</v>
      </c>
      <c r="AP58" s="23" t="s">
        <v>470</v>
      </c>
    </row>
    <row r="59" spans="1:42" s="27" customFormat="1" ht="15.75" customHeight="1" x14ac:dyDescent="0.25">
      <c r="A59" s="22" t="s">
        <v>542</v>
      </c>
      <c r="B59" s="23"/>
      <c r="C59" s="23">
        <v>600</v>
      </c>
      <c r="D59" s="23">
        <v>28</v>
      </c>
      <c r="E59" s="24">
        <v>25</v>
      </c>
      <c r="F59" s="23">
        <v>60</v>
      </c>
      <c r="G59" s="23">
        <v>60</v>
      </c>
      <c r="H59" s="23">
        <v>77.581900000000005</v>
      </c>
      <c r="I59" s="23">
        <v>42.4375</v>
      </c>
      <c r="J59" s="23">
        <v>1.5625</v>
      </c>
      <c r="K59" s="23">
        <v>40</v>
      </c>
      <c r="L59" s="23">
        <v>9</v>
      </c>
      <c r="M59" s="23">
        <v>125.845</v>
      </c>
      <c r="N59" s="23">
        <v>77.581900000000005</v>
      </c>
      <c r="O59" s="23">
        <v>48.25</v>
      </c>
      <c r="P59" s="23">
        <v>1.125</v>
      </c>
      <c r="Q59" s="25">
        <v>60</v>
      </c>
      <c r="R59" s="23">
        <v>6</v>
      </c>
      <c r="S59" s="26">
        <v>174.10849999999999</v>
      </c>
      <c r="T59" s="23">
        <v>125.845</v>
      </c>
      <c r="U59" s="23">
        <v>48.25</v>
      </c>
      <c r="V59" s="23">
        <v>0.8125</v>
      </c>
      <c r="W59" s="23">
        <v>45</v>
      </c>
      <c r="X59" s="23">
        <v>8</v>
      </c>
      <c r="Y59" s="23">
        <v>222.37100000000001</v>
      </c>
      <c r="Z59" s="23">
        <v>174.10849999999999</v>
      </c>
      <c r="AA59" s="23">
        <v>48.25</v>
      </c>
      <c r="AB59" s="23">
        <v>0.75</v>
      </c>
      <c r="AC59" s="23">
        <v>36</v>
      </c>
      <c r="AD59" s="23">
        <v>10</v>
      </c>
      <c r="AE59" s="23">
        <v>270.63400000000001</v>
      </c>
      <c r="AF59" s="23">
        <v>222.37100000000001</v>
      </c>
      <c r="AG59" s="23">
        <v>48.25</v>
      </c>
      <c r="AH59" s="23">
        <v>0.75</v>
      </c>
      <c r="AI59" s="23">
        <v>30</v>
      </c>
      <c r="AJ59" s="23">
        <v>12</v>
      </c>
      <c r="AK59" s="23">
        <v>318.89690000000002</v>
      </c>
      <c r="AL59" s="23">
        <v>270.63400000000001</v>
      </c>
      <c r="AM59" s="23">
        <v>48.25</v>
      </c>
      <c r="AN59" s="23">
        <v>0.625</v>
      </c>
      <c r="AO59" s="23">
        <v>30</v>
      </c>
      <c r="AP59" s="23">
        <v>12</v>
      </c>
    </row>
    <row r="60" spans="1:42" s="27" customFormat="1" ht="15.75" customHeight="1" x14ac:dyDescent="0.25">
      <c r="A60" s="22" t="s">
        <v>544</v>
      </c>
      <c r="B60" s="23"/>
      <c r="C60" s="23">
        <v>600</v>
      </c>
      <c r="D60" s="23">
        <v>32</v>
      </c>
      <c r="E60" s="24">
        <v>30</v>
      </c>
      <c r="F60" s="23">
        <v>60</v>
      </c>
      <c r="G60" s="23">
        <v>60</v>
      </c>
      <c r="H60" s="23">
        <v>77.581900000000005</v>
      </c>
      <c r="I60" s="23">
        <v>42.4375</v>
      </c>
      <c r="J60" s="23">
        <v>1.5625</v>
      </c>
      <c r="K60" s="23">
        <v>40</v>
      </c>
      <c r="L60" s="23">
        <v>9</v>
      </c>
      <c r="M60" s="23">
        <v>125.845</v>
      </c>
      <c r="N60" s="23">
        <v>77.581900000000005</v>
      </c>
      <c r="O60" s="23">
        <v>48.25</v>
      </c>
      <c r="P60" s="23">
        <v>1.125</v>
      </c>
      <c r="Q60" s="25">
        <v>60</v>
      </c>
      <c r="R60" s="23">
        <v>6</v>
      </c>
      <c r="S60" s="26">
        <v>174.10849999999999</v>
      </c>
      <c r="T60" s="23">
        <v>125.845</v>
      </c>
      <c r="U60" s="23">
        <v>48.25</v>
      </c>
      <c r="V60" s="23">
        <v>0.8125</v>
      </c>
      <c r="W60" s="23">
        <v>45</v>
      </c>
      <c r="X60" s="23">
        <v>8</v>
      </c>
      <c r="Y60" s="23">
        <v>222.37100000000001</v>
      </c>
      <c r="Z60" s="23">
        <v>174.10849999999999</v>
      </c>
      <c r="AA60" s="23">
        <v>48.25</v>
      </c>
      <c r="AB60" s="23">
        <v>0.75</v>
      </c>
      <c r="AC60" s="23">
        <v>36</v>
      </c>
      <c r="AD60" s="23">
        <v>10</v>
      </c>
      <c r="AE60" s="23">
        <v>270.63400000000001</v>
      </c>
      <c r="AF60" s="23">
        <v>222.37100000000001</v>
      </c>
      <c r="AG60" s="23">
        <v>48.25</v>
      </c>
      <c r="AH60" s="23">
        <v>0.75</v>
      </c>
      <c r="AI60" s="23">
        <v>30</v>
      </c>
      <c r="AJ60" s="23">
        <v>12</v>
      </c>
      <c r="AK60" s="23">
        <v>318.89690000000002</v>
      </c>
      <c r="AL60" s="23">
        <v>270.63400000000001</v>
      </c>
      <c r="AM60" s="23">
        <v>48.25</v>
      </c>
      <c r="AN60" s="23">
        <v>0.625</v>
      </c>
      <c r="AO60" s="23">
        <v>30</v>
      </c>
      <c r="AP60" s="23">
        <v>12</v>
      </c>
    </row>
    <row r="61" spans="1:42" s="27" customFormat="1" ht="15.75" customHeight="1" x14ac:dyDescent="0.25">
      <c r="A61" s="22" t="s">
        <v>545</v>
      </c>
      <c r="B61" s="23"/>
      <c r="C61" s="23">
        <v>600</v>
      </c>
      <c r="D61" s="23">
        <v>38</v>
      </c>
      <c r="E61" s="24">
        <v>30</v>
      </c>
      <c r="F61" s="23">
        <v>60</v>
      </c>
      <c r="G61" s="23">
        <v>60</v>
      </c>
      <c r="H61" s="23">
        <v>77.581900000000005</v>
      </c>
      <c r="I61" s="23">
        <v>42.4375</v>
      </c>
      <c r="J61" s="23">
        <v>1.5625</v>
      </c>
      <c r="K61" s="23">
        <v>40</v>
      </c>
      <c r="L61" s="23">
        <v>9</v>
      </c>
      <c r="M61" s="23">
        <v>125.845</v>
      </c>
      <c r="N61" s="23">
        <v>77.581900000000005</v>
      </c>
      <c r="O61" s="23">
        <v>48.25</v>
      </c>
      <c r="P61" s="23">
        <v>1.125</v>
      </c>
      <c r="Q61" s="25">
        <v>60</v>
      </c>
      <c r="R61" s="23">
        <v>6</v>
      </c>
      <c r="S61" s="26">
        <v>174.10849999999999</v>
      </c>
      <c r="T61" s="23">
        <v>125.845</v>
      </c>
      <c r="U61" s="23">
        <v>48.25</v>
      </c>
      <c r="V61" s="23">
        <v>0.8125</v>
      </c>
      <c r="W61" s="23">
        <v>45</v>
      </c>
      <c r="X61" s="23">
        <v>8</v>
      </c>
      <c r="Y61" s="23">
        <v>222.37100000000001</v>
      </c>
      <c r="Z61" s="23">
        <v>174.10849999999999</v>
      </c>
      <c r="AA61" s="23">
        <v>48.25</v>
      </c>
      <c r="AB61" s="23">
        <v>0.75</v>
      </c>
      <c r="AC61" s="23">
        <v>36</v>
      </c>
      <c r="AD61" s="23">
        <v>10</v>
      </c>
      <c r="AE61" s="23">
        <v>270.63400000000001</v>
      </c>
      <c r="AF61" s="23">
        <v>222.37100000000001</v>
      </c>
      <c r="AG61" s="23">
        <v>48.25</v>
      </c>
      <c r="AH61" s="23">
        <v>0.75</v>
      </c>
      <c r="AI61" s="23">
        <v>30</v>
      </c>
      <c r="AJ61" s="23">
        <v>12</v>
      </c>
      <c r="AK61" s="23">
        <v>318.89690000000002</v>
      </c>
      <c r="AL61" s="23">
        <v>270.63400000000001</v>
      </c>
      <c r="AM61" s="23">
        <v>48.25</v>
      </c>
      <c r="AN61" s="23">
        <v>0.625</v>
      </c>
      <c r="AO61" s="23">
        <v>30</v>
      </c>
      <c r="AP61" s="23">
        <v>12</v>
      </c>
    </row>
    <row r="62" spans="1:42" s="27" customFormat="1" ht="15.75" customHeight="1" x14ac:dyDescent="0.25">
      <c r="A62" s="22" t="s">
        <v>546</v>
      </c>
      <c r="B62" s="23"/>
      <c r="C62" s="23">
        <v>600</v>
      </c>
      <c r="D62" s="23">
        <v>40</v>
      </c>
      <c r="E62" s="24">
        <v>30</v>
      </c>
      <c r="F62" s="23">
        <v>60</v>
      </c>
      <c r="G62" s="23">
        <v>60</v>
      </c>
      <c r="H62" s="23">
        <v>77.581900000000005</v>
      </c>
      <c r="I62" s="23">
        <v>42.4375</v>
      </c>
      <c r="J62" s="23">
        <v>1.5625</v>
      </c>
      <c r="K62" s="23">
        <v>40</v>
      </c>
      <c r="L62" s="23">
        <v>9</v>
      </c>
      <c r="M62" s="23">
        <v>125.845</v>
      </c>
      <c r="N62" s="23">
        <v>77.581900000000005</v>
      </c>
      <c r="O62" s="23">
        <v>48.25</v>
      </c>
      <c r="P62" s="23">
        <v>1.125</v>
      </c>
      <c r="Q62" s="25">
        <v>60</v>
      </c>
      <c r="R62" s="23">
        <v>6</v>
      </c>
      <c r="S62" s="26">
        <v>174.10849999999999</v>
      </c>
      <c r="T62" s="23">
        <v>125.845</v>
      </c>
      <c r="U62" s="23">
        <v>48.25</v>
      </c>
      <c r="V62" s="23">
        <v>0.8125</v>
      </c>
      <c r="W62" s="23">
        <v>45</v>
      </c>
      <c r="X62" s="23">
        <v>8</v>
      </c>
      <c r="Y62" s="23">
        <v>222.37100000000001</v>
      </c>
      <c r="Z62" s="23">
        <v>174.10849999999999</v>
      </c>
      <c r="AA62" s="23">
        <v>48.25</v>
      </c>
      <c r="AB62" s="23">
        <v>0.75</v>
      </c>
      <c r="AC62" s="23">
        <v>36</v>
      </c>
      <c r="AD62" s="23">
        <v>10</v>
      </c>
      <c r="AE62" s="23">
        <v>270.63400000000001</v>
      </c>
      <c r="AF62" s="23">
        <v>222.37100000000001</v>
      </c>
      <c r="AG62" s="23">
        <v>48.25</v>
      </c>
      <c r="AH62" s="23">
        <v>0.75</v>
      </c>
      <c r="AI62" s="23">
        <v>30</v>
      </c>
      <c r="AJ62" s="23">
        <v>12</v>
      </c>
      <c r="AK62" s="23">
        <v>318.89690000000002</v>
      </c>
      <c r="AL62" s="23">
        <v>270.63400000000001</v>
      </c>
      <c r="AM62" s="23">
        <v>48.25</v>
      </c>
      <c r="AN62" s="23">
        <v>0.625</v>
      </c>
      <c r="AO62" s="23">
        <v>30</v>
      </c>
      <c r="AP62" s="23">
        <v>12</v>
      </c>
    </row>
    <row r="63" spans="1:42" s="27" customFormat="1" ht="15.75" customHeight="1" x14ac:dyDescent="0.25">
      <c r="A63" s="22" t="s">
        <v>547</v>
      </c>
      <c r="B63" s="23"/>
      <c r="C63" s="23">
        <v>750</v>
      </c>
      <c r="D63" s="23">
        <v>30</v>
      </c>
      <c r="E63" s="24">
        <v>30</v>
      </c>
      <c r="F63" s="23">
        <v>60</v>
      </c>
      <c r="G63" s="23">
        <v>72</v>
      </c>
      <c r="H63" s="23">
        <v>89.5625</v>
      </c>
      <c r="I63" s="23">
        <v>53.25</v>
      </c>
      <c r="J63" s="23">
        <v>1.875</v>
      </c>
      <c r="K63" s="23">
        <v>20</v>
      </c>
      <c r="L63" s="23">
        <v>18</v>
      </c>
      <c r="M63" s="23">
        <v>142.78129999999999</v>
      </c>
      <c r="N63" s="23">
        <v>89.5625</v>
      </c>
      <c r="O63" s="23">
        <v>53.25</v>
      </c>
      <c r="P63" s="23">
        <v>1.125</v>
      </c>
      <c r="Q63" s="25">
        <v>45</v>
      </c>
      <c r="R63" s="23">
        <v>8</v>
      </c>
      <c r="S63" s="26">
        <v>196</v>
      </c>
      <c r="T63" s="23">
        <v>142.78129999999999</v>
      </c>
      <c r="U63" s="23">
        <v>53.25</v>
      </c>
      <c r="V63" s="23">
        <v>0.875</v>
      </c>
      <c r="W63" s="23">
        <v>36</v>
      </c>
      <c r="X63" s="23">
        <v>10</v>
      </c>
      <c r="Y63" s="23">
        <v>249.21879999999999</v>
      </c>
      <c r="Z63" s="23">
        <v>196</v>
      </c>
      <c r="AA63" s="23">
        <v>53.25</v>
      </c>
      <c r="AB63" s="23">
        <v>0.8125</v>
      </c>
      <c r="AC63" s="23">
        <v>36</v>
      </c>
      <c r="AD63" s="23">
        <v>10</v>
      </c>
      <c r="AE63" s="23">
        <v>302.4375</v>
      </c>
      <c r="AF63" s="23">
        <v>249.21879999999999</v>
      </c>
      <c r="AG63" s="23">
        <v>53.25</v>
      </c>
      <c r="AH63" s="23">
        <v>0.6875</v>
      </c>
      <c r="AI63" s="23">
        <v>30</v>
      </c>
      <c r="AJ63" s="23">
        <v>12</v>
      </c>
      <c r="AK63" s="23" t="s">
        <v>470</v>
      </c>
      <c r="AL63" s="23" t="s">
        <v>470</v>
      </c>
      <c r="AM63" s="23" t="s">
        <v>470</v>
      </c>
      <c r="AN63" s="23" t="s">
        <v>470</v>
      </c>
      <c r="AO63" s="23" t="s">
        <v>470</v>
      </c>
      <c r="AP63" s="23" t="s">
        <v>470</v>
      </c>
    </row>
    <row r="64" spans="1:42" s="27" customFormat="1" ht="15.75" customHeight="1" x14ac:dyDescent="0.25">
      <c r="A64" s="22" t="s">
        <v>549</v>
      </c>
      <c r="B64" s="23"/>
      <c r="C64" s="23">
        <v>750</v>
      </c>
      <c r="D64" s="23">
        <v>36</v>
      </c>
      <c r="E64" s="24">
        <v>30</v>
      </c>
      <c r="F64" s="23">
        <v>60</v>
      </c>
      <c r="G64" s="23">
        <v>72</v>
      </c>
      <c r="H64" s="23">
        <v>89.5625</v>
      </c>
      <c r="I64" s="23">
        <v>53.25</v>
      </c>
      <c r="J64" s="23">
        <v>1.875</v>
      </c>
      <c r="K64" s="23">
        <v>20</v>
      </c>
      <c r="L64" s="23">
        <v>18</v>
      </c>
      <c r="M64" s="23">
        <v>142.78129999999999</v>
      </c>
      <c r="N64" s="23">
        <v>89.5625</v>
      </c>
      <c r="O64" s="23">
        <v>53.25</v>
      </c>
      <c r="P64" s="23">
        <v>1.125</v>
      </c>
      <c r="Q64" s="25">
        <v>45</v>
      </c>
      <c r="R64" s="23">
        <v>8</v>
      </c>
      <c r="S64" s="26">
        <v>196</v>
      </c>
      <c r="T64" s="23">
        <v>142.78129999999999</v>
      </c>
      <c r="U64" s="23">
        <v>53.25</v>
      </c>
      <c r="V64" s="23">
        <v>0.875</v>
      </c>
      <c r="W64" s="23">
        <v>36</v>
      </c>
      <c r="X64" s="23">
        <v>10</v>
      </c>
      <c r="Y64" s="23">
        <v>249.21879999999999</v>
      </c>
      <c r="Z64" s="23">
        <v>196</v>
      </c>
      <c r="AA64" s="23">
        <v>53.25</v>
      </c>
      <c r="AB64" s="23">
        <v>0.8125</v>
      </c>
      <c r="AC64" s="23">
        <v>36</v>
      </c>
      <c r="AD64" s="23">
        <v>10</v>
      </c>
      <c r="AE64" s="23">
        <v>302.4375</v>
      </c>
      <c r="AF64" s="23">
        <v>249.21879999999999</v>
      </c>
      <c r="AG64" s="23">
        <v>53.25</v>
      </c>
      <c r="AH64" s="23">
        <v>0.6875</v>
      </c>
      <c r="AI64" s="23">
        <v>30</v>
      </c>
      <c r="AJ64" s="23">
        <v>12</v>
      </c>
      <c r="AK64" s="23" t="s">
        <v>470</v>
      </c>
      <c r="AL64" s="23" t="s">
        <v>470</v>
      </c>
      <c r="AM64" s="23" t="s">
        <v>470</v>
      </c>
      <c r="AN64" s="23" t="s">
        <v>470</v>
      </c>
      <c r="AO64" s="23" t="s">
        <v>470</v>
      </c>
      <c r="AP64" s="23" t="s">
        <v>470</v>
      </c>
    </row>
  </sheetData>
  <autoFilter ref="A2:GS64" xr:uid="{00000000-0009-0000-0000-00000B000000}"/>
  <mergeCells count="1">
    <mergeCell ref="A1:E1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>
    <row r="1" spans="1:1" x14ac:dyDescent="0.25">
      <c r="A1" t="s">
        <v>2132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a98f5b-9a31-4b1f-ba47-b564a32ec22d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80DCAEFDDD8A4AAE31AB04CBDE7E17" ma:contentTypeVersion="5" ma:contentTypeDescription="Create a new document." ma:contentTypeScope="" ma:versionID="d597e3f42ba4c115d512ae0be1f7fd60">
  <xsd:schema xmlns:xsd="http://www.w3.org/2001/XMLSchema" xmlns:xs="http://www.w3.org/2001/XMLSchema" xmlns:p="http://schemas.microsoft.com/office/2006/metadata/properties" xmlns:ns3="39a98f5b-9a31-4b1f-ba47-b564a32ec22d" targetNamespace="http://schemas.microsoft.com/office/2006/metadata/properties" ma:root="true" ma:fieldsID="a631d23af9ffdfdec190b71be114f597" ns3:_="">
    <xsd:import namespace="39a98f5b-9a31-4b1f-ba47-b564a32ec2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98f5b-9a31-4b1f-ba47-b564a32ec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CCB3AF-215C-4C19-9201-CAE0E1E5259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F4C243A-9946-4E29-A068-0DA73AB2C3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37BBA9-D373-423C-ABD3-75574864CEEE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39a98f5b-9a31-4b1f-ba47-b564a32ec22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AA6AE7DE-784F-42C7-9BF9-8B09E8716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98f5b-9a31-4b1f-ba47-b564a32ec2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TM02930030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ORIGINAL NAMES</vt:lpstr>
      <vt:lpstr>SPHEROID PARAMETERS</vt:lpstr>
      <vt:lpstr>BASE PLATE~SECT, HOLES, DOOR</vt:lpstr>
      <vt:lpstr>BASE PLATE</vt:lpstr>
      <vt:lpstr>BASE CONES</vt:lpstr>
      <vt:lpstr>DOOR PARAMETERS</vt:lpstr>
      <vt:lpstr>DOOR TYPE PARAMETERS</vt:lpstr>
      <vt:lpstr>7FT DIA COLUMN</vt:lpstr>
      <vt:lpstr>8 FT DIA COLUMN</vt:lpstr>
      <vt:lpstr>9 FT DIA COLUMN</vt:lpstr>
      <vt:lpstr>10 FT DIA COLUMN</vt:lpstr>
      <vt:lpstr>DRYWELLS</vt:lpstr>
      <vt:lpstr>TRANSITIONS</vt:lpstr>
      <vt:lpstr>TANK GEOMETRY</vt:lpstr>
      <vt:lpstr>'BASE PLATE'!Print_Area</vt:lpstr>
      <vt:lpstr>'DOOR PARAMETERS'!Print_Area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2023-05-22T06:26:20Z</dcterms:created>
  <dcterms:modified xsi:type="dcterms:W3CDTF">2026-07-29T18:34:56Z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0x010100A580DCAEFDDD8A4AAE31AB04CBDE7E17</vt:lpwstr>
  </property>
</Properties>
</file>