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adrafi.faqiri\Desktop\3. Water Tank Design\2. Sphoriod (Single-Leg)\2. Foundition Design\1. Ancher Bolt\1. 100K Gallon\"/>
    </mc:Choice>
  </mc:AlternateContent>
  <xr:revisionPtr revIDLastSave="0" documentId="13_ncr:1_{2FBA4484-BB03-4C4D-8ED9-7097608BB6A3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Anchor Bolt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40" i="1"/>
  <c r="D35" i="1"/>
  <c r="F35" i="1" s="1"/>
  <c r="F24" i="1"/>
  <c r="D41" i="1"/>
  <c r="F41" i="1" s="1"/>
  <c r="D36" i="1"/>
  <c r="F36" i="1" s="1"/>
  <c r="D34" i="1"/>
  <c r="F34" i="1" s="1"/>
  <c r="D29" i="1"/>
  <c r="D32" i="1" s="1"/>
  <c r="F32" i="1" s="1"/>
  <c r="D28" i="1"/>
  <c r="F28" i="1" s="1"/>
  <c r="D27" i="1"/>
  <c r="F27" i="1" s="1"/>
  <c r="D38" i="1" l="1"/>
  <c r="D37" i="1"/>
  <c r="F29" i="1"/>
  <c r="D18" i="1"/>
  <c r="D42" i="1"/>
  <c r="F42" i="1" s="1"/>
  <c r="F37" i="1"/>
  <c r="F38" i="1"/>
  <c r="D33" i="1"/>
  <c r="F33" i="1" s="1"/>
  <c r="D30" i="1" l="1"/>
  <c r="F30" i="1" s="1"/>
  <c r="D31" i="1"/>
  <c r="F31" i="1" s="1"/>
  <c r="F26" i="1"/>
  <c r="D43" i="1"/>
  <c r="D39" i="1"/>
  <c r="D49" i="1" l="1"/>
  <c r="D47" i="1"/>
  <c r="D46" i="1"/>
  <c r="F39" i="1"/>
  <c r="D48" i="1"/>
  <c r="F43" i="1"/>
</calcChain>
</file>

<file path=xl/sharedStrings.xml><?xml version="1.0" encoding="utf-8"?>
<sst xmlns="http://schemas.openxmlformats.org/spreadsheetml/2006/main" count="102" uniqueCount="75">
  <si>
    <t>Step</t>
  </si>
  <si>
    <t>Description / Equation</t>
  </si>
  <si>
    <t>Input / Formula</t>
  </si>
  <si>
    <t>Unit</t>
  </si>
  <si>
    <t>Result</t>
  </si>
  <si>
    <t>USER INPUTS</t>
  </si>
  <si>
    <t>Nb</t>
  </si>
  <si>
    <t>Number of anchor bolts</t>
  </si>
  <si>
    <t>-</t>
  </si>
  <si>
    <t>db</t>
  </si>
  <si>
    <t>Anchor bolt diameter</t>
  </si>
  <si>
    <t>in</t>
  </si>
  <si>
    <t>dh</t>
  </si>
  <si>
    <t>Hole diameter</t>
  </si>
  <si>
    <t>rb</t>
  </si>
  <si>
    <t>Bolt circle radius</t>
  </si>
  <si>
    <t>Fy</t>
  </si>
  <si>
    <t>Steel yield strength</t>
  </si>
  <si>
    <t>ksi</t>
  </si>
  <si>
    <t>Fu</t>
  </si>
  <si>
    <t>Steel ultimate strength</t>
  </si>
  <si>
    <t>φ</t>
  </si>
  <si>
    <t>Resistance factor</t>
  </si>
  <si>
    <t>Mu</t>
  </si>
  <si>
    <t>Factored overturning moment</t>
  </si>
  <si>
    <t>kip-ft</t>
  </si>
  <si>
    <t>D</t>
  </si>
  <si>
    <t>Bolt circle diameter</t>
  </si>
  <si>
    <t>ft</t>
  </si>
  <si>
    <t>Vu</t>
  </si>
  <si>
    <t>Total shear force</t>
  </si>
  <si>
    <t>kips</t>
  </si>
  <si>
    <t>e</t>
  </si>
  <si>
    <t>Edge distance</t>
  </si>
  <si>
    <t>fc'</t>
  </si>
  <si>
    <t>Concrete compressive strength</t>
  </si>
  <si>
    <t>psi</t>
  </si>
  <si>
    <t>hef</t>
  </si>
  <si>
    <t>Effective embedment depth</t>
  </si>
  <si>
    <t>ns</t>
  </si>
  <si>
    <t>Number of segments</t>
  </si>
  <si>
    <t>Effective lever arm = 0.67D</t>
  </si>
  <si>
    <t>Total uplift force Tu = Mu/(0.67D)</t>
  </si>
  <si>
    <t>Tension per bolt Tbolt = 2Tu/Nb</t>
  </si>
  <si>
    <t>Bolt tensile area Ab = πdb²/4</t>
  </si>
  <si>
    <t>in²</t>
  </si>
  <si>
    <t>Bolt hole area Ah = πdh²/4</t>
  </si>
  <si>
    <t>Angular spacing Δθ = 360/Nb</t>
  </si>
  <si>
    <t>deg</t>
  </si>
  <si>
    <t>Chord spacing Schord = 2rb sin(Δθ/2)</t>
  </si>
  <si>
    <t>Clear edge distance eclear = e-dh/2</t>
  </si>
  <si>
    <t>Shear per bolt Vbolt = Vu/Nb</t>
  </si>
  <si>
    <t>Tensile capacity ϕPnt = ϕAbFu</t>
  </si>
  <si>
    <t>Shear capacity ϕVn = ϕAb(0.6Fu)</t>
  </si>
  <si>
    <t>Interaction utilization</t>
  </si>
  <si>
    <t>Concrete breakout Ncb = 24√fc'hef^1.5</t>
  </si>
  <si>
    <t>Factored breakout ϕNcb</t>
  </si>
  <si>
    <t>Breakout utilization = Tbolt/ϕNcb</t>
  </si>
  <si>
    <t>FINAL DESIGN STATUS</t>
  </si>
  <si>
    <t>Steel tension utilization</t>
  </si>
  <si>
    <t>Combined interaction utilization</t>
  </si>
  <si>
    <t>Concrete breakout utilization</t>
  </si>
  <si>
    <t>Overall design status</t>
  </si>
  <si>
    <t>Anchor Bolt Design Calculation Sheet</t>
  </si>
  <si>
    <t>Design Procedure Equation and Calculation</t>
  </si>
  <si>
    <t>Arc spacing Sarc = rbΔθb(π/180)</t>
  </si>
  <si>
    <t>Bolts per segment nbs = Nb/ns (e.g.)</t>
  </si>
  <si>
    <t>Bolt Coordinates (xi=rb  cosθi)</t>
  </si>
  <si>
    <t xml:space="preserve">Bolt Coordinates (xi=rb  cosθi) </t>
  </si>
  <si>
    <t>Angular Spacing in number of segment</t>
  </si>
  <si>
    <t>Segment Number</t>
  </si>
  <si>
    <t>i</t>
  </si>
  <si>
    <t>θi</t>
  </si>
  <si>
    <t>Anchor Bolt Length Design hef≥8db</t>
  </si>
  <si>
    <t>at least 12''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</si>
</sst>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6"/>
      <name val="Calibri"/>
      <family val="2"/>
    </font>
    <font>
      <b/>
      <sz val="1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2" fontId="0" fillId="0" borderId="2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" fontId="1" fillId="4" borderId="27" xfId="0" applyNumberFormat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2" fontId="0" fillId="0" borderId="32" xfId="0" applyNumberFormat="1" applyBorder="1" applyAlignment="1">
      <alignment horizontal="center" vertical="center" wrapText="1"/>
    </xf>
    <xf numFmtId="2" fontId="0" fillId="0" borderId="33" xfId="0" applyNumberForma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2" fontId="0" fillId="0" borderId="34" xfId="0" applyNumberFormat="1" applyBorder="1" applyAlignment="1">
      <alignment vertical="center" wrapText="1"/>
    </xf>
    <xf numFmtId="2" fontId="0" fillId="0" borderId="34" xfId="0" applyNumberForma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2" fontId="0" fillId="0" borderId="36" xfId="0" applyNumberForma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2" fontId="0" fillId="0" borderId="27" xfId="0" applyNumberForma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2" fontId="0" fillId="0" borderId="29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2" fontId="1" fillId="4" borderId="30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2" fontId="1" fillId="4" borderId="25" xfId="0" applyNumberFormat="1" applyFont="1" applyFill="1" applyBorder="1" applyAlignment="1">
      <alignment horizontal="center" vertical="center" wrapText="1"/>
    </xf>
    <xf numFmtId="2" fontId="1" fillId="4" borderId="27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D27" sqref="D27"/>
    </sheetView>
  </sheetViews>
  <sheetFormatPr defaultRowHeight="15" x14ac:dyDescent="0.25"/>
  <cols>
    <col min="1" max="1" width="1" customWidth="1"/>
    <col min="2" max="2" width="5.85546875" bestFit="1" customWidth="1"/>
    <col min="3" max="3" width="34" bestFit="1" customWidth="1"/>
    <col min="4" max="4" width="18.28515625" bestFit="1" customWidth="1"/>
    <col min="5" max="5" width="6" bestFit="1" customWidth="1"/>
    <col min="6" max="6" width="15.5703125" customWidth="1"/>
  </cols>
  <sheetData>
    <row r="1" spans="1:10" ht="3.75" customHeight="1" thickBot="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</row>
    <row r="2" spans="1:10" ht="35.25" customHeight="1" x14ac:dyDescent="0.25">
      <c r="A2" s="40"/>
      <c r="B2" s="57" t="s">
        <v>63</v>
      </c>
      <c r="C2" s="58"/>
      <c r="D2" s="58"/>
      <c r="E2" s="58"/>
      <c r="F2" s="59"/>
    </row>
    <row r="3" spans="1:10" ht="18" thickBot="1" x14ac:dyDescent="0.3">
      <c r="A3" s="40"/>
      <c r="B3" s="54" t="s">
        <v>5</v>
      </c>
      <c r="C3" s="55"/>
      <c r="D3" s="55"/>
      <c r="E3" s="55"/>
      <c r="F3" s="56"/>
    </row>
    <row r="4" spans="1:10" x14ac:dyDescent="0.25">
      <c r="A4" s="40"/>
      <c r="B4" s="16" t="s">
        <v>6</v>
      </c>
      <c r="C4" s="17" t="s">
        <v>7</v>
      </c>
      <c r="D4" s="31">
        <v>20</v>
      </c>
      <c r="E4" s="18" t="s">
        <v>8</v>
      </c>
      <c r="F4" s="19"/>
    </row>
    <row r="5" spans="1:10" x14ac:dyDescent="0.25">
      <c r="A5" s="40"/>
      <c r="B5" s="20" t="s">
        <v>9</v>
      </c>
      <c r="C5" s="8" t="s">
        <v>10</v>
      </c>
      <c r="D5" s="32">
        <v>1.5</v>
      </c>
      <c r="E5" s="2" t="s">
        <v>11</v>
      </c>
      <c r="F5" s="21"/>
    </row>
    <row r="6" spans="1:10" x14ac:dyDescent="0.25">
      <c r="A6" s="40"/>
      <c r="B6" s="20" t="s">
        <v>12</v>
      </c>
      <c r="C6" s="8" t="s">
        <v>13</v>
      </c>
      <c r="D6" s="32">
        <v>1.625</v>
      </c>
      <c r="E6" s="2" t="s">
        <v>11</v>
      </c>
      <c r="F6" s="21"/>
    </row>
    <row r="7" spans="1:10" x14ac:dyDescent="0.25">
      <c r="A7" s="40"/>
      <c r="B7" s="20" t="s">
        <v>14</v>
      </c>
      <c r="C7" s="8" t="s">
        <v>15</v>
      </c>
      <c r="D7" s="32">
        <v>129</v>
      </c>
      <c r="E7" s="2" t="s">
        <v>11</v>
      </c>
      <c r="F7" s="22">
        <v>10.75</v>
      </c>
    </row>
    <row r="8" spans="1:10" x14ac:dyDescent="0.25">
      <c r="A8" s="40"/>
      <c r="B8" s="20" t="s">
        <v>16</v>
      </c>
      <c r="C8" s="8" t="s">
        <v>17</v>
      </c>
      <c r="D8" s="32">
        <v>36</v>
      </c>
      <c r="E8" s="2" t="s">
        <v>18</v>
      </c>
      <c r="F8" s="21"/>
    </row>
    <row r="9" spans="1:10" x14ac:dyDescent="0.25">
      <c r="A9" s="40"/>
      <c r="B9" s="20" t="s">
        <v>19</v>
      </c>
      <c r="C9" s="8" t="s">
        <v>20</v>
      </c>
      <c r="D9" s="32">
        <v>58</v>
      </c>
      <c r="E9" s="2" t="s">
        <v>18</v>
      </c>
      <c r="F9" s="21"/>
    </row>
    <row r="10" spans="1:10" x14ac:dyDescent="0.25">
      <c r="A10" s="40"/>
      <c r="B10" s="20" t="s">
        <v>21</v>
      </c>
      <c r="C10" s="8" t="s">
        <v>22</v>
      </c>
      <c r="D10" s="32">
        <v>0.75</v>
      </c>
      <c r="E10" s="2" t="s">
        <v>8</v>
      </c>
      <c r="F10" s="21"/>
    </row>
    <row r="11" spans="1:10" x14ac:dyDescent="0.25">
      <c r="A11" s="40"/>
      <c r="B11" s="20" t="s">
        <v>23</v>
      </c>
      <c r="C11" s="8" t="s">
        <v>24</v>
      </c>
      <c r="D11" s="32">
        <v>4847.67</v>
      </c>
      <c r="E11" s="2" t="s">
        <v>25</v>
      </c>
      <c r="F11" s="21"/>
    </row>
    <row r="12" spans="1:10" x14ac:dyDescent="0.25">
      <c r="A12" s="40"/>
      <c r="B12" s="20" t="s">
        <v>26</v>
      </c>
      <c r="C12" s="8" t="s">
        <v>27</v>
      </c>
      <c r="D12" s="32">
        <v>21</v>
      </c>
      <c r="E12" s="2" t="s">
        <v>28</v>
      </c>
      <c r="F12" s="21"/>
    </row>
    <row r="13" spans="1:10" x14ac:dyDescent="0.25">
      <c r="A13" s="40"/>
      <c r="B13" s="20" t="s">
        <v>29</v>
      </c>
      <c r="C13" s="8" t="s">
        <v>30</v>
      </c>
      <c r="D13" s="32">
        <v>20.683</v>
      </c>
      <c r="E13" s="2" t="s">
        <v>31</v>
      </c>
      <c r="F13" s="21"/>
    </row>
    <row r="14" spans="1:10" x14ac:dyDescent="0.25">
      <c r="A14" s="40"/>
      <c r="B14" s="20" t="s">
        <v>32</v>
      </c>
      <c r="C14" s="8" t="s">
        <v>33</v>
      </c>
      <c r="D14" s="32">
        <v>3</v>
      </c>
      <c r="E14" s="2" t="s">
        <v>11</v>
      </c>
      <c r="F14" s="21"/>
    </row>
    <row r="15" spans="1:10" x14ac:dyDescent="0.25">
      <c r="A15" s="40"/>
      <c r="B15" s="20" t="s">
        <v>34</v>
      </c>
      <c r="C15" s="8" t="s">
        <v>35</v>
      </c>
      <c r="D15" s="32">
        <v>4000</v>
      </c>
      <c r="E15" s="2" t="s">
        <v>36</v>
      </c>
      <c r="F15" s="21"/>
    </row>
    <row r="16" spans="1:10" x14ac:dyDescent="0.25">
      <c r="A16" s="40"/>
      <c r="B16" s="20" t="s">
        <v>37</v>
      </c>
      <c r="C16" s="8" t="s">
        <v>38</v>
      </c>
      <c r="D16" s="32">
        <v>96</v>
      </c>
      <c r="E16" s="2" t="s">
        <v>11</v>
      </c>
      <c r="F16" s="21"/>
    </row>
    <row r="17" spans="1:6" x14ac:dyDescent="0.25">
      <c r="A17" s="40"/>
      <c r="B17" s="23" t="s">
        <v>39</v>
      </c>
      <c r="C17" s="9" t="s">
        <v>40</v>
      </c>
      <c r="D17" s="33">
        <v>4</v>
      </c>
      <c r="E17" s="3" t="s">
        <v>8</v>
      </c>
      <c r="F17" s="24"/>
    </row>
    <row r="18" spans="1:6" ht="30" x14ac:dyDescent="0.25">
      <c r="A18" s="40"/>
      <c r="B18" s="25" t="s">
        <v>72</v>
      </c>
      <c r="C18" s="10" t="s">
        <v>69</v>
      </c>
      <c r="D18" s="34">
        <f>D29*(D19-1)</f>
        <v>18</v>
      </c>
      <c r="E18" s="3" t="s">
        <v>8</v>
      </c>
      <c r="F18" s="26"/>
    </row>
    <row r="19" spans="1:6" ht="15.75" thickBot="1" x14ac:dyDescent="0.3">
      <c r="A19" s="40"/>
      <c r="B19" s="27" t="s">
        <v>71</v>
      </c>
      <c r="C19" s="28" t="s">
        <v>70</v>
      </c>
      <c r="D19" s="35">
        <v>2</v>
      </c>
      <c r="E19" s="29" t="s">
        <v>8</v>
      </c>
      <c r="F19" s="30"/>
    </row>
    <row r="20" spans="1:6" ht="15.75" thickBot="1" x14ac:dyDescent="0.3">
      <c r="A20" s="39"/>
      <c r="B20" s="39"/>
      <c r="C20" s="39"/>
      <c r="D20" s="39"/>
      <c r="E20" s="39"/>
      <c r="F20" s="39"/>
    </row>
    <row r="21" spans="1:6" ht="33.75" customHeight="1" x14ac:dyDescent="0.25">
      <c r="A21" s="40"/>
      <c r="B21" s="57" t="s">
        <v>64</v>
      </c>
      <c r="C21" s="58"/>
      <c r="D21" s="58"/>
      <c r="E21" s="58"/>
      <c r="F21" s="59"/>
    </row>
    <row r="22" spans="1:6" ht="34.5" hidden="1" customHeight="1" x14ac:dyDescent="0.25">
      <c r="A22" s="40"/>
      <c r="B22" s="63" t="s">
        <v>0</v>
      </c>
      <c r="C22" s="65" t="s">
        <v>1</v>
      </c>
      <c r="D22" s="65" t="s">
        <v>2</v>
      </c>
      <c r="E22" s="65" t="s">
        <v>3</v>
      </c>
      <c r="F22" s="67" t="s">
        <v>4</v>
      </c>
    </row>
    <row r="23" spans="1:6" ht="30.75" customHeight="1" thickBot="1" x14ac:dyDescent="0.3">
      <c r="A23" s="40"/>
      <c r="B23" s="64"/>
      <c r="C23" s="66"/>
      <c r="D23" s="66"/>
      <c r="E23" s="66"/>
      <c r="F23" s="68"/>
    </row>
    <row r="24" spans="1:6" x14ac:dyDescent="0.25">
      <c r="A24" s="40"/>
      <c r="B24" s="60">
        <v>1</v>
      </c>
      <c r="C24" s="12" t="s">
        <v>41</v>
      </c>
      <c r="D24" s="13">
        <f>0.67*D12</f>
        <v>14.07</v>
      </c>
      <c r="E24" s="13" t="s">
        <v>28</v>
      </c>
      <c r="F24" s="61">
        <f>D25</f>
        <v>344.53944562899784</v>
      </c>
    </row>
    <row r="25" spans="1:6" x14ac:dyDescent="0.25">
      <c r="A25" s="40"/>
      <c r="B25" s="53"/>
      <c r="C25" s="11" t="s">
        <v>42</v>
      </c>
      <c r="D25" s="4">
        <f>D11/D24</f>
        <v>344.53944562899784</v>
      </c>
      <c r="E25" s="4" t="s">
        <v>31</v>
      </c>
      <c r="F25" s="62"/>
    </row>
    <row r="26" spans="1:6" x14ac:dyDescent="0.25">
      <c r="A26" s="40"/>
      <c r="B26" s="14">
        <v>2</v>
      </c>
      <c r="C26" s="11" t="s">
        <v>43</v>
      </c>
      <c r="D26" s="4">
        <f>(2*D25)/D4</f>
        <v>34.453944562899785</v>
      </c>
      <c r="E26" s="4" t="s">
        <v>31</v>
      </c>
      <c r="F26" s="15">
        <f t="shared" ref="F26:F43" si="0">D26</f>
        <v>34.453944562899785</v>
      </c>
    </row>
    <row r="27" spans="1:6" x14ac:dyDescent="0.25">
      <c r="A27" s="40"/>
      <c r="B27" s="14">
        <v>3</v>
      </c>
      <c r="C27" s="11" t="s">
        <v>44</v>
      </c>
      <c r="D27" s="4">
        <f>PI()*(D5^2)/4</f>
        <v>1.7671458676442586</v>
      </c>
      <c r="E27" s="4" t="s">
        <v>45</v>
      </c>
      <c r="F27" s="15">
        <f t="shared" si="0"/>
        <v>1.7671458676442586</v>
      </c>
    </row>
    <row r="28" spans="1:6" x14ac:dyDescent="0.25">
      <c r="A28" s="40"/>
      <c r="B28" s="14">
        <v>4</v>
      </c>
      <c r="C28" s="11" t="s">
        <v>46</v>
      </c>
      <c r="D28" s="4">
        <f>PI()*(D6^2)/4</f>
        <v>2.0739420252213869</v>
      </c>
      <c r="E28" s="4" t="s">
        <v>45</v>
      </c>
      <c r="F28" s="15">
        <f t="shared" si="0"/>
        <v>2.0739420252213869</v>
      </c>
    </row>
    <row r="29" spans="1:6" x14ac:dyDescent="0.25">
      <c r="A29" s="40"/>
      <c r="B29" s="14">
        <v>5</v>
      </c>
      <c r="C29" s="11" t="s">
        <v>47</v>
      </c>
      <c r="D29" s="4">
        <f>360/D4</f>
        <v>18</v>
      </c>
      <c r="E29" s="4" t="s">
        <v>48</v>
      </c>
      <c r="F29" s="15">
        <f>D29</f>
        <v>18</v>
      </c>
    </row>
    <row r="30" spans="1:6" x14ac:dyDescent="0.25">
      <c r="A30" s="40"/>
      <c r="B30" s="53">
        <v>6</v>
      </c>
      <c r="C30" s="11" t="s">
        <v>68</v>
      </c>
      <c r="D30" s="4">
        <f>F7*COS(RADIANS(D18))</f>
        <v>10.2238575501729</v>
      </c>
      <c r="E30" s="4" t="s">
        <v>28</v>
      </c>
      <c r="F30" s="15">
        <f t="shared" ref="F30:F31" si="1">D30</f>
        <v>10.2238575501729</v>
      </c>
    </row>
    <row r="31" spans="1:6" x14ac:dyDescent="0.25">
      <c r="A31" s="40"/>
      <c r="B31" s="53"/>
      <c r="C31" s="11" t="s">
        <v>67</v>
      </c>
      <c r="D31" s="4">
        <f>F7*SIN(RADIANS(D18))</f>
        <v>3.3219326895306844</v>
      </c>
      <c r="E31" s="4" t="s">
        <v>28</v>
      </c>
      <c r="F31" s="15">
        <f t="shared" si="1"/>
        <v>3.3219326895306844</v>
      </c>
    </row>
    <row r="32" spans="1:6" x14ac:dyDescent="0.25">
      <c r="A32" s="40"/>
      <c r="B32" s="14">
        <v>7</v>
      </c>
      <c r="C32" s="11" t="s">
        <v>65</v>
      </c>
      <c r="D32" s="4">
        <f>D7*D29*PI()/180</f>
        <v>40.526545231308326</v>
      </c>
      <c r="E32" s="4" t="s">
        <v>11</v>
      </c>
      <c r="F32" s="15">
        <f t="shared" si="0"/>
        <v>40.526545231308326</v>
      </c>
    </row>
    <row r="33" spans="1:6" x14ac:dyDescent="0.25">
      <c r="A33" s="40"/>
      <c r="B33" s="14">
        <v>8</v>
      </c>
      <c r="C33" s="11" t="s">
        <v>49</v>
      </c>
      <c r="D33" s="4">
        <f>2*D7*SIN(RADIANS(D29/2))</f>
        <v>40.360091980379565</v>
      </c>
      <c r="E33" s="4" t="s">
        <v>11</v>
      </c>
      <c r="F33" s="15">
        <f t="shared" si="0"/>
        <v>40.360091980379565</v>
      </c>
    </row>
    <row r="34" spans="1:6" x14ac:dyDescent="0.25">
      <c r="A34" s="40"/>
      <c r="B34" s="14">
        <v>9</v>
      </c>
      <c r="C34" s="11" t="s">
        <v>66</v>
      </c>
      <c r="D34" s="4">
        <f>D4/D17</f>
        <v>5</v>
      </c>
      <c r="E34" s="4" t="s">
        <v>8</v>
      </c>
      <c r="F34" s="15">
        <f t="shared" si="0"/>
        <v>5</v>
      </c>
    </row>
    <row r="35" spans="1:6" x14ac:dyDescent="0.25">
      <c r="A35" s="40"/>
      <c r="B35" s="14">
        <v>10</v>
      </c>
      <c r="C35" s="11" t="s">
        <v>50</v>
      </c>
      <c r="D35" s="4">
        <f>D14-(D6/2)</f>
        <v>2.1875</v>
      </c>
      <c r="E35" s="4" t="s">
        <v>11</v>
      </c>
      <c r="F35" s="15">
        <f t="shared" si="0"/>
        <v>2.1875</v>
      </c>
    </row>
    <row r="36" spans="1:6" x14ac:dyDescent="0.25">
      <c r="A36" s="40"/>
      <c r="B36" s="14">
        <v>11</v>
      </c>
      <c r="C36" s="11" t="s">
        <v>51</v>
      </c>
      <c r="D36" s="4">
        <f>D13/D4</f>
        <v>1.0341499999999999</v>
      </c>
      <c r="E36" s="4" t="s">
        <v>31</v>
      </c>
      <c r="F36" s="15">
        <f t="shared" si="0"/>
        <v>1.0341499999999999</v>
      </c>
    </row>
    <row r="37" spans="1:6" x14ac:dyDescent="0.25">
      <c r="A37" s="40"/>
      <c r="B37" s="14">
        <v>12</v>
      </c>
      <c r="C37" s="11" t="s">
        <v>52</v>
      </c>
      <c r="D37" s="4">
        <f>D10*D27*D9</f>
        <v>76.870845242525249</v>
      </c>
      <c r="E37" s="4" t="s">
        <v>31</v>
      </c>
      <c r="F37" s="15">
        <f t="shared" si="0"/>
        <v>76.870845242525249</v>
      </c>
    </row>
    <row r="38" spans="1:6" x14ac:dyDescent="0.25">
      <c r="A38" s="40"/>
      <c r="B38" s="14">
        <v>13</v>
      </c>
      <c r="C38" s="11" t="s">
        <v>53</v>
      </c>
      <c r="D38" s="4">
        <f>D10*D27*(0.6*D9)</f>
        <v>46.122507145515144</v>
      </c>
      <c r="E38" s="4" t="s">
        <v>31</v>
      </c>
      <c r="F38" s="15">
        <f t="shared" si="0"/>
        <v>46.122507145515144</v>
      </c>
    </row>
    <row r="39" spans="1:6" x14ac:dyDescent="0.25">
      <c r="A39" s="40"/>
      <c r="B39" s="14">
        <v>14</v>
      </c>
      <c r="C39" s="11" t="s">
        <v>54</v>
      </c>
      <c r="D39" s="4">
        <f>(D26/D37)+(D36/D38)</f>
        <v>0.47062742424769866</v>
      </c>
      <c r="E39" s="4" t="s">
        <v>8</v>
      </c>
      <c r="F39" s="15">
        <f t="shared" si="0"/>
        <v>0.47062742424769866</v>
      </c>
    </row>
    <row r="40" spans="1:6" x14ac:dyDescent="0.25">
      <c r="A40" s="40"/>
      <c r="B40" s="14">
        <v>15</v>
      </c>
      <c r="C40" s="11" t="s">
        <v>73</v>
      </c>
      <c r="D40" s="4">
        <f>8*D5</f>
        <v>12</v>
      </c>
      <c r="E40" s="4" t="s">
        <v>11</v>
      </c>
      <c r="F40" s="15" t="s">
        <v>74</v>
      </c>
    </row>
    <row r="41" spans="1:6" ht="30" x14ac:dyDescent="0.25">
      <c r="A41" s="40"/>
      <c r="B41" s="53">
        <v>16</v>
      </c>
      <c r="C41" s="11" t="s">
        <v>55</v>
      </c>
      <c r="D41" s="4">
        <f>24*SQRT(D15)*(D16^1.5)/1000</f>
        <v>1427.7365807459016</v>
      </c>
      <c r="E41" s="4" t="s">
        <v>31</v>
      </c>
      <c r="F41" s="15">
        <f t="shared" si="0"/>
        <v>1427.7365807459016</v>
      </c>
    </row>
    <row r="42" spans="1:6" x14ac:dyDescent="0.25">
      <c r="A42" s="40"/>
      <c r="B42" s="53"/>
      <c r="C42" s="11" t="s">
        <v>56</v>
      </c>
      <c r="D42" s="4">
        <f>D10*D41</f>
        <v>1070.8024355594262</v>
      </c>
      <c r="E42" s="4" t="s">
        <v>31</v>
      </c>
      <c r="F42" s="15">
        <f t="shared" si="0"/>
        <v>1070.8024355594262</v>
      </c>
    </row>
    <row r="43" spans="1:6" ht="15.75" thickBot="1" x14ac:dyDescent="0.3">
      <c r="A43" s="40"/>
      <c r="B43" s="38">
        <v>17</v>
      </c>
      <c r="C43" s="36" t="s">
        <v>57</v>
      </c>
      <c r="D43" s="29">
        <f>D26/D42</f>
        <v>3.2175818263711541E-2</v>
      </c>
      <c r="E43" s="29" t="s">
        <v>8</v>
      </c>
      <c r="F43" s="37">
        <f t="shared" si="0"/>
        <v>3.2175818263711541E-2</v>
      </c>
    </row>
    <row r="44" spans="1:6" ht="15.75" thickBot="1" x14ac:dyDescent="0.3">
      <c r="A44" s="39"/>
      <c r="B44" s="39"/>
      <c r="C44" s="39"/>
      <c r="D44" s="39"/>
      <c r="E44" s="39"/>
      <c r="F44" s="39"/>
    </row>
    <row r="45" spans="1:6" ht="17.25" customHeight="1" x14ac:dyDescent="0.25">
      <c r="A45" s="40"/>
      <c r="B45" s="57" t="s">
        <v>58</v>
      </c>
      <c r="C45" s="58"/>
      <c r="D45" s="58"/>
      <c r="E45" s="58"/>
      <c r="F45" s="59"/>
    </row>
    <row r="46" spans="1:6" x14ac:dyDescent="0.25">
      <c r="A46" s="40"/>
      <c r="B46" s="6">
        <v>1</v>
      </c>
      <c r="C46" s="1" t="s">
        <v>59</v>
      </c>
      <c r="D46" s="41">
        <f>D39-D37/D39</f>
        <v>-162.86631658279535</v>
      </c>
      <c r="E46" s="42"/>
      <c r="F46" s="43"/>
    </row>
    <row r="47" spans="1:6" x14ac:dyDescent="0.25">
      <c r="A47" s="40"/>
      <c r="B47" s="6">
        <v>2</v>
      </c>
      <c r="C47" s="1" t="s">
        <v>60</v>
      </c>
      <c r="D47" s="44">
        <f>D39</f>
        <v>0.47062742424769866</v>
      </c>
      <c r="E47" s="45"/>
      <c r="F47" s="46"/>
    </row>
    <row r="48" spans="1:6" x14ac:dyDescent="0.25">
      <c r="A48" s="40"/>
      <c r="B48" s="6">
        <v>3</v>
      </c>
      <c r="C48" s="1" t="s">
        <v>61</v>
      </c>
      <c r="D48" s="47">
        <f>D43</f>
        <v>3.2175818263711541E-2</v>
      </c>
      <c r="E48" s="48"/>
      <c r="F48" s="49"/>
    </row>
    <row r="49" spans="1:6" ht="15.75" thickBot="1" x14ac:dyDescent="0.3">
      <c r="A49" s="40"/>
      <c r="B49" s="7">
        <v>4</v>
      </c>
      <c r="C49" s="5" t="s">
        <v>62</v>
      </c>
      <c r="D49" s="50" t="str">
        <f>IF(D39&lt;1,"SAFE","NOT SAFE")</f>
        <v>SAFE</v>
      </c>
      <c r="E49" s="51"/>
      <c r="F49" s="52"/>
    </row>
  </sheetData>
  <mergeCells count="23">
    <mergeCell ref="A20:F20"/>
    <mergeCell ref="B2:F2"/>
    <mergeCell ref="B22:B23"/>
    <mergeCell ref="C22:C23"/>
    <mergeCell ref="D22:D23"/>
    <mergeCell ref="E22:E23"/>
    <mergeCell ref="F22:F23"/>
    <mergeCell ref="A1:J1"/>
    <mergeCell ref="A2:A19"/>
    <mergeCell ref="A21:A43"/>
    <mergeCell ref="A45:A49"/>
    <mergeCell ref="D46:F46"/>
    <mergeCell ref="D47:F47"/>
    <mergeCell ref="D48:F48"/>
    <mergeCell ref="D49:F49"/>
    <mergeCell ref="B41:B42"/>
    <mergeCell ref="A44:F44"/>
    <mergeCell ref="B3:F3"/>
    <mergeCell ref="B21:F21"/>
    <mergeCell ref="B45:F45"/>
    <mergeCell ref="B24:B25"/>
    <mergeCell ref="F24:F25"/>
    <mergeCell ref="B30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Anchor Bolt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Faqiri, Ahmad Rafi  - SDSU Student</cp:lastModifiedBy>
  <dcterms:created xsi:type="dcterms:W3CDTF">2026-05-10T02:16:33Z</dcterms:created>
  <dcterms:modified xsi:type="dcterms:W3CDTF">2026-07-18T21:05:02Z</dcterms:modified>
</cp:coreProperties>
</file>